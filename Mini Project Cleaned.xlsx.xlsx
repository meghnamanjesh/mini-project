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7EC\EXCELCNV\bbdea026-a548-48c3-99ec-077b3e67ba90\"/>
    </mc:Choice>
  </mc:AlternateContent>
  <xr:revisionPtr revIDLastSave="0" documentId="8_{015F0E21-01B5-46FD-86CC-096A5152E1F0}" xr6:coauthVersionLast="47" xr6:coauthVersionMax="47" xr10:uidLastSave="{00000000-0000-0000-0000-000000000000}"/>
  <bookViews>
    <workbookView xWindow="-60" yWindow="-60" windowWidth="15480" windowHeight="11640" activeTab="3" xr2:uid="{6919675A-31CA-461F-B530-22CB1F36CD76}"/>
  </bookViews>
  <sheets>
    <sheet name="Pivot Table" sheetId="3" r:id="rId1"/>
    <sheet name="Cleaned_Data" sheetId="1" r:id="rId2"/>
    <sheet name="Statistics" sheetId="2" r:id="rId3"/>
    <sheet name="Formula Analysis" sheetId="4" r:id="rId4"/>
  </sheets>
  <externalReferences>
    <externalReference r:id="rId5"/>
    <externalReference r:id="rId6"/>
  </externalReferences>
  <definedNames>
    <definedName name="Slicer_Device">#N/A</definedName>
  </definedNames>
  <calcPr calcId="191028"/>
  <pivotCaches>
    <pivotCache cacheId="285" r:id="rId7"/>
  </pivotCaches>
  <extLst>
    <ext xmlns:x14="http://schemas.microsoft.com/office/spreadsheetml/2009/9/main" uri="{BBE1A952-AA13-448e-AADC-164F8A28A991}">
      <x14:slicerCaches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4" l="1"/>
  <c r="B2" i="4"/>
  <c r="B4" i="4"/>
  <c r="E8" i="2"/>
  <c r="E7" i="2"/>
  <c r="E6" i="2"/>
  <c r="E5" i="2"/>
  <c r="E4" i="2"/>
  <c r="E3" i="2"/>
  <c r="E2" i="2"/>
  <c r="D9" i="2"/>
  <c r="D8" i="2"/>
  <c r="D7" i="2"/>
  <c r="D6" i="2"/>
  <c r="D5" i="2"/>
  <c r="D4" i="2"/>
  <c r="D3" i="2"/>
  <c r="D2" i="2"/>
  <c r="C8" i="2"/>
  <c r="C7" i="2"/>
  <c r="C6" i="2"/>
  <c r="C5" i="2"/>
  <c r="C4" i="2"/>
  <c r="C3" i="2"/>
  <c r="C2" i="2"/>
  <c r="B8" i="2"/>
  <c r="B7" i="2"/>
  <c r="B2" i="2"/>
  <c r="B6" i="2"/>
  <c r="B5" i="2"/>
  <c r="B4" i="2"/>
  <c r="B3" i="2"/>
  <c r="H3" i="4"/>
  <c r="E4" i="4"/>
  <c r="E3" i="4"/>
  <c r="E2" i="4"/>
  <c r="N2604" i="1"/>
  <c r="N2605" i="1"/>
  <c r="O2604" i="1"/>
  <c r="O2605" i="1"/>
  <c r="P2604" i="1"/>
  <c r="P2605" i="1"/>
  <c r="Q2604" i="1"/>
  <c r="Q2605" i="1"/>
  <c r="R2604" i="1"/>
  <c r="R2605" i="1"/>
  <c r="S2604" i="1"/>
  <c r="S2605" i="1"/>
  <c r="E9" i="2"/>
  <c r="C9" i="2"/>
  <c r="B9" i="2"/>
  <c r="N2602" i="1"/>
  <c r="N2603" i="1"/>
  <c r="O2602" i="1"/>
  <c r="O2603" i="1"/>
  <c r="P2602" i="1"/>
  <c r="P2603" i="1"/>
  <c r="Q2602" i="1"/>
  <c r="Q2603" i="1"/>
  <c r="R2602" i="1"/>
  <c r="R2603" i="1"/>
  <c r="S2602" i="1"/>
  <c r="S2603" i="1"/>
  <c r="S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  <c r="S2467" i="1"/>
  <c r="S2468" i="1"/>
  <c r="S2469" i="1"/>
  <c r="S2470" i="1"/>
  <c r="S2471" i="1"/>
  <c r="S2472" i="1"/>
  <c r="S2473" i="1"/>
  <c r="S2474" i="1"/>
  <c r="S2475" i="1"/>
  <c r="S2476" i="1"/>
  <c r="S2477" i="1"/>
  <c r="S2478" i="1"/>
  <c r="S2479" i="1"/>
  <c r="S2480" i="1"/>
  <c r="S2481" i="1"/>
  <c r="S2482" i="1"/>
  <c r="S2483" i="1"/>
  <c r="S2484" i="1"/>
  <c r="S2485" i="1"/>
  <c r="S2486" i="1"/>
  <c r="S2487" i="1"/>
  <c r="S2488" i="1"/>
  <c r="S2489" i="1"/>
  <c r="S2490" i="1"/>
  <c r="S2491" i="1"/>
  <c r="S2492" i="1"/>
  <c r="S2493" i="1"/>
  <c r="S2494" i="1"/>
  <c r="S2495" i="1"/>
  <c r="S2496" i="1"/>
  <c r="S2497" i="1"/>
  <c r="S2498" i="1"/>
  <c r="S2499" i="1"/>
  <c r="S2500" i="1"/>
  <c r="S2501" i="1"/>
  <c r="S2502" i="1"/>
  <c r="S2503" i="1"/>
  <c r="S2504" i="1"/>
  <c r="S2505" i="1"/>
  <c r="S2506" i="1"/>
  <c r="S2507" i="1"/>
  <c r="S2508" i="1"/>
  <c r="S2509" i="1"/>
  <c r="S2510" i="1"/>
  <c r="S2511" i="1"/>
  <c r="S2512" i="1"/>
  <c r="S2513" i="1"/>
  <c r="S2514" i="1"/>
  <c r="S2515" i="1"/>
  <c r="S2516" i="1"/>
  <c r="S2517" i="1"/>
  <c r="S2518" i="1"/>
  <c r="S2519" i="1"/>
  <c r="S2520" i="1"/>
  <c r="S2521" i="1"/>
  <c r="S2522" i="1"/>
  <c r="S2523" i="1"/>
  <c r="S2524" i="1"/>
  <c r="S2525" i="1"/>
  <c r="S2526" i="1"/>
  <c r="S2527" i="1"/>
  <c r="S2528" i="1"/>
  <c r="S2529" i="1"/>
  <c r="S2530" i="1"/>
  <c r="S2531" i="1"/>
  <c r="S2532" i="1"/>
  <c r="S2533" i="1"/>
  <c r="S2534" i="1"/>
  <c r="S2535" i="1"/>
  <c r="S2536" i="1"/>
  <c r="S2537" i="1"/>
  <c r="S2538" i="1"/>
  <c r="S2539" i="1"/>
  <c r="S2540" i="1"/>
  <c r="S2541" i="1"/>
  <c r="S2542" i="1"/>
  <c r="S2543" i="1"/>
  <c r="S2544" i="1"/>
  <c r="S2545" i="1"/>
  <c r="S2546" i="1"/>
  <c r="S2547" i="1"/>
  <c r="S2548" i="1"/>
  <c r="S2549" i="1"/>
  <c r="S2550" i="1"/>
  <c r="S2551" i="1"/>
  <c r="S2552" i="1"/>
  <c r="S2553" i="1"/>
  <c r="S2554" i="1"/>
  <c r="S2555" i="1"/>
  <c r="S2556" i="1"/>
  <c r="S2557" i="1"/>
  <c r="S2558" i="1"/>
  <c r="S2559" i="1"/>
  <c r="S2560" i="1"/>
  <c r="S2561" i="1"/>
  <c r="S2562" i="1"/>
  <c r="S2563" i="1"/>
  <c r="S2564" i="1"/>
  <c r="S2565" i="1"/>
  <c r="S2566" i="1"/>
  <c r="S2567" i="1"/>
  <c r="S2568" i="1"/>
  <c r="S2569" i="1"/>
  <c r="S2570" i="1"/>
  <c r="S2571" i="1"/>
  <c r="S2572" i="1"/>
  <c r="S2573" i="1"/>
  <c r="S2574" i="1"/>
  <c r="S2575" i="1"/>
  <c r="S2576" i="1"/>
  <c r="S2577" i="1"/>
  <c r="S2578" i="1"/>
  <c r="S2579" i="1"/>
  <c r="S2580" i="1"/>
  <c r="S2581" i="1"/>
  <c r="S2582" i="1"/>
  <c r="S2583" i="1"/>
  <c r="S2584" i="1"/>
  <c r="S2585" i="1"/>
  <c r="S2586" i="1"/>
  <c r="S2587" i="1"/>
  <c r="S2588" i="1"/>
  <c r="S2589" i="1"/>
  <c r="S2590" i="1"/>
  <c r="S2591" i="1"/>
  <c r="S2592" i="1"/>
  <c r="S2593" i="1"/>
  <c r="S2594" i="1"/>
  <c r="S2595" i="1"/>
  <c r="S2596" i="1"/>
  <c r="S2597" i="1"/>
  <c r="S2598" i="1"/>
  <c r="S2599" i="1"/>
  <c r="S2600" i="1"/>
  <c r="S26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1704" i="1"/>
  <c r="P1705" i="1"/>
  <c r="P1706" i="1"/>
  <c r="P1707" i="1"/>
  <c r="P1708" i="1"/>
  <c r="P1709" i="1"/>
  <c r="P1710" i="1"/>
  <c r="P1711" i="1"/>
  <c r="P1712" i="1"/>
  <c r="P1713" i="1"/>
  <c r="P1714" i="1"/>
  <c r="P1715" i="1"/>
  <c r="P1716" i="1"/>
  <c r="P1717" i="1"/>
  <c r="P1718" i="1"/>
  <c r="P1719" i="1"/>
  <c r="P1720" i="1"/>
  <c r="P1721" i="1"/>
  <c r="P1722" i="1"/>
  <c r="P1723" i="1"/>
  <c r="P1724" i="1"/>
  <c r="P1725" i="1"/>
  <c r="P1726" i="1"/>
  <c r="P1727" i="1"/>
  <c r="P1728" i="1"/>
  <c r="P1729" i="1"/>
  <c r="P1730" i="1"/>
  <c r="P1731" i="1"/>
  <c r="P1732" i="1"/>
  <c r="P1733" i="1"/>
  <c r="P1734" i="1"/>
  <c r="P1735" i="1"/>
  <c r="P1736" i="1"/>
  <c r="P1737" i="1"/>
  <c r="P1738" i="1"/>
  <c r="P1739" i="1"/>
  <c r="P1740" i="1"/>
  <c r="P1741" i="1"/>
  <c r="P1742" i="1"/>
  <c r="P1743" i="1"/>
  <c r="P1744" i="1"/>
  <c r="P1745" i="1"/>
  <c r="P1746" i="1"/>
  <c r="P1747" i="1"/>
  <c r="P1748" i="1"/>
  <c r="P1749" i="1"/>
  <c r="P1750" i="1"/>
  <c r="P1751" i="1"/>
  <c r="P1752" i="1"/>
  <c r="P1753" i="1"/>
  <c r="P1754" i="1"/>
  <c r="P1755" i="1"/>
  <c r="P1756" i="1"/>
  <c r="P1757" i="1"/>
  <c r="P1758" i="1"/>
  <c r="P1759" i="1"/>
  <c r="P1760" i="1"/>
  <c r="P1761" i="1"/>
  <c r="P1762" i="1"/>
  <c r="P1763" i="1"/>
  <c r="P1764" i="1"/>
  <c r="P1765" i="1"/>
  <c r="P1766" i="1"/>
  <c r="P1767" i="1"/>
  <c r="P1768" i="1"/>
  <c r="P1769" i="1"/>
  <c r="P1770" i="1"/>
  <c r="P1771" i="1"/>
  <c r="P1772" i="1"/>
  <c r="P1773" i="1"/>
  <c r="P1774" i="1"/>
  <c r="P1775" i="1"/>
  <c r="P1776" i="1"/>
  <c r="P1777" i="1"/>
  <c r="P1778" i="1"/>
  <c r="P1779" i="1"/>
  <c r="P1780" i="1"/>
  <c r="P1781" i="1"/>
  <c r="P1782" i="1"/>
  <c r="P1783" i="1"/>
  <c r="P1784" i="1"/>
  <c r="P1785" i="1"/>
  <c r="P1786" i="1"/>
  <c r="P1787" i="1"/>
  <c r="P1788" i="1"/>
  <c r="P1789" i="1"/>
  <c r="P1790" i="1"/>
  <c r="P1791" i="1"/>
  <c r="P1792" i="1"/>
  <c r="P1793" i="1"/>
  <c r="P1794" i="1"/>
  <c r="P1795" i="1"/>
  <c r="P1796" i="1"/>
  <c r="P1797" i="1"/>
  <c r="P1798" i="1"/>
  <c r="P1799" i="1"/>
  <c r="P1800" i="1"/>
  <c r="P1801" i="1"/>
  <c r="P1802" i="1"/>
  <c r="P1803" i="1"/>
  <c r="P1804" i="1"/>
  <c r="P1805" i="1"/>
  <c r="P1806" i="1"/>
  <c r="P1807" i="1"/>
  <c r="P1808" i="1"/>
  <c r="P1809" i="1"/>
  <c r="P1810" i="1"/>
  <c r="P1811" i="1"/>
  <c r="P1812" i="1"/>
  <c r="P1813" i="1"/>
  <c r="P1814" i="1"/>
  <c r="P1815" i="1"/>
  <c r="P1816" i="1"/>
  <c r="P1817" i="1"/>
  <c r="P1818" i="1"/>
  <c r="P1819" i="1"/>
  <c r="P1820" i="1"/>
  <c r="P1821" i="1"/>
  <c r="P1822" i="1"/>
  <c r="P1823" i="1"/>
  <c r="P1824" i="1"/>
  <c r="P1825" i="1"/>
  <c r="P1826" i="1"/>
  <c r="P1827" i="1"/>
  <c r="P1828" i="1"/>
  <c r="P1829" i="1"/>
  <c r="P1830" i="1"/>
  <c r="P1831" i="1"/>
  <c r="P1832" i="1"/>
  <c r="P1833" i="1"/>
  <c r="P1834" i="1"/>
  <c r="P1835" i="1"/>
  <c r="P1836" i="1"/>
  <c r="P1837" i="1"/>
  <c r="P1838" i="1"/>
  <c r="P1839" i="1"/>
  <c r="P1840" i="1"/>
  <c r="P1841" i="1"/>
  <c r="P1842" i="1"/>
  <c r="P1843" i="1"/>
  <c r="P1844" i="1"/>
  <c r="P1845" i="1"/>
  <c r="P1846" i="1"/>
  <c r="P1847" i="1"/>
  <c r="P1848" i="1"/>
  <c r="P1849" i="1"/>
  <c r="P1850" i="1"/>
  <c r="P1851" i="1"/>
  <c r="P1852" i="1"/>
  <c r="P1853" i="1"/>
  <c r="P1854" i="1"/>
  <c r="P1855" i="1"/>
  <c r="P1856" i="1"/>
  <c r="P1857" i="1"/>
  <c r="P1858" i="1"/>
  <c r="P1859" i="1"/>
  <c r="P1860" i="1"/>
  <c r="P1861" i="1"/>
  <c r="P1862" i="1"/>
  <c r="P1863" i="1"/>
  <c r="P1864" i="1"/>
  <c r="P1865" i="1"/>
  <c r="P1866" i="1"/>
  <c r="P1867" i="1"/>
  <c r="P1868" i="1"/>
  <c r="P1869" i="1"/>
  <c r="P1870" i="1"/>
  <c r="P1871" i="1"/>
  <c r="P1872" i="1"/>
  <c r="P1873" i="1"/>
  <c r="P1874" i="1"/>
  <c r="P1875" i="1"/>
  <c r="P1876" i="1"/>
  <c r="P1877" i="1"/>
  <c r="P1878" i="1"/>
  <c r="P1879" i="1"/>
  <c r="P1880" i="1"/>
  <c r="P1881" i="1"/>
  <c r="P1882" i="1"/>
  <c r="P1883" i="1"/>
  <c r="P1884" i="1"/>
  <c r="P1885" i="1"/>
  <c r="P1886" i="1"/>
  <c r="P1887" i="1"/>
  <c r="P1888" i="1"/>
  <c r="P1889" i="1"/>
  <c r="P1890" i="1"/>
  <c r="P1891" i="1"/>
  <c r="P1892" i="1"/>
  <c r="P1893" i="1"/>
  <c r="P1894" i="1"/>
  <c r="P1895" i="1"/>
  <c r="P1896" i="1"/>
  <c r="P1897" i="1"/>
  <c r="P1898" i="1"/>
  <c r="P1899" i="1"/>
  <c r="P1900" i="1"/>
  <c r="P1901" i="1"/>
  <c r="P1902" i="1"/>
  <c r="P1903" i="1"/>
  <c r="P1904" i="1"/>
  <c r="P1905" i="1"/>
  <c r="P1906" i="1"/>
  <c r="P1907" i="1"/>
  <c r="P1908" i="1"/>
  <c r="P1909" i="1"/>
  <c r="P1910" i="1"/>
  <c r="P1911" i="1"/>
  <c r="P1912" i="1"/>
  <c r="P1913" i="1"/>
  <c r="P1914" i="1"/>
  <c r="P1915" i="1"/>
  <c r="P1916" i="1"/>
  <c r="P1917" i="1"/>
  <c r="P1918" i="1"/>
  <c r="P1919" i="1"/>
  <c r="P1920" i="1"/>
  <c r="P1921" i="1"/>
  <c r="P1922" i="1"/>
  <c r="P1923" i="1"/>
  <c r="P1924" i="1"/>
  <c r="P1925" i="1"/>
  <c r="P1926" i="1"/>
  <c r="P1927" i="1"/>
  <c r="P1928" i="1"/>
  <c r="P1929" i="1"/>
  <c r="P1930" i="1"/>
  <c r="P1931" i="1"/>
  <c r="P1932" i="1"/>
  <c r="P1933" i="1"/>
  <c r="P1934" i="1"/>
  <c r="P1935" i="1"/>
  <c r="P1936" i="1"/>
  <c r="P1937" i="1"/>
  <c r="P1938" i="1"/>
  <c r="P1939" i="1"/>
  <c r="P1940" i="1"/>
  <c r="P1941" i="1"/>
  <c r="P1942" i="1"/>
  <c r="P1943" i="1"/>
  <c r="P1944" i="1"/>
  <c r="P1945" i="1"/>
  <c r="P1946" i="1"/>
  <c r="P1947" i="1"/>
  <c r="P1948" i="1"/>
  <c r="P1949" i="1"/>
  <c r="P1950" i="1"/>
  <c r="P1951" i="1"/>
  <c r="P1952" i="1"/>
  <c r="P1953" i="1"/>
  <c r="P1954" i="1"/>
  <c r="P1955" i="1"/>
  <c r="P1956" i="1"/>
  <c r="P1957" i="1"/>
  <c r="P1958" i="1"/>
  <c r="P1959" i="1"/>
  <c r="P1960" i="1"/>
  <c r="P1961" i="1"/>
  <c r="P1962" i="1"/>
  <c r="P1963" i="1"/>
  <c r="P1964" i="1"/>
  <c r="P1965" i="1"/>
  <c r="P1966" i="1"/>
  <c r="P1967" i="1"/>
  <c r="P1968" i="1"/>
  <c r="P1969" i="1"/>
  <c r="P1970" i="1"/>
  <c r="P1971" i="1"/>
  <c r="P1972" i="1"/>
  <c r="P1973" i="1"/>
  <c r="P1974" i="1"/>
  <c r="P1975" i="1"/>
  <c r="P1976" i="1"/>
  <c r="P1977" i="1"/>
  <c r="P1978" i="1"/>
  <c r="P1979" i="1"/>
  <c r="P1980" i="1"/>
  <c r="P1981" i="1"/>
  <c r="P1982" i="1"/>
  <c r="P1983" i="1"/>
  <c r="P1984" i="1"/>
  <c r="P1985" i="1"/>
  <c r="P1986" i="1"/>
  <c r="P1987" i="1"/>
  <c r="P1988" i="1"/>
  <c r="P1989" i="1"/>
  <c r="P1990" i="1"/>
  <c r="P1991" i="1"/>
  <c r="P1992" i="1"/>
  <c r="P1993" i="1"/>
  <c r="P1994" i="1"/>
  <c r="P1995" i="1"/>
  <c r="P1996" i="1"/>
  <c r="P1997" i="1"/>
  <c r="P1998" i="1"/>
  <c r="P1999" i="1"/>
  <c r="P2000" i="1"/>
  <c r="P2001" i="1"/>
  <c r="P2002" i="1"/>
  <c r="P2003" i="1"/>
  <c r="P2004" i="1"/>
  <c r="P2005" i="1"/>
  <c r="P2006" i="1"/>
  <c r="P2007" i="1"/>
  <c r="P2008" i="1"/>
  <c r="P2009" i="1"/>
  <c r="P2010" i="1"/>
  <c r="P2011" i="1"/>
  <c r="P2012" i="1"/>
  <c r="P2013" i="1"/>
  <c r="P2014" i="1"/>
  <c r="P2015" i="1"/>
  <c r="P2016" i="1"/>
  <c r="P2017" i="1"/>
  <c r="P2018" i="1"/>
  <c r="P2019" i="1"/>
  <c r="P2020" i="1"/>
  <c r="P2021" i="1"/>
  <c r="P2022" i="1"/>
  <c r="P2023" i="1"/>
  <c r="P2024" i="1"/>
  <c r="P2025" i="1"/>
  <c r="P2026" i="1"/>
  <c r="P2027" i="1"/>
  <c r="P2028" i="1"/>
  <c r="P2029" i="1"/>
  <c r="P2030" i="1"/>
  <c r="P2031" i="1"/>
  <c r="P2032" i="1"/>
  <c r="P2033" i="1"/>
  <c r="P2034" i="1"/>
  <c r="P2035" i="1"/>
  <c r="P2036" i="1"/>
  <c r="P2037" i="1"/>
  <c r="P2038" i="1"/>
  <c r="P2039" i="1"/>
  <c r="P2040" i="1"/>
  <c r="P2041" i="1"/>
  <c r="P2042" i="1"/>
  <c r="P2043" i="1"/>
  <c r="P2044" i="1"/>
  <c r="P2045" i="1"/>
  <c r="P2046" i="1"/>
  <c r="P2047" i="1"/>
  <c r="P2048" i="1"/>
  <c r="P2049" i="1"/>
  <c r="P2050" i="1"/>
  <c r="P2051" i="1"/>
  <c r="P2052" i="1"/>
  <c r="P2053" i="1"/>
  <c r="P2054" i="1"/>
  <c r="P2055" i="1"/>
  <c r="P2056" i="1"/>
  <c r="P2057" i="1"/>
  <c r="P2058" i="1"/>
  <c r="P2059" i="1"/>
  <c r="P2060" i="1"/>
  <c r="P2061" i="1"/>
  <c r="P2062" i="1"/>
  <c r="P2063" i="1"/>
  <c r="P2064" i="1"/>
  <c r="P2065" i="1"/>
  <c r="P2066" i="1"/>
  <c r="P2067" i="1"/>
  <c r="P2068" i="1"/>
  <c r="P2069" i="1"/>
  <c r="P2070" i="1"/>
  <c r="P2071" i="1"/>
  <c r="P2072" i="1"/>
  <c r="P2073" i="1"/>
  <c r="P2074" i="1"/>
  <c r="P2075" i="1"/>
  <c r="P2076" i="1"/>
  <c r="P2077" i="1"/>
  <c r="P2078" i="1"/>
  <c r="P2079" i="1"/>
  <c r="P2080" i="1"/>
  <c r="P2081" i="1"/>
  <c r="P2082" i="1"/>
  <c r="P2083" i="1"/>
  <c r="P2084" i="1"/>
  <c r="P2085" i="1"/>
  <c r="P2086" i="1"/>
  <c r="P2087" i="1"/>
  <c r="P2088" i="1"/>
  <c r="P2089" i="1"/>
  <c r="P2090" i="1"/>
  <c r="P2091" i="1"/>
  <c r="P2092" i="1"/>
  <c r="P2093" i="1"/>
  <c r="P2094" i="1"/>
  <c r="P2095" i="1"/>
  <c r="P2096" i="1"/>
  <c r="P2097" i="1"/>
  <c r="P2098" i="1"/>
  <c r="P2099" i="1"/>
  <c r="P2100" i="1"/>
  <c r="P2101" i="1"/>
  <c r="P2102" i="1"/>
  <c r="P2103" i="1"/>
  <c r="P2104" i="1"/>
  <c r="P2105" i="1"/>
  <c r="P2106" i="1"/>
  <c r="P2107" i="1"/>
  <c r="P2108" i="1"/>
  <c r="P2109" i="1"/>
  <c r="P2110" i="1"/>
  <c r="P2111" i="1"/>
  <c r="P2112" i="1"/>
  <c r="P2113" i="1"/>
  <c r="P2114" i="1"/>
  <c r="P2115" i="1"/>
  <c r="P2116" i="1"/>
  <c r="P2117" i="1"/>
  <c r="P2118" i="1"/>
  <c r="P2119" i="1"/>
  <c r="P2120" i="1"/>
  <c r="P2121" i="1"/>
  <c r="P2122" i="1"/>
  <c r="P2123" i="1"/>
  <c r="P2124" i="1"/>
  <c r="P2125" i="1"/>
  <c r="P2126" i="1"/>
  <c r="P2127" i="1"/>
  <c r="P2128" i="1"/>
  <c r="P2129" i="1"/>
  <c r="P2130" i="1"/>
  <c r="P2131" i="1"/>
  <c r="P2132" i="1"/>
  <c r="P2133" i="1"/>
  <c r="P2134" i="1"/>
  <c r="P2135" i="1"/>
  <c r="P2136" i="1"/>
  <c r="P2137" i="1"/>
  <c r="P2138" i="1"/>
  <c r="P2139" i="1"/>
  <c r="P2140" i="1"/>
  <c r="P2141" i="1"/>
  <c r="P2142" i="1"/>
  <c r="P2143" i="1"/>
  <c r="P2144" i="1"/>
  <c r="P2145" i="1"/>
  <c r="P2146" i="1"/>
  <c r="P2147" i="1"/>
  <c r="P2148" i="1"/>
  <c r="P2149" i="1"/>
  <c r="P2150" i="1"/>
  <c r="P2151" i="1"/>
  <c r="P2152" i="1"/>
  <c r="P2153" i="1"/>
  <c r="P2154" i="1"/>
  <c r="P2155" i="1"/>
  <c r="P2156" i="1"/>
  <c r="P2157" i="1"/>
  <c r="P2158" i="1"/>
  <c r="P2159" i="1"/>
  <c r="P2160" i="1"/>
  <c r="P2161" i="1"/>
  <c r="P2162" i="1"/>
  <c r="P2163" i="1"/>
  <c r="P2164" i="1"/>
  <c r="P2165" i="1"/>
  <c r="P2166" i="1"/>
  <c r="P2167" i="1"/>
  <c r="P2168" i="1"/>
  <c r="P2169" i="1"/>
  <c r="P2170" i="1"/>
  <c r="P2171" i="1"/>
  <c r="P2172" i="1"/>
  <c r="P2173" i="1"/>
  <c r="P2174" i="1"/>
  <c r="P2175" i="1"/>
  <c r="P2176" i="1"/>
  <c r="P2177" i="1"/>
  <c r="P2178" i="1"/>
  <c r="P2179" i="1"/>
  <c r="P2180" i="1"/>
  <c r="P2181" i="1"/>
  <c r="P2182" i="1"/>
  <c r="P2183" i="1"/>
  <c r="P2184" i="1"/>
  <c r="P2185" i="1"/>
  <c r="P2186" i="1"/>
  <c r="P2187" i="1"/>
  <c r="P2188" i="1"/>
  <c r="P2189" i="1"/>
  <c r="P2190" i="1"/>
  <c r="P2191" i="1"/>
  <c r="P2192" i="1"/>
  <c r="P2193" i="1"/>
  <c r="P2194" i="1"/>
  <c r="P2195" i="1"/>
  <c r="P2196" i="1"/>
  <c r="P2197" i="1"/>
  <c r="P2198" i="1"/>
  <c r="P2199" i="1"/>
  <c r="P2200" i="1"/>
  <c r="P2201" i="1"/>
  <c r="P2202" i="1"/>
  <c r="P2203" i="1"/>
  <c r="P2204" i="1"/>
  <c r="P2205" i="1"/>
  <c r="P2206" i="1"/>
  <c r="P2207" i="1"/>
  <c r="P2208" i="1"/>
  <c r="P2209" i="1"/>
  <c r="P2210" i="1"/>
  <c r="P2211" i="1"/>
  <c r="P2212" i="1"/>
  <c r="P2213" i="1"/>
  <c r="P2214" i="1"/>
  <c r="P2215" i="1"/>
  <c r="P2216" i="1"/>
  <c r="P2217" i="1"/>
  <c r="P2218" i="1"/>
  <c r="P2219" i="1"/>
  <c r="P2220" i="1"/>
  <c r="P2221" i="1"/>
  <c r="P2222" i="1"/>
  <c r="P2223" i="1"/>
  <c r="P2224" i="1"/>
  <c r="P2225" i="1"/>
  <c r="P2226" i="1"/>
  <c r="P2227" i="1"/>
  <c r="P2228" i="1"/>
  <c r="P2229" i="1"/>
  <c r="P2230" i="1"/>
  <c r="P2231" i="1"/>
  <c r="P2232" i="1"/>
  <c r="P2233" i="1"/>
  <c r="P2234" i="1"/>
  <c r="P2235" i="1"/>
  <c r="P2236" i="1"/>
  <c r="P2237" i="1"/>
  <c r="P2238" i="1"/>
  <c r="P2239" i="1"/>
  <c r="P2240" i="1"/>
  <c r="P2241" i="1"/>
  <c r="P2242" i="1"/>
  <c r="P2243" i="1"/>
  <c r="P2244" i="1"/>
  <c r="P2245" i="1"/>
  <c r="P2246" i="1"/>
  <c r="P2247" i="1"/>
  <c r="P2248" i="1"/>
  <c r="P2249" i="1"/>
  <c r="P2250" i="1"/>
  <c r="P2251" i="1"/>
  <c r="P2252" i="1"/>
  <c r="P2253" i="1"/>
  <c r="P2254" i="1"/>
  <c r="P2255" i="1"/>
  <c r="P2256" i="1"/>
  <c r="P2257" i="1"/>
  <c r="P2258" i="1"/>
  <c r="P2259" i="1"/>
  <c r="P2260" i="1"/>
  <c r="P2261" i="1"/>
  <c r="P2262" i="1"/>
  <c r="P2263" i="1"/>
  <c r="P2264" i="1"/>
  <c r="P2265" i="1"/>
  <c r="P2266" i="1"/>
  <c r="P2267" i="1"/>
  <c r="P2268" i="1"/>
  <c r="P2269" i="1"/>
  <c r="P2270" i="1"/>
  <c r="P2271" i="1"/>
  <c r="P2272" i="1"/>
  <c r="P2273" i="1"/>
  <c r="P2274" i="1"/>
  <c r="P2275" i="1"/>
  <c r="P2276" i="1"/>
  <c r="P2277" i="1"/>
  <c r="P2278" i="1"/>
  <c r="P2279" i="1"/>
  <c r="P2280" i="1"/>
  <c r="P2281" i="1"/>
  <c r="P2282" i="1"/>
  <c r="P2283" i="1"/>
  <c r="P2284" i="1"/>
  <c r="P2285" i="1"/>
  <c r="P2286" i="1"/>
  <c r="P2287" i="1"/>
  <c r="P2288" i="1"/>
  <c r="P2289" i="1"/>
  <c r="P2290" i="1"/>
  <c r="P2291" i="1"/>
  <c r="P2292" i="1"/>
  <c r="P2293" i="1"/>
  <c r="P2294" i="1"/>
  <c r="P2295" i="1"/>
  <c r="P2296" i="1"/>
  <c r="P2297" i="1"/>
  <c r="P2298" i="1"/>
  <c r="P2299" i="1"/>
  <c r="P2300" i="1"/>
  <c r="P2301" i="1"/>
  <c r="P2302" i="1"/>
  <c r="P2303" i="1"/>
  <c r="P2304" i="1"/>
  <c r="P2305" i="1"/>
  <c r="P2306" i="1"/>
  <c r="P2307" i="1"/>
  <c r="P2308" i="1"/>
  <c r="P2309" i="1"/>
  <c r="P2310" i="1"/>
  <c r="P2311" i="1"/>
  <c r="P2312" i="1"/>
  <c r="P2313" i="1"/>
  <c r="P2314" i="1"/>
  <c r="P2315" i="1"/>
  <c r="P2316" i="1"/>
  <c r="P2317" i="1"/>
  <c r="P2318" i="1"/>
  <c r="P2319" i="1"/>
  <c r="P2320" i="1"/>
  <c r="P2321" i="1"/>
  <c r="P2322" i="1"/>
  <c r="P2323" i="1"/>
  <c r="P2324" i="1"/>
  <c r="P2325" i="1"/>
  <c r="P2326" i="1"/>
  <c r="P2327" i="1"/>
  <c r="P2328" i="1"/>
  <c r="P2329" i="1"/>
  <c r="P2330" i="1"/>
  <c r="P2331" i="1"/>
  <c r="P2332" i="1"/>
  <c r="P2333" i="1"/>
  <c r="P2334" i="1"/>
  <c r="P2335" i="1"/>
  <c r="P2336" i="1"/>
  <c r="P2337" i="1"/>
  <c r="P2338" i="1"/>
  <c r="P2339" i="1"/>
  <c r="P2340" i="1"/>
  <c r="P2341" i="1"/>
  <c r="P2342" i="1"/>
  <c r="P2343" i="1"/>
  <c r="P2344" i="1"/>
  <c r="P2345" i="1"/>
  <c r="P2346" i="1"/>
  <c r="P2347" i="1"/>
  <c r="P2348" i="1"/>
  <c r="P2349" i="1"/>
  <c r="P2350" i="1"/>
  <c r="P2351" i="1"/>
  <c r="P2352" i="1"/>
  <c r="P2353" i="1"/>
  <c r="P2354" i="1"/>
  <c r="P2355" i="1"/>
  <c r="P2356" i="1"/>
  <c r="P2357" i="1"/>
  <c r="P2358" i="1"/>
  <c r="P2359" i="1"/>
  <c r="P2360" i="1"/>
  <c r="P2361" i="1"/>
  <c r="P2362" i="1"/>
  <c r="P2363" i="1"/>
  <c r="P2364" i="1"/>
  <c r="P2365" i="1"/>
  <c r="P2366" i="1"/>
  <c r="P2367" i="1"/>
  <c r="P2368" i="1"/>
  <c r="P2369" i="1"/>
  <c r="P2370" i="1"/>
  <c r="P2371" i="1"/>
  <c r="P2372" i="1"/>
  <c r="P2373" i="1"/>
  <c r="P2374" i="1"/>
  <c r="P2375" i="1"/>
  <c r="P2376" i="1"/>
  <c r="P2377" i="1"/>
  <c r="P2378" i="1"/>
  <c r="P2379" i="1"/>
  <c r="P2380" i="1"/>
  <c r="P2381" i="1"/>
  <c r="P2382" i="1"/>
  <c r="P2383" i="1"/>
  <c r="P2384" i="1"/>
  <c r="P2385" i="1"/>
  <c r="P2386" i="1"/>
  <c r="P2387" i="1"/>
  <c r="P2388" i="1"/>
  <c r="P2389" i="1"/>
  <c r="P2390" i="1"/>
  <c r="P2391" i="1"/>
  <c r="P2392" i="1"/>
  <c r="P2393" i="1"/>
  <c r="P2394" i="1"/>
  <c r="P2395" i="1"/>
  <c r="P2396" i="1"/>
  <c r="P2397" i="1"/>
  <c r="P2398" i="1"/>
  <c r="P2399" i="1"/>
  <c r="P2400" i="1"/>
  <c r="P2401" i="1"/>
  <c r="P2402" i="1"/>
  <c r="P2403" i="1"/>
  <c r="P2404" i="1"/>
  <c r="P2405" i="1"/>
  <c r="P2406" i="1"/>
  <c r="P2407" i="1"/>
  <c r="P2408" i="1"/>
  <c r="P2409" i="1"/>
  <c r="P2410" i="1"/>
  <c r="P2411" i="1"/>
  <c r="P2412" i="1"/>
  <c r="P2413" i="1"/>
  <c r="P2414" i="1"/>
  <c r="P2415" i="1"/>
  <c r="P2416" i="1"/>
  <c r="P2417" i="1"/>
  <c r="P2418" i="1"/>
  <c r="P2419" i="1"/>
  <c r="P2420" i="1"/>
  <c r="P2421" i="1"/>
  <c r="P2422" i="1"/>
  <c r="P2423" i="1"/>
  <c r="P2424" i="1"/>
  <c r="P2425" i="1"/>
  <c r="P2426" i="1"/>
  <c r="P2427" i="1"/>
  <c r="P2428" i="1"/>
  <c r="P2429" i="1"/>
  <c r="P2430" i="1"/>
  <c r="P2431" i="1"/>
  <c r="P2432" i="1"/>
  <c r="P2433" i="1"/>
  <c r="P2434" i="1"/>
  <c r="P2435" i="1"/>
  <c r="P2436" i="1"/>
  <c r="P2437" i="1"/>
  <c r="P2438" i="1"/>
  <c r="P2439" i="1"/>
  <c r="P2440" i="1"/>
  <c r="P2441" i="1"/>
  <c r="P2442" i="1"/>
  <c r="P2443" i="1"/>
  <c r="P2444" i="1"/>
  <c r="P2445" i="1"/>
  <c r="P2446" i="1"/>
  <c r="P2447" i="1"/>
  <c r="P2448" i="1"/>
  <c r="P2449" i="1"/>
  <c r="P2450" i="1"/>
  <c r="P2451" i="1"/>
  <c r="P2452" i="1"/>
  <c r="P2453" i="1"/>
  <c r="P2454" i="1"/>
  <c r="P2455" i="1"/>
  <c r="P2456" i="1"/>
  <c r="P2457" i="1"/>
  <c r="P2458" i="1"/>
  <c r="P2459" i="1"/>
  <c r="P2460" i="1"/>
  <c r="P2461" i="1"/>
  <c r="P2462" i="1"/>
  <c r="P2463" i="1"/>
  <c r="P2464" i="1"/>
  <c r="P2465" i="1"/>
  <c r="P2466" i="1"/>
  <c r="P2467" i="1"/>
  <c r="P2468" i="1"/>
  <c r="P2469" i="1"/>
  <c r="P2470" i="1"/>
  <c r="P2471" i="1"/>
  <c r="P2472" i="1"/>
  <c r="P2473" i="1"/>
  <c r="P2474" i="1"/>
  <c r="P2475" i="1"/>
  <c r="P2476" i="1"/>
  <c r="P2477" i="1"/>
  <c r="P2478" i="1"/>
  <c r="P2479" i="1"/>
  <c r="P2480" i="1"/>
  <c r="P2481" i="1"/>
  <c r="P2482" i="1"/>
  <c r="P2483" i="1"/>
  <c r="P2484" i="1"/>
  <c r="P2485" i="1"/>
  <c r="P2486" i="1"/>
  <c r="P2487" i="1"/>
  <c r="P2488" i="1"/>
  <c r="P2489" i="1"/>
  <c r="P2490" i="1"/>
  <c r="P2491" i="1"/>
  <c r="P2492" i="1"/>
  <c r="P2493" i="1"/>
  <c r="P2494" i="1"/>
  <c r="P2495" i="1"/>
  <c r="P2496" i="1"/>
  <c r="P2497" i="1"/>
  <c r="P2498" i="1"/>
  <c r="P2499" i="1"/>
  <c r="P2500" i="1"/>
  <c r="P2501" i="1"/>
  <c r="P2502" i="1"/>
  <c r="P2503" i="1"/>
  <c r="P2504" i="1"/>
  <c r="P2505" i="1"/>
  <c r="P2506" i="1"/>
  <c r="P2507" i="1"/>
  <c r="P2508" i="1"/>
  <c r="P2509" i="1"/>
  <c r="P2510" i="1"/>
  <c r="P2511" i="1"/>
  <c r="P2512" i="1"/>
  <c r="P2513" i="1"/>
  <c r="P2514" i="1"/>
  <c r="P2515" i="1"/>
  <c r="P2516" i="1"/>
  <c r="P2517" i="1"/>
  <c r="P2518" i="1"/>
  <c r="P2519" i="1"/>
  <c r="P2520" i="1"/>
  <c r="P2521" i="1"/>
  <c r="P2522" i="1"/>
  <c r="P2523" i="1"/>
  <c r="P2524" i="1"/>
  <c r="P2525" i="1"/>
  <c r="P2526" i="1"/>
  <c r="P2527" i="1"/>
  <c r="P2528" i="1"/>
  <c r="P2529" i="1"/>
  <c r="P2530" i="1"/>
  <c r="P2531" i="1"/>
  <c r="P2532" i="1"/>
  <c r="P2533" i="1"/>
  <c r="P2534" i="1"/>
  <c r="P2535" i="1"/>
  <c r="P2536" i="1"/>
  <c r="P2537" i="1"/>
  <c r="P2538" i="1"/>
  <c r="P2539" i="1"/>
  <c r="P2540" i="1"/>
  <c r="P2541" i="1"/>
  <c r="P2542" i="1"/>
  <c r="P2543" i="1"/>
  <c r="P2544" i="1"/>
  <c r="P2545" i="1"/>
  <c r="P2546" i="1"/>
  <c r="P2547" i="1"/>
  <c r="P2548" i="1"/>
  <c r="P2549" i="1"/>
  <c r="P2550" i="1"/>
  <c r="P2551" i="1"/>
  <c r="P2552" i="1"/>
  <c r="P2553" i="1"/>
  <c r="P2554" i="1"/>
  <c r="P2555" i="1"/>
  <c r="P2556" i="1"/>
  <c r="P2557" i="1"/>
  <c r="P2558" i="1"/>
  <c r="P2559" i="1"/>
  <c r="P2560" i="1"/>
  <c r="P2561" i="1"/>
  <c r="P2562" i="1"/>
  <c r="P2563" i="1"/>
  <c r="P2564" i="1"/>
  <c r="P2565" i="1"/>
  <c r="P2566" i="1"/>
  <c r="P2567" i="1"/>
  <c r="P2568" i="1"/>
  <c r="P2569" i="1"/>
  <c r="P2570" i="1"/>
  <c r="P2571" i="1"/>
  <c r="P2572" i="1"/>
  <c r="P2573" i="1"/>
  <c r="P2574" i="1"/>
  <c r="P2575" i="1"/>
  <c r="P2576" i="1"/>
  <c r="P2577" i="1"/>
  <c r="P2578" i="1"/>
  <c r="P2579" i="1"/>
  <c r="P2580" i="1"/>
  <c r="P2581" i="1"/>
  <c r="P2582" i="1"/>
  <c r="P2583" i="1"/>
  <c r="P2584" i="1"/>
  <c r="P2585" i="1"/>
  <c r="P2586" i="1"/>
  <c r="P2587" i="1"/>
  <c r="P2588" i="1"/>
  <c r="P2589" i="1"/>
  <c r="P2590" i="1"/>
  <c r="P2591" i="1"/>
  <c r="P2592" i="1"/>
  <c r="P2593" i="1"/>
  <c r="P2594" i="1"/>
  <c r="P2595" i="1"/>
  <c r="P2596" i="1"/>
  <c r="P2597" i="1"/>
  <c r="P2598" i="1"/>
  <c r="P2599" i="1"/>
  <c r="P2600" i="1"/>
  <c r="P260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<sst xmlns="http://schemas.openxmlformats.org/spreadsheetml/2006/main" count="13622" uniqueCount="2677">
  <si>
    <t>Device</t>
  </si>
  <si>
    <t>Sum of Clicks</t>
  </si>
  <si>
    <t>Sum of Impressions</t>
  </si>
  <si>
    <t>Sum of Cost</t>
  </si>
  <si>
    <t>Sum of Leads</t>
  </si>
  <si>
    <t>Sum of Conversions</t>
  </si>
  <si>
    <t>Sum of Sale_Amount</t>
  </si>
  <si>
    <t>Desktop</t>
  </si>
  <si>
    <t>Mobile</t>
  </si>
  <si>
    <t>Tablet</t>
  </si>
  <si>
    <t>Grand Total</t>
  </si>
  <si>
    <t>Ad_ID</t>
  </si>
  <si>
    <t>Campaign_Name</t>
  </si>
  <si>
    <t>Clicks</t>
  </si>
  <si>
    <t>Impressions</t>
  </si>
  <si>
    <t>Cost</t>
  </si>
  <si>
    <t>Leads</t>
  </si>
  <si>
    <t>Conversions</t>
  </si>
  <si>
    <t>Conversion Rate</t>
  </si>
  <si>
    <t>Sale_Amount</t>
  </si>
  <si>
    <t>Ad_Date</t>
  </si>
  <si>
    <t>Location</t>
  </si>
  <si>
    <t>Keyword</t>
  </si>
  <si>
    <t>Clean_Date</t>
  </si>
  <si>
    <t>CTR</t>
  </si>
  <si>
    <t>CPC</t>
  </si>
  <si>
    <t>CPL</t>
  </si>
  <si>
    <t>CPCONV</t>
  </si>
  <si>
    <t>ROAS</t>
  </si>
  <si>
    <t>A1000</t>
  </si>
  <si>
    <t>Data Analytics Course</t>
  </si>
  <si>
    <t>Hyderabad</t>
  </si>
  <si>
    <t>learn data analytics</t>
  </si>
  <si>
    <t>A1001</t>
  </si>
  <si>
    <t>20-11-2024</t>
  </si>
  <si>
    <t>data analytics course</t>
  </si>
  <si>
    <t>A1002</t>
  </si>
  <si>
    <t>data analitics online</t>
  </si>
  <si>
    <t>A1003</t>
  </si>
  <si>
    <t>data anaytics training</t>
  </si>
  <si>
    <t>A1004</t>
  </si>
  <si>
    <t>online data analytic</t>
  </si>
  <si>
    <t>A1005</t>
  </si>
  <si>
    <t>16-11-2024</t>
  </si>
  <si>
    <t>A1006</t>
  </si>
  <si>
    <t>A1007</t>
  </si>
  <si>
    <t>analytics for data</t>
  </si>
  <si>
    <t>A1008</t>
  </si>
  <si>
    <t>A1009</t>
  </si>
  <si>
    <t>A1010</t>
  </si>
  <si>
    <t>14-11-2024</t>
  </si>
  <si>
    <t>A1011</t>
  </si>
  <si>
    <t>A1012</t>
  </si>
  <si>
    <t>A1013</t>
  </si>
  <si>
    <t>A1014</t>
  </si>
  <si>
    <t>A1015</t>
  </si>
  <si>
    <t>A1016</t>
  </si>
  <si>
    <t>A1017</t>
  </si>
  <si>
    <t>A1018</t>
  </si>
  <si>
    <t>A1019</t>
  </si>
  <si>
    <t>A1020</t>
  </si>
  <si>
    <t>A1021</t>
  </si>
  <si>
    <t>A1022</t>
  </si>
  <si>
    <t>A1023</t>
  </si>
  <si>
    <t>30-11-2024</t>
  </si>
  <si>
    <t>A1024</t>
  </si>
  <si>
    <t>A1025</t>
  </si>
  <si>
    <t>A1026</t>
  </si>
  <si>
    <t>A1027</t>
  </si>
  <si>
    <t>A1028</t>
  </si>
  <si>
    <t>A1029</t>
  </si>
  <si>
    <t>A1030</t>
  </si>
  <si>
    <t>A1031</t>
  </si>
  <si>
    <t>22-11-2024</t>
  </si>
  <si>
    <t>A1032</t>
  </si>
  <si>
    <t>A1033</t>
  </si>
  <si>
    <t>A1034</t>
  </si>
  <si>
    <t>A1035</t>
  </si>
  <si>
    <t>A1036</t>
  </si>
  <si>
    <t>A1037</t>
  </si>
  <si>
    <t>A1038</t>
  </si>
  <si>
    <t>A1039</t>
  </si>
  <si>
    <t>A1040</t>
  </si>
  <si>
    <t>A1041</t>
  </si>
  <si>
    <t>A1042</t>
  </si>
  <si>
    <t>A1043</t>
  </si>
  <si>
    <t>29-11-2024</t>
  </si>
  <si>
    <t>A1044</t>
  </si>
  <si>
    <t>A1045</t>
  </si>
  <si>
    <t>15-11-2024</t>
  </si>
  <si>
    <t>A1046</t>
  </si>
  <si>
    <t>A1047</t>
  </si>
  <si>
    <t>A1048</t>
  </si>
  <si>
    <t>A1049</t>
  </si>
  <si>
    <t>21-11-2024</t>
  </si>
  <si>
    <t>A1050</t>
  </si>
  <si>
    <t>A1051</t>
  </si>
  <si>
    <t>A1052</t>
  </si>
  <si>
    <t>A1053</t>
  </si>
  <si>
    <t>A1054</t>
  </si>
  <si>
    <t>26-11-2024</t>
  </si>
  <si>
    <t>A1055</t>
  </si>
  <si>
    <t>A1056</t>
  </si>
  <si>
    <t>A1057</t>
  </si>
  <si>
    <t>A1058</t>
  </si>
  <si>
    <t>18-11-2024</t>
  </si>
  <si>
    <t>A1059</t>
  </si>
  <si>
    <t>A1060</t>
  </si>
  <si>
    <t>A1061</t>
  </si>
  <si>
    <t>A1062</t>
  </si>
  <si>
    <t>A1063</t>
  </si>
  <si>
    <t>23-11-2024</t>
  </si>
  <si>
    <t>A1064</t>
  </si>
  <si>
    <t>A1065</t>
  </si>
  <si>
    <t>A1066</t>
  </si>
  <si>
    <t>27-11-2024</t>
  </si>
  <si>
    <t>A1067</t>
  </si>
  <si>
    <t>A1068</t>
  </si>
  <si>
    <t>A1069</t>
  </si>
  <si>
    <t>A1070</t>
  </si>
  <si>
    <t>A1071</t>
  </si>
  <si>
    <t>A1072</t>
  </si>
  <si>
    <t>A1073</t>
  </si>
  <si>
    <t>A1074</t>
  </si>
  <si>
    <t>A1075</t>
  </si>
  <si>
    <t>A1076</t>
  </si>
  <si>
    <t>A1077</t>
  </si>
  <si>
    <t>A1078</t>
  </si>
  <si>
    <t>A1079</t>
  </si>
  <si>
    <t>A1080</t>
  </si>
  <si>
    <t>A1081</t>
  </si>
  <si>
    <t>A1082</t>
  </si>
  <si>
    <t>17-11-2024</t>
  </si>
  <si>
    <t>A1083</t>
  </si>
  <si>
    <t>A1084</t>
  </si>
  <si>
    <t>A1085</t>
  </si>
  <si>
    <t>A1086</t>
  </si>
  <si>
    <t>A1087</t>
  </si>
  <si>
    <t>A1088</t>
  </si>
  <si>
    <t>A1089</t>
  </si>
  <si>
    <t>A1090</t>
  </si>
  <si>
    <t>A1091</t>
  </si>
  <si>
    <t>A1092</t>
  </si>
  <si>
    <t>A1093</t>
  </si>
  <si>
    <t>A1094</t>
  </si>
  <si>
    <t>A1095</t>
  </si>
  <si>
    <t>A1096</t>
  </si>
  <si>
    <t>A1097</t>
  </si>
  <si>
    <t>A1098</t>
  </si>
  <si>
    <t>A1099</t>
  </si>
  <si>
    <t>A1100</t>
  </si>
  <si>
    <t>A1101</t>
  </si>
  <si>
    <t>A1102</t>
  </si>
  <si>
    <t>A1103</t>
  </si>
  <si>
    <t>A1104</t>
  </si>
  <si>
    <t>A1105</t>
  </si>
  <si>
    <t>A1106</t>
  </si>
  <si>
    <t>A1107</t>
  </si>
  <si>
    <t>A1108</t>
  </si>
  <si>
    <t>A1109</t>
  </si>
  <si>
    <t>A1110</t>
  </si>
  <si>
    <t>A1111</t>
  </si>
  <si>
    <t>A1112</t>
  </si>
  <si>
    <t>A1113</t>
  </si>
  <si>
    <t>A1114</t>
  </si>
  <si>
    <t>A1115</t>
  </si>
  <si>
    <t>A1116</t>
  </si>
  <si>
    <t>24-11-2024</t>
  </si>
  <si>
    <t>A1117</t>
  </si>
  <si>
    <t>A1118</t>
  </si>
  <si>
    <t>A1119</t>
  </si>
  <si>
    <t>A1120</t>
  </si>
  <si>
    <t>A1121</t>
  </si>
  <si>
    <t>A1122</t>
  </si>
  <si>
    <t>A1123</t>
  </si>
  <si>
    <t>A1124</t>
  </si>
  <si>
    <t>A1125</t>
  </si>
  <si>
    <t>A1126</t>
  </si>
  <si>
    <t>A1127</t>
  </si>
  <si>
    <t>A1128</t>
  </si>
  <si>
    <t>A1129</t>
  </si>
  <si>
    <t>A1130</t>
  </si>
  <si>
    <t>A1131</t>
  </si>
  <si>
    <t>A1132</t>
  </si>
  <si>
    <t>A1133</t>
  </si>
  <si>
    <t>A1134</t>
  </si>
  <si>
    <t>A1135</t>
  </si>
  <si>
    <t>A1136</t>
  </si>
  <si>
    <t>A1137</t>
  </si>
  <si>
    <t>A1138</t>
  </si>
  <si>
    <t>A1139</t>
  </si>
  <si>
    <t>A1140</t>
  </si>
  <si>
    <t>A1141</t>
  </si>
  <si>
    <t>A1142</t>
  </si>
  <si>
    <t>A1143</t>
  </si>
  <si>
    <t>A1144</t>
  </si>
  <si>
    <t>A1145</t>
  </si>
  <si>
    <t>A1146</t>
  </si>
  <si>
    <t>A1147</t>
  </si>
  <si>
    <t>A1148</t>
  </si>
  <si>
    <t>A1149</t>
  </si>
  <si>
    <t>A1150</t>
  </si>
  <si>
    <t>A1151</t>
  </si>
  <si>
    <t>A1152</t>
  </si>
  <si>
    <t>A1153</t>
  </si>
  <si>
    <t>A1154</t>
  </si>
  <si>
    <t>25-11-2024</t>
  </si>
  <si>
    <t>A1155</t>
  </si>
  <si>
    <t>A1156</t>
  </si>
  <si>
    <t>A1157</t>
  </si>
  <si>
    <t>A1158</t>
  </si>
  <si>
    <t>A1159</t>
  </si>
  <si>
    <t>A1160</t>
  </si>
  <si>
    <t>A1161</t>
  </si>
  <si>
    <t>A1162</t>
  </si>
  <si>
    <t>A1163</t>
  </si>
  <si>
    <t>A1164</t>
  </si>
  <si>
    <t>13-11-2024</t>
  </si>
  <si>
    <t>A1165</t>
  </si>
  <si>
    <t>A1166</t>
  </si>
  <si>
    <t>A1167</t>
  </si>
  <si>
    <t>A1168</t>
  </si>
  <si>
    <t>A1169</t>
  </si>
  <si>
    <t>A1170</t>
  </si>
  <si>
    <t>A1171</t>
  </si>
  <si>
    <t>A1172</t>
  </si>
  <si>
    <t>A1173</t>
  </si>
  <si>
    <t>A1174</t>
  </si>
  <si>
    <t>A1175</t>
  </si>
  <si>
    <t>A1176</t>
  </si>
  <si>
    <t>A1177</t>
  </si>
  <si>
    <t>A1178</t>
  </si>
  <si>
    <t>A1179</t>
  </si>
  <si>
    <t>A1180</t>
  </si>
  <si>
    <t>A1181</t>
  </si>
  <si>
    <t>A1182</t>
  </si>
  <si>
    <t>A1183</t>
  </si>
  <si>
    <t>A1184</t>
  </si>
  <si>
    <t>A1185</t>
  </si>
  <si>
    <t>A1186</t>
  </si>
  <si>
    <t>A1187</t>
  </si>
  <si>
    <t>A1188</t>
  </si>
  <si>
    <t>A1189</t>
  </si>
  <si>
    <t>A1190</t>
  </si>
  <si>
    <t>A1191</t>
  </si>
  <si>
    <t>A1192</t>
  </si>
  <si>
    <t>A1193</t>
  </si>
  <si>
    <t>A1194</t>
  </si>
  <si>
    <t>A1195</t>
  </si>
  <si>
    <t>A1196</t>
  </si>
  <si>
    <t>A1197</t>
  </si>
  <si>
    <t>A1198</t>
  </si>
  <si>
    <t>A1199</t>
  </si>
  <si>
    <t>A1200</t>
  </si>
  <si>
    <t>A1201</t>
  </si>
  <si>
    <t>A1202</t>
  </si>
  <si>
    <t>A1203</t>
  </si>
  <si>
    <t>A1204</t>
  </si>
  <si>
    <t>A1205</t>
  </si>
  <si>
    <t>A1206</t>
  </si>
  <si>
    <t>A1207</t>
  </si>
  <si>
    <t>A1208</t>
  </si>
  <si>
    <t>A1209</t>
  </si>
  <si>
    <t>A1210</t>
  </si>
  <si>
    <t>A1211</t>
  </si>
  <si>
    <t>A1212</t>
  </si>
  <si>
    <t>A1213</t>
  </si>
  <si>
    <t>A1214</t>
  </si>
  <si>
    <t>A1215</t>
  </si>
  <si>
    <t>A1216</t>
  </si>
  <si>
    <t>A1217</t>
  </si>
  <si>
    <t>A1218</t>
  </si>
  <si>
    <t>A1219</t>
  </si>
  <si>
    <t>A1220</t>
  </si>
  <si>
    <t>A1221</t>
  </si>
  <si>
    <t>A1222</t>
  </si>
  <si>
    <t>A1223</t>
  </si>
  <si>
    <t>A1224</t>
  </si>
  <si>
    <t>A1225</t>
  </si>
  <si>
    <t>A1226</t>
  </si>
  <si>
    <t>A1227</t>
  </si>
  <si>
    <t>A1228</t>
  </si>
  <si>
    <t>A1229</t>
  </si>
  <si>
    <t>A1230</t>
  </si>
  <si>
    <t>A1231</t>
  </si>
  <si>
    <t>A1232</t>
  </si>
  <si>
    <t>A1233</t>
  </si>
  <si>
    <t>A1234</t>
  </si>
  <si>
    <t>A1235</t>
  </si>
  <si>
    <t>A1236</t>
  </si>
  <si>
    <t>A1237</t>
  </si>
  <si>
    <t>A1238</t>
  </si>
  <si>
    <t>A1239</t>
  </si>
  <si>
    <t>A1240</t>
  </si>
  <si>
    <t>A1241</t>
  </si>
  <si>
    <t>A1242</t>
  </si>
  <si>
    <t>A1243</t>
  </si>
  <si>
    <t>A1244</t>
  </si>
  <si>
    <t>A1245</t>
  </si>
  <si>
    <t>A1246</t>
  </si>
  <si>
    <t>A1247</t>
  </si>
  <si>
    <t>A1248</t>
  </si>
  <si>
    <t>A1249</t>
  </si>
  <si>
    <t>A1250</t>
  </si>
  <si>
    <t>A1251</t>
  </si>
  <si>
    <t>A1252</t>
  </si>
  <si>
    <t>A1253</t>
  </si>
  <si>
    <t>A1254</t>
  </si>
  <si>
    <t>A1255</t>
  </si>
  <si>
    <t>A1256</t>
  </si>
  <si>
    <t>A1257</t>
  </si>
  <si>
    <t>A1258</t>
  </si>
  <si>
    <t>A1259</t>
  </si>
  <si>
    <t>A1260</t>
  </si>
  <si>
    <t>A1261</t>
  </si>
  <si>
    <t>A1262</t>
  </si>
  <si>
    <t>A1263</t>
  </si>
  <si>
    <t>A1264</t>
  </si>
  <si>
    <t>A1265</t>
  </si>
  <si>
    <t>A1266</t>
  </si>
  <si>
    <t>A1267</t>
  </si>
  <si>
    <t>A1268</t>
  </si>
  <si>
    <t>A1269</t>
  </si>
  <si>
    <t>A1270</t>
  </si>
  <si>
    <t>A1271</t>
  </si>
  <si>
    <t>A1272</t>
  </si>
  <si>
    <t>A1273</t>
  </si>
  <si>
    <t>A1274</t>
  </si>
  <si>
    <t>A1275</t>
  </si>
  <si>
    <t>A1276</t>
  </si>
  <si>
    <t>A1277</t>
  </si>
  <si>
    <t>A1278</t>
  </si>
  <si>
    <t>A1279</t>
  </si>
  <si>
    <t>A1280</t>
  </si>
  <si>
    <t>A1281</t>
  </si>
  <si>
    <t>A1282</t>
  </si>
  <si>
    <t>A1283</t>
  </si>
  <si>
    <t>A1284</t>
  </si>
  <si>
    <t>A1285</t>
  </si>
  <si>
    <t>A1286</t>
  </si>
  <si>
    <t>A1287</t>
  </si>
  <si>
    <t>A1288</t>
  </si>
  <si>
    <t>A1289</t>
  </si>
  <si>
    <t>A1290</t>
  </si>
  <si>
    <t>A1291</t>
  </si>
  <si>
    <t>A1292</t>
  </si>
  <si>
    <t>A1293</t>
  </si>
  <si>
    <t>A1294</t>
  </si>
  <si>
    <t>19-11-2024</t>
  </si>
  <si>
    <t>A1295</t>
  </si>
  <si>
    <t>A1296</t>
  </si>
  <si>
    <t>A1297</t>
  </si>
  <si>
    <t>A1298</t>
  </si>
  <si>
    <t>A1299</t>
  </si>
  <si>
    <t>A1300</t>
  </si>
  <si>
    <t>A1301</t>
  </si>
  <si>
    <t>A1302</t>
  </si>
  <si>
    <t>28-11-2024</t>
  </si>
  <si>
    <t>A1303</t>
  </si>
  <si>
    <t>A1304</t>
  </si>
  <si>
    <t>A1305</t>
  </si>
  <si>
    <t>A1306</t>
  </si>
  <si>
    <t>A1307</t>
  </si>
  <si>
    <t>A1308</t>
  </si>
  <si>
    <t>A1309</t>
  </si>
  <si>
    <t>A1310</t>
  </si>
  <si>
    <t>A1311</t>
  </si>
  <si>
    <t>A1312</t>
  </si>
  <si>
    <t>A1313</t>
  </si>
  <si>
    <t>A1314</t>
  </si>
  <si>
    <t>A1315</t>
  </si>
  <si>
    <t>A1316</t>
  </si>
  <si>
    <t>A1317</t>
  </si>
  <si>
    <t>A1318</t>
  </si>
  <si>
    <t>A1319</t>
  </si>
  <si>
    <t>A1320</t>
  </si>
  <si>
    <t>A1321</t>
  </si>
  <si>
    <t>A1322</t>
  </si>
  <si>
    <t>A1323</t>
  </si>
  <si>
    <t>A1324</t>
  </si>
  <si>
    <t>A1325</t>
  </si>
  <si>
    <t>A1326</t>
  </si>
  <si>
    <t>A1327</t>
  </si>
  <si>
    <t>A1328</t>
  </si>
  <si>
    <t>A1329</t>
  </si>
  <si>
    <t>A1330</t>
  </si>
  <si>
    <t>A1331</t>
  </si>
  <si>
    <t>A1332</t>
  </si>
  <si>
    <t>A1333</t>
  </si>
  <si>
    <t>A1334</t>
  </si>
  <si>
    <t>A1335</t>
  </si>
  <si>
    <t>A1336</t>
  </si>
  <si>
    <t>A1337</t>
  </si>
  <si>
    <t>A1338</t>
  </si>
  <si>
    <t>A1339</t>
  </si>
  <si>
    <t>A1340</t>
  </si>
  <si>
    <t>A1341</t>
  </si>
  <si>
    <t>A1342</t>
  </si>
  <si>
    <t>A1343</t>
  </si>
  <si>
    <t>A1344</t>
  </si>
  <si>
    <t>A1345</t>
  </si>
  <si>
    <t>A1346</t>
  </si>
  <si>
    <t>A1347</t>
  </si>
  <si>
    <t>A1348</t>
  </si>
  <si>
    <t>A1349</t>
  </si>
  <si>
    <t>A1350</t>
  </si>
  <si>
    <t>A1351</t>
  </si>
  <si>
    <t>A1352</t>
  </si>
  <si>
    <t>A1353</t>
  </si>
  <si>
    <t>A1354</t>
  </si>
  <si>
    <t>A1355</t>
  </si>
  <si>
    <t>A1356</t>
  </si>
  <si>
    <t>A1357</t>
  </si>
  <si>
    <t>A1358</t>
  </si>
  <si>
    <t>A1359</t>
  </si>
  <si>
    <t>A1360</t>
  </si>
  <si>
    <t>A1361</t>
  </si>
  <si>
    <t>A1362</t>
  </si>
  <si>
    <t>A1363</t>
  </si>
  <si>
    <t>A1364</t>
  </si>
  <si>
    <t>A1365</t>
  </si>
  <si>
    <t>A1366</t>
  </si>
  <si>
    <t>A1367</t>
  </si>
  <si>
    <t>A1368</t>
  </si>
  <si>
    <t>A1369</t>
  </si>
  <si>
    <t>A1370</t>
  </si>
  <si>
    <t>A1371</t>
  </si>
  <si>
    <t>A1372</t>
  </si>
  <si>
    <t>A1373</t>
  </si>
  <si>
    <t>A1374</t>
  </si>
  <si>
    <t>A1375</t>
  </si>
  <si>
    <t>A1376</t>
  </si>
  <si>
    <t>A1377</t>
  </si>
  <si>
    <t>A1378</t>
  </si>
  <si>
    <t>A1379</t>
  </si>
  <si>
    <t>A1380</t>
  </si>
  <si>
    <t>A1381</t>
  </si>
  <si>
    <t>A1382</t>
  </si>
  <si>
    <t>A1383</t>
  </si>
  <si>
    <t>A1384</t>
  </si>
  <si>
    <t>A1385</t>
  </si>
  <si>
    <t>A1386</t>
  </si>
  <si>
    <t>A1387</t>
  </si>
  <si>
    <t>A1388</t>
  </si>
  <si>
    <t>A1389</t>
  </si>
  <si>
    <t>A1390</t>
  </si>
  <si>
    <t>A1391</t>
  </si>
  <si>
    <t>A1392</t>
  </si>
  <si>
    <t>A1393</t>
  </si>
  <si>
    <t>A1394</t>
  </si>
  <si>
    <t>A1395</t>
  </si>
  <si>
    <t>A1396</t>
  </si>
  <si>
    <t>A1397</t>
  </si>
  <si>
    <t>A1398</t>
  </si>
  <si>
    <t>A1399</t>
  </si>
  <si>
    <t>A1400</t>
  </si>
  <si>
    <t>A1401</t>
  </si>
  <si>
    <t>A1402</t>
  </si>
  <si>
    <t>A1403</t>
  </si>
  <si>
    <t>A1404</t>
  </si>
  <si>
    <t>A1405</t>
  </si>
  <si>
    <t>A1406</t>
  </si>
  <si>
    <t>A1407</t>
  </si>
  <si>
    <t>A1408</t>
  </si>
  <si>
    <t>A1409</t>
  </si>
  <si>
    <t>A1410</t>
  </si>
  <si>
    <t>A1411</t>
  </si>
  <si>
    <t>A1412</t>
  </si>
  <si>
    <t>A1413</t>
  </si>
  <si>
    <t>A1414</t>
  </si>
  <si>
    <t>A1415</t>
  </si>
  <si>
    <t>A1416</t>
  </si>
  <si>
    <t>A1417</t>
  </si>
  <si>
    <t>A1418</t>
  </si>
  <si>
    <t>A1419</t>
  </si>
  <si>
    <t>A1420</t>
  </si>
  <si>
    <t>A1421</t>
  </si>
  <si>
    <t>A1422</t>
  </si>
  <si>
    <t>A1423</t>
  </si>
  <si>
    <t>A1424</t>
  </si>
  <si>
    <t>A1425</t>
  </si>
  <si>
    <t>A1426</t>
  </si>
  <si>
    <t>A1427</t>
  </si>
  <si>
    <t>A1428</t>
  </si>
  <si>
    <t>A1429</t>
  </si>
  <si>
    <t>A1430</t>
  </si>
  <si>
    <t>A1431</t>
  </si>
  <si>
    <t>A1432</t>
  </si>
  <si>
    <t>A1433</t>
  </si>
  <si>
    <t>A1434</t>
  </si>
  <si>
    <t>A1435</t>
  </si>
  <si>
    <t>A1436</t>
  </si>
  <si>
    <t>A1437</t>
  </si>
  <si>
    <t>A1438</t>
  </si>
  <si>
    <t>A1439</t>
  </si>
  <si>
    <t>A1440</t>
  </si>
  <si>
    <t>A1441</t>
  </si>
  <si>
    <t>A1442</t>
  </si>
  <si>
    <t>A1443</t>
  </si>
  <si>
    <t>A1444</t>
  </si>
  <si>
    <t>A1445</t>
  </si>
  <si>
    <t>A1446</t>
  </si>
  <si>
    <t>A1447</t>
  </si>
  <si>
    <t>A1448</t>
  </si>
  <si>
    <t>A1449</t>
  </si>
  <si>
    <t>A1450</t>
  </si>
  <si>
    <t>A1451</t>
  </si>
  <si>
    <t>A1452</t>
  </si>
  <si>
    <t>A1453</t>
  </si>
  <si>
    <t>A1454</t>
  </si>
  <si>
    <t>A1455</t>
  </si>
  <si>
    <t>A1456</t>
  </si>
  <si>
    <t>A1457</t>
  </si>
  <si>
    <t>A1458</t>
  </si>
  <si>
    <t>A1459</t>
  </si>
  <si>
    <t>A1460</t>
  </si>
  <si>
    <t>A1461</t>
  </si>
  <si>
    <t>A1462</t>
  </si>
  <si>
    <t>A1463</t>
  </si>
  <si>
    <t>A1464</t>
  </si>
  <si>
    <t>A1465</t>
  </si>
  <si>
    <t>A1466</t>
  </si>
  <si>
    <t>A1467</t>
  </si>
  <si>
    <t>A1468</t>
  </si>
  <si>
    <t>A1469</t>
  </si>
  <si>
    <t>A1470</t>
  </si>
  <si>
    <t>A1471</t>
  </si>
  <si>
    <t>A1472</t>
  </si>
  <si>
    <t>A1473</t>
  </si>
  <si>
    <t>A1474</t>
  </si>
  <si>
    <t>A1475</t>
  </si>
  <si>
    <t>A1476</t>
  </si>
  <si>
    <t>A1477</t>
  </si>
  <si>
    <t>A1478</t>
  </si>
  <si>
    <t>A1479</t>
  </si>
  <si>
    <t>A1480</t>
  </si>
  <si>
    <t>A1481</t>
  </si>
  <si>
    <t>A1482</t>
  </si>
  <si>
    <t>A1483</t>
  </si>
  <si>
    <t>A1484</t>
  </si>
  <si>
    <t>A1485</t>
  </si>
  <si>
    <t>A1486</t>
  </si>
  <si>
    <t>A1487</t>
  </si>
  <si>
    <t>A1488</t>
  </si>
  <si>
    <t>A1489</t>
  </si>
  <si>
    <t>A1490</t>
  </si>
  <si>
    <t>A1491</t>
  </si>
  <si>
    <t>A1492</t>
  </si>
  <si>
    <t>A1493</t>
  </si>
  <si>
    <t>A1494</t>
  </si>
  <si>
    <t>A1495</t>
  </si>
  <si>
    <t>A1496</t>
  </si>
  <si>
    <t>A1497</t>
  </si>
  <si>
    <t>A1498</t>
  </si>
  <si>
    <t>A1499</t>
  </si>
  <si>
    <t>A1500</t>
  </si>
  <si>
    <t>A1501</t>
  </si>
  <si>
    <t>A1502</t>
  </si>
  <si>
    <t>A1503</t>
  </si>
  <si>
    <t>A1504</t>
  </si>
  <si>
    <t>A1505</t>
  </si>
  <si>
    <t>A1506</t>
  </si>
  <si>
    <t>A1507</t>
  </si>
  <si>
    <t>A1508</t>
  </si>
  <si>
    <t>A1509</t>
  </si>
  <si>
    <t>A1510</t>
  </si>
  <si>
    <t>A1511</t>
  </si>
  <si>
    <t>A1512</t>
  </si>
  <si>
    <t>A1513</t>
  </si>
  <si>
    <t>A1514</t>
  </si>
  <si>
    <t>A1515</t>
  </si>
  <si>
    <t>A1516</t>
  </si>
  <si>
    <t>A1517</t>
  </si>
  <si>
    <t>A1518</t>
  </si>
  <si>
    <t>A1519</t>
  </si>
  <si>
    <t>A1520</t>
  </si>
  <si>
    <t>A1521</t>
  </si>
  <si>
    <t>A1522</t>
  </si>
  <si>
    <t>A1523</t>
  </si>
  <si>
    <t>A1524</t>
  </si>
  <si>
    <t>A1525</t>
  </si>
  <si>
    <t>A1526</t>
  </si>
  <si>
    <t>A1527</t>
  </si>
  <si>
    <t>A1528</t>
  </si>
  <si>
    <t>A1529</t>
  </si>
  <si>
    <t>A1530</t>
  </si>
  <si>
    <t>A1531</t>
  </si>
  <si>
    <t>A1532</t>
  </si>
  <si>
    <t>A1533</t>
  </si>
  <si>
    <t>A1534</t>
  </si>
  <si>
    <t>A1535</t>
  </si>
  <si>
    <t>A1536</t>
  </si>
  <si>
    <t>A1537</t>
  </si>
  <si>
    <t>A1538</t>
  </si>
  <si>
    <t>A1539</t>
  </si>
  <si>
    <t>A1540</t>
  </si>
  <si>
    <t>A1541</t>
  </si>
  <si>
    <t>A1542</t>
  </si>
  <si>
    <t>A1543</t>
  </si>
  <si>
    <t>A1544</t>
  </si>
  <si>
    <t>A1545</t>
  </si>
  <si>
    <t>A1546</t>
  </si>
  <si>
    <t>A1547</t>
  </si>
  <si>
    <t>A1548</t>
  </si>
  <si>
    <t>A1549</t>
  </si>
  <si>
    <t>A1550</t>
  </si>
  <si>
    <t>A1551</t>
  </si>
  <si>
    <t>A1552</t>
  </si>
  <si>
    <t>A1553</t>
  </si>
  <si>
    <t>A1554</t>
  </si>
  <si>
    <t>A1555</t>
  </si>
  <si>
    <t>A1556</t>
  </si>
  <si>
    <t>A1557</t>
  </si>
  <si>
    <t>A1558</t>
  </si>
  <si>
    <t>A1559</t>
  </si>
  <si>
    <t>A1560</t>
  </si>
  <si>
    <t>A1561</t>
  </si>
  <si>
    <t>A1562</t>
  </si>
  <si>
    <t>A1563</t>
  </si>
  <si>
    <t>A1564</t>
  </si>
  <si>
    <t>A1565</t>
  </si>
  <si>
    <t>A1566</t>
  </si>
  <si>
    <t>A1567</t>
  </si>
  <si>
    <t>A1568</t>
  </si>
  <si>
    <t>A1569</t>
  </si>
  <si>
    <t>A1570</t>
  </si>
  <si>
    <t>A1571</t>
  </si>
  <si>
    <t>A1572</t>
  </si>
  <si>
    <t>A1573</t>
  </si>
  <si>
    <t>A1574</t>
  </si>
  <si>
    <t>A1575</t>
  </si>
  <si>
    <t>A1576</t>
  </si>
  <si>
    <t>A1577</t>
  </si>
  <si>
    <t>A1578</t>
  </si>
  <si>
    <t>A1579</t>
  </si>
  <si>
    <t>A1580</t>
  </si>
  <si>
    <t>A1581</t>
  </si>
  <si>
    <t>A1582</t>
  </si>
  <si>
    <t>A1583</t>
  </si>
  <si>
    <t>A1584</t>
  </si>
  <si>
    <t>A1585</t>
  </si>
  <si>
    <t>A1586</t>
  </si>
  <si>
    <t>A1587</t>
  </si>
  <si>
    <t>A1588</t>
  </si>
  <si>
    <t>A1589</t>
  </si>
  <si>
    <t>A1590</t>
  </si>
  <si>
    <t>A1591</t>
  </si>
  <si>
    <t>A1592</t>
  </si>
  <si>
    <t>A1593</t>
  </si>
  <si>
    <t>A1594</t>
  </si>
  <si>
    <t>A1595</t>
  </si>
  <si>
    <t>A1596</t>
  </si>
  <si>
    <t>A1597</t>
  </si>
  <si>
    <t>A1598</t>
  </si>
  <si>
    <t>A1599</t>
  </si>
  <si>
    <t>A1600</t>
  </si>
  <si>
    <t>A1601</t>
  </si>
  <si>
    <t>A1602</t>
  </si>
  <si>
    <t>A1603</t>
  </si>
  <si>
    <t>A1604</t>
  </si>
  <si>
    <t>A1605</t>
  </si>
  <si>
    <t>A1606</t>
  </si>
  <si>
    <t>A1607</t>
  </si>
  <si>
    <t>A1608</t>
  </si>
  <si>
    <t>A1609</t>
  </si>
  <si>
    <t>A1610</t>
  </si>
  <si>
    <t>A1611</t>
  </si>
  <si>
    <t>A1612</t>
  </si>
  <si>
    <t>A1613</t>
  </si>
  <si>
    <t>A1614</t>
  </si>
  <si>
    <t>A1615</t>
  </si>
  <si>
    <t>A1616</t>
  </si>
  <si>
    <t>A1617</t>
  </si>
  <si>
    <t>A1618</t>
  </si>
  <si>
    <t>A1619</t>
  </si>
  <si>
    <t>A1620</t>
  </si>
  <si>
    <t>A1621</t>
  </si>
  <si>
    <t>A1622</t>
  </si>
  <si>
    <t>A1623</t>
  </si>
  <si>
    <t>A1624</t>
  </si>
  <si>
    <t>A1625</t>
  </si>
  <si>
    <t>A1626</t>
  </si>
  <si>
    <t>A1627</t>
  </si>
  <si>
    <t>A1628</t>
  </si>
  <si>
    <t>A1629</t>
  </si>
  <si>
    <t>A1630</t>
  </si>
  <si>
    <t>A1631</t>
  </si>
  <si>
    <t>A1632</t>
  </si>
  <si>
    <t>A1633</t>
  </si>
  <si>
    <t>A1634</t>
  </si>
  <si>
    <t>A1635</t>
  </si>
  <si>
    <t>A1636</t>
  </si>
  <si>
    <t>A1637</t>
  </si>
  <si>
    <t>A1638</t>
  </si>
  <si>
    <t>A1639</t>
  </si>
  <si>
    <t>A1640</t>
  </si>
  <si>
    <t>A1641</t>
  </si>
  <si>
    <t>A1642</t>
  </si>
  <si>
    <t>A1643</t>
  </si>
  <si>
    <t>A1644</t>
  </si>
  <si>
    <t>A1645</t>
  </si>
  <si>
    <t>A1646</t>
  </si>
  <si>
    <t>A1647</t>
  </si>
  <si>
    <t>A1648</t>
  </si>
  <si>
    <t>A1649</t>
  </si>
  <si>
    <t>A1650</t>
  </si>
  <si>
    <t>A1651</t>
  </si>
  <si>
    <t>A1652</t>
  </si>
  <si>
    <t>A1653</t>
  </si>
  <si>
    <t>A1654</t>
  </si>
  <si>
    <t>A1655</t>
  </si>
  <si>
    <t>A1656</t>
  </si>
  <si>
    <t>A1657</t>
  </si>
  <si>
    <t>A1658</t>
  </si>
  <si>
    <t>A1659</t>
  </si>
  <si>
    <t>A1660</t>
  </si>
  <si>
    <t>A1661</t>
  </si>
  <si>
    <t>A1662</t>
  </si>
  <si>
    <t>A1663</t>
  </si>
  <si>
    <t>A1664</t>
  </si>
  <si>
    <t>A1665</t>
  </si>
  <si>
    <t>A1666</t>
  </si>
  <si>
    <t>A1667</t>
  </si>
  <si>
    <t>A1668</t>
  </si>
  <si>
    <t>A1669</t>
  </si>
  <si>
    <t>A1670</t>
  </si>
  <si>
    <t>A1671</t>
  </si>
  <si>
    <t>A1672</t>
  </si>
  <si>
    <t>A1673</t>
  </si>
  <si>
    <t>A1674</t>
  </si>
  <si>
    <t>A1675</t>
  </si>
  <si>
    <t>A1676</t>
  </si>
  <si>
    <t>A1677</t>
  </si>
  <si>
    <t>A1678</t>
  </si>
  <si>
    <t>A1679</t>
  </si>
  <si>
    <t>A1680</t>
  </si>
  <si>
    <t>A1681</t>
  </si>
  <si>
    <t>A1682</t>
  </si>
  <si>
    <t>A1683</t>
  </si>
  <si>
    <t>A1684</t>
  </si>
  <si>
    <t>A1685</t>
  </si>
  <si>
    <t>A1686</t>
  </si>
  <si>
    <t>A1687</t>
  </si>
  <si>
    <t>A1688</t>
  </si>
  <si>
    <t>A1689</t>
  </si>
  <si>
    <t>A1690</t>
  </si>
  <si>
    <t>A1691</t>
  </si>
  <si>
    <t>A1692</t>
  </si>
  <si>
    <t>A1693</t>
  </si>
  <si>
    <t>A1694</t>
  </si>
  <si>
    <t>A1695</t>
  </si>
  <si>
    <t>A1696</t>
  </si>
  <si>
    <t>A1697</t>
  </si>
  <si>
    <t>A1698</t>
  </si>
  <si>
    <t>A1699</t>
  </si>
  <si>
    <t>A1700</t>
  </si>
  <si>
    <t>A1701</t>
  </si>
  <si>
    <t>A1702</t>
  </si>
  <si>
    <t>A1703</t>
  </si>
  <si>
    <t>A1704</t>
  </si>
  <si>
    <t>A1705</t>
  </si>
  <si>
    <t>A1706</t>
  </si>
  <si>
    <t>A1707</t>
  </si>
  <si>
    <t>A1708</t>
  </si>
  <si>
    <t>A1709</t>
  </si>
  <si>
    <t>A1710</t>
  </si>
  <si>
    <t>A1711</t>
  </si>
  <si>
    <t>A1712</t>
  </si>
  <si>
    <t>A1713</t>
  </si>
  <si>
    <t>A1714</t>
  </si>
  <si>
    <t>A1715</t>
  </si>
  <si>
    <t>A1716</t>
  </si>
  <si>
    <t>A1717</t>
  </si>
  <si>
    <t>A1718</t>
  </si>
  <si>
    <t>A1719</t>
  </si>
  <si>
    <t>A1720</t>
  </si>
  <si>
    <t>A1721</t>
  </si>
  <si>
    <t>A1722</t>
  </si>
  <si>
    <t>A1723</t>
  </si>
  <si>
    <t>A1724</t>
  </si>
  <si>
    <t>A1725</t>
  </si>
  <si>
    <t>A1726</t>
  </si>
  <si>
    <t>A1727</t>
  </si>
  <si>
    <t>A1728</t>
  </si>
  <si>
    <t>A1729</t>
  </si>
  <si>
    <t>A1730</t>
  </si>
  <si>
    <t>A1731</t>
  </si>
  <si>
    <t>A1732</t>
  </si>
  <si>
    <t>A1733</t>
  </si>
  <si>
    <t>A1734</t>
  </si>
  <si>
    <t>A1735</t>
  </si>
  <si>
    <t>A1736</t>
  </si>
  <si>
    <t>A1737</t>
  </si>
  <si>
    <t>A1738</t>
  </si>
  <si>
    <t>A1739</t>
  </si>
  <si>
    <t>A1740</t>
  </si>
  <si>
    <t>A1741</t>
  </si>
  <si>
    <t>A1742</t>
  </si>
  <si>
    <t>A1743</t>
  </si>
  <si>
    <t>A1744</t>
  </si>
  <si>
    <t>A1745</t>
  </si>
  <si>
    <t>A1746</t>
  </si>
  <si>
    <t>A1747</t>
  </si>
  <si>
    <t>A1748</t>
  </si>
  <si>
    <t>A1749</t>
  </si>
  <si>
    <t>A1750</t>
  </si>
  <si>
    <t>A1751</t>
  </si>
  <si>
    <t>A1752</t>
  </si>
  <si>
    <t>A1753</t>
  </si>
  <si>
    <t>A1754</t>
  </si>
  <si>
    <t>A1755</t>
  </si>
  <si>
    <t>A1756</t>
  </si>
  <si>
    <t>A1757</t>
  </si>
  <si>
    <t>A1758</t>
  </si>
  <si>
    <t>A1759</t>
  </si>
  <si>
    <t>A1760</t>
  </si>
  <si>
    <t>A1761</t>
  </si>
  <si>
    <t>A1762</t>
  </si>
  <si>
    <t>A1763</t>
  </si>
  <si>
    <t>A1764</t>
  </si>
  <si>
    <t>A1765</t>
  </si>
  <si>
    <t>A1766</t>
  </si>
  <si>
    <t>A1767</t>
  </si>
  <si>
    <t>A1768</t>
  </si>
  <si>
    <t>A1769</t>
  </si>
  <si>
    <t>A1770</t>
  </si>
  <si>
    <t>A1771</t>
  </si>
  <si>
    <t>A1772</t>
  </si>
  <si>
    <t>A1773</t>
  </si>
  <si>
    <t>A1774</t>
  </si>
  <si>
    <t>A1775</t>
  </si>
  <si>
    <t>A1776</t>
  </si>
  <si>
    <t>A1777</t>
  </si>
  <si>
    <t>A1778</t>
  </si>
  <si>
    <t>A1779</t>
  </si>
  <si>
    <t>A1780</t>
  </si>
  <si>
    <t>A1781</t>
  </si>
  <si>
    <t>A1782</t>
  </si>
  <si>
    <t>A1783</t>
  </si>
  <si>
    <t>A1784</t>
  </si>
  <si>
    <t>A1785</t>
  </si>
  <si>
    <t>A1786</t>
  </si>
  <si>
    <t>A1787</t>
  </si>
  <si>
    <t>A1788</t>
  </si>
  <si>
    <t>A1789</t>
  </si>
  <si>
    <t>A1790</t>
  </si>
  <si>
    <t>A1791</t>
  </si>
  <si>
    <t>A1792</t>
  </si>
  <si>
    <t>A1793</t>
  </si>
  <si>
    <t>A1794</t>
  </si>
  <si>
    <t>A1795</t>
  </si>
  <si>
    <t>A1796</t>
  </si>
  <si>
    <t>A1797</t>
  </si>
  <si>
    <t>A1798</t>
  </si>
  <si>
    <t>A1799</t>
  </si>
  <si>
    <t>A1800</t>
  </si>
  <si>
    <t>A1801</t>
  </si>
  <si>
    <t>A1802</t>
  </si>
  <si>
    <t>A1803</t>
  </si>
  <si>
    <t>A1804</t>
  </si>
  <si>
    <t>A1805</t>
  </si>
  <si>
    <t>A1806</t>
  </si>
  <si>
    <t>A1807</t>
  </si>
  <si>
    <t>A1808</t>
  </si>
  <si>
    <t>A1809</t>
  </si>
  <si>
    <t>A1810</t>
  </si>
  <si>
    <t>A1811</t>
  </si>
  <si>
    <t>A1812</t>
  </si>
  <si>
    <t>A1813</t>
  </si>
  <si>
    <t>A1814</t>
  </si>
  <si>
    <t>A1815</t>
  </si>
  <si>
    <t>A1816</t>
  </si>
  <si>
    <t>A1817</t>
  </si>
  <si>
    <t>A1818</t>
  </si>
  <si>
    <t>A1819</t>
  </si>
  <si>
    <t>A1820</t>
  </si>
  <si>
    <t>A1821</t>
  </si>
  <si>
    <t>A1822</t>
  </si>
  <si>
    <t>A1823</t>
  </si>
  <si>
    <t>A1824</t>
  </si>
  <si>
    <t>A1825</t>
  </si>
  <si>
    <t>A1826</t>
  </si>
  <si>
    <t>A1827</t>
  </si>
  <si>
    <t>A1828</t>
  </si>
  <si>
    <t>A1829</t>
  </si>
  <si>
    <t>A1830</t>
  </si>
  <si>
    <t>A1831</t>
  </si>
  <si>
    <t>A1832</t>
  </si>
  <si>
    <t>A1833</t>
  </si>
  <si>
    <t>A1834</t>
  </si>
  <si>
    <t>A1835</t>
  </si>
  <si>
    <t>A1836</t>
  </si>
  <si>
    <t>A1837</t>
  </si>
  <si>
    <t>A1838</t>
  </si>
  <si>
    <t>A1839</t>
  </si>
  <si>
    <t>A1840</t>
  </si>
  <si>
    <t>A1841</t>
  </si>
  <si>
    <t>A1842</t>
  </si>
  <si>
    <t>A1843</t>
  </si>
  <si>
    <t>A1844</t>
  </si>
  <si>
    <t>A1845</t>
  </si>
  <si>
    <t>A1846</t>
  </si>
  <si>
    <t>A1847</t>
  </si>
  <si>
    <t>A1848</t>
  </si>
  <si>
    <t>A1849</t>
  </si>
  <si>
    <t>A1850</t>
  </si>
  <si>
    <t>A1851</t>
  </si>
  <si>
    <t>A1852</t>
  </si>
  <si>
    <t>A1853</t>
  </si>
  <si>
    <t>A1854</t>
  </si>
  <si>
    <t>A1855</t>
  </si>
  <si>
    <t>A1856</t>
  </si>
  <si>
    <t>A1857</t>
  </si>
  <si>
    <t>A1858</t>
  </si>
  <si>
    <t>A1859</t>
  </si>
  <si>
    <t>A1860</t>
  </si>
  <si>
    <t>A1861</t>
  </si>
  <si>
    <t>A1862</t>
  </si>
  <si>
    <t>A1863</t>
  </si>
  <si>
    <t>A1864</t>
  </si>
  <si>
    <t>A1865</t>
  </si>
  <si>
    <t>A1866</t>
  </si>
  <si>
    <t>A1867</t>
  </si>
  <si>
    <t>A1868</t>
  </si>
  <si>
    <t>A1869</t>
  </si>
  <si>
    <t>A1870</t>
  </si>
  <si>
    <t>A1871</t>
  </si>
  <si>
    <t>A1872</t>
  </si>
  <si>
    <t>A1873</t>
  </si>
  <si>
    <t>A1874</t>
  </si>
  <si>
    <t>A1875</t>
  </si>
  <si>
    <t>A1876</t>
  </si>
  <si>
    <t>A1877</t>
  </si>
  <si>
    <t>A1878</t>
  </si>
  <si>
    <t>A1879</t>
  </si>
  <si>
    <t>A1880</t>
  </si>
  <si>
    <t>A1881</t>
  </si>
  <si>
    <t>A1882</t>
  </si>
  <si>
    <t>A1883</t>
  </si>
  <si>
    <t>A1884</t>
  </si>
  <si>
    <t>A1885</t>
  </si>
  <si>
    <t>A1886</t>
  </si>
  <si>
    <t>A1887</t>
  </si>
  <si>
    <t>A1888</t>
  </si>
  <si>
    <t>A1889</t>
  </si>
  <si>
    <t>A1890</t>
  </si>
  <si>
    <t>A1891</t>
  </si>
  <si>
    <t>A1892</t>
  </si>
  <si>
    <t>A1893</t>
  </si>
  <si>
    <t>A1894</t>
  </si>
  <si>
    <t>A1895</t>
  </si>
  <si>
    <t>A1896</t>
  </si>
  <si>
    <t>A1897</t>
  </si>
  <si>
    <t>A1898</t>
  </si>
  <si>
    <t>A1899</t>
  </si>
  <si>
    <t>A1900</t>
  </si>
  <si>
    <t>A1901</t>
  </si>
  <si>
    <t>A1902</t>
  </si>
  <si>
    <t>A1903</t>
  </si>
  <si>
    <t>A1904</t>
  </si>
  <si>
    <t>A1905</t>
  </si>
  <si>
    <t>A1906</t>
  </si>
  <si>
    <t>A1907</t>
  </si>
  <si>
    <t>A1908</t>
  </si>
  <si>
    <t>A1909</t>
  </si>
  <si>
    <t>A1910</t>
  </si>
  <si>
    <t>A1911</t>
  </si>
  <si>
    <t>A1912</t>
  </si>
  <si>
    <t>A1913</t>
  </si>
  <si>
    <t>A1914</t>
  </si>
  <si>
    <t>A1915</t>
  </si>
  <si>
    <t>A1916</t>
  </si>
  <si>
    <t>A1917</t>
  </si>
  <si>
    <t>A1918</t>
  </si>
  <si>
    <t>A1919</t>
  </si>
  <si>
    <t>A1920</t>
  </si>
  <si>
    <t>A1921</t>
  </si>
  <si>
    <t>A1922</t>
  </si>
  <si>
    <t>A1923</t>
  </si>
  <si>
    <t>A1924</t>
  </si>
  <si>
    <t>A1925</t>
  </si>
  <si>
    <t>A1926</t>
  </si>
  <si>
    <t>A1927</t>
  </si>
  <si>
    <t>A1928</t>
  </si>
  <si>
    <t>A1929</t>
  </si>
  <si>
    <t>A1930</t>
  </si>
  <si>
    <t>A1931</t>
  </si>
  <si>
    <t>A1932</t>
  </si>
  <si>
    <t>A1933</t>
  </si>
  <si>
    <t>A1934</t>
  </si>
  <si>
    <t>A1935</t>
  </si>
  <si>
    <t>A1936</t>
  </si>
  <si>
    <t>A1937</t>
  </si>
  <si>
    <t>A1938</t>
  </si>
  <si>
    <t>A1939</t>
  </si>
  <si>
    <t>A1940</t>
  </si>
  <si>
    <t>A1941</t>
  </si>
  <si>
    <t>A1942</t>
  </si>
  <si>
    <t>A1943</t>
  </si>
  <si>
    <t>A1944</t>
  </si>
  <si>
    <t>A1945</t>
  </si>
  <si>
    <t>A1946</t>
  </si>
  <si>
    <t>A1947</t>
  </si>
  <si>
    <t>A1948</t>
  </si>
  <si>
    <t>A1949</t>
  </si>
  <si>
    <t>A1950</t>
  </si>
  <si>
    <t>A1951</t>
  </si>
  <si>
    <t>A1952</t>
  </si>
  <si>
    <t>A1953</t>
  </si>
  <si>
    <t>A1954</t>
  </si>
  <si>
    <t>A1955</t>
  </si>
  <si>
    <t>A1956</t>
  </si>
  <si>
    <t>A1957</t>
  </si>
  <si>
    <t>A1958</t>
  </si>
  <si>
    <t>A1959</t>
  </si>
  <si>
    <t>A1960</t>
  </si>
  <si>
    <t>A1961</t>
  </si>
  <si>
    <t>A1962</t>
  </si>
  <si>
    <t>A1963</t>
  </si>
  <si>
    <t>A1964</t>
  </si>
  <si>
    <t>A1965</t>
  </si>
  <si>
    <t>A1966</t>
  </si>
  <si>
    <t>A1967</t>
  </si>
  <si>
    <t>A1968</t>
  </si>
  <si>
    <t>A1969</t>
  </si>
  <si>
    <t>A1970</t>
  </si>
  <si>
    <t>A1971</t>
  </si>
  <si>
    <t>A1972</t>
  </si>
  <si>
    <t>A1973</t>
  </si>
  <si>
    <t>A1974</t>
  </si>
  <si>
    <t>A1975</t>
  </si>
  <si>
    <t>A1976</t>
  </si>
  <si>
    <t>A1977</t>
  </si>
  <si>
    <t>A1978</t>
  </si>
  <si>
    <t>A1979</t>
  </si>
  <si>
    <t>A1980</t>
  </si>
  <si>
    <t>A1981</t>
  </si>
  <si>
    <t>A1982</t>
  </si>
  <si>
    <t>A1983</t>
  </si>
  <si>
    <t>A1984</t>
  </si>
  <si>
    <t>A1985</t>
  </si>
  <si>
    <t>A1986</t>
  </si>
  <si>
    <t>A1987</t>
  </si>
  <si>
    <t>A1988</t>
  </si>
  <si>
    <t>A1989</t>
  </si>
  <si>
    <t>A1990</t>
  </si>
  <si>
    <t>A1991</t>
  </si>
  <si>
    <t>A1992</t>
  </si>
  <si>
    <t>A1993</t>
  </si>
  <si>
    <t>A1994</t>
  </si>
  <si>
    <t>A1995</t>
  </si>
  <si>
    <t>A1996</t>
  </si>
  <si>
    <t>A1997</t>
  </si>
  <si>
    <t>A1998</t>
  </si>
  <si>
    <t>A1999</t>
  </si>
  <si>
    <t>A2000</t>
  </si>
  <si>
    <t>A2001</t>
  </si>
  <si>
    <t>A2002</t>
  </si>
  <si>
    <t>A2003</t>
  </si>
  <si>
    <t>A2004</t>
  </si>
  <si>
    <t>A2005</t>
  </si>
  <si>
    <t>A2006</t>
  </si>
  <si>
    <t>A2007</t>
  </si>
  <si>
    <t>A2008</t>
  </si>
  <si>
    <t>A2009</t>
  </si>
  <si>
    <t>A2010</t>
  </si>
  <si>
    <t>A2011</t>
  </si>
  <si>
    <t>A2012</t>
  </si>
  <si>
    <t>A2013</t>
  </si>
  <si>
    <t>A2014</t>
  </si>
  <si>
    <t>A2015</t>
  </si>
  <si>
    <t>A2016</t>
  </si>
  <si>
    <t>A2017</t>
  </si>
  <si>
    <t>A2018</t>
  </si>
  <si>
    <t>A2019</t>
  </si>
  <si>
    <t>A2020</t>
  </si>
  <si>
    <t>A2021</t>
  </si>
  <si>
    <t>A2022</t>
  </si>
  <si>
    <t>A2023</t>
  </si>
  <si>
    <t>A2024</t>
  </si>
  <si>
    <t>A2025</t>
  </si>
  <si>
    <t>A2026</t>
  </si>
  <si>
    <t>A2027</t>
  </si>
  <si>
    <t>A2028</t>
  </si>
  <si>
    <t>A2029</t>
  </si>
  <si>
    <t>A2030</t>
  </si>
  <si>
    <t>A2031</t>
  </si>
  <si>
    <t>A2032</t>
  </si>
  <si>
    <t>A2033</t>
  </si>
  <si>
    <t>A2034</t>
  </si>
  <si>
    <t>A2035</t>
  </si>
  <si>
    <t>A2036</t>
  </si>
  <si>
    <t>A2037</t>
  </si>
  <si>
    <t>A2038</t>
  </si>
  <si>
    <t>A2039</t>
  </si>
  <si>
    <t>A2040</t>
  </si>
  <si>
    <t>A2041</t>
  </si>
  <si>
    <t>A2042</t>
  </si>
  <si>
    <t>A2043</t>
  </si>
  <si>
    <t>A2044</t>
  </si>
  <si>
    <t>A2045</t>
  </si>
  <si>
    <t>A2046</t>
  </si>
  <si>
    <t>A2047</t>
  </si>
  <si>
    <t>A2048</t>
  </si>
  <si>
    <t>A2049</t>
  </si>
  <si>
    <t>A2050</t>
  </si>
  <si>
    <t>A2051</t>
  </si>
  <si>
    <t>A2052</t>
  </si>
  <si>
    <t>A2053</t>
  </si>
  <si>
    <t>A2054</t>
  </si>
  <si>
    <t>A2055</t>
  </si>
  <si>
    <t>A2056</t>
  </si>
  <si>
    <t>A2057</t>
  </si>
  <si>
    <t>A2058</t>
  </si>
  <si>
    <t>A2059</t>
  </si>
  <si>
    <t>A2060</t>
  </si>
  <si>
    <t>A2061</t>
  </si>
  <si>
    <t>A2062</t>
  </si>
  <si>
    <t>A2063</t>
  </si>
  <si>
    <t>A2064</t>
  </si>
  <si>
    <t>A2065</t>
  </si>
  <si>
    <t>A2066</t>
  </si>
  <si>
    <t>A2067</t>
  </si>
  <si>
    <t>A2068</t>
  </si>
  <si>
    <t>A2069</t>
  </si>
  <si>
    <t>A2070</t>
  </si>
  <si>
    <t>A2071</t>
  </si>
  <si>
    <t>A2072</t>
  </si>
  <si>
    <t>A2073</t>
  </si>
  <si>
    <t>A2074</t>
  </si>
  <si>
    <t>A2075</t>
  </si>
  <si>
    <t>A2076</t>
  </si>
  <si>
    <t>A2077</t>
  </si>
  <si>
    <t>A2078</t>
  </si>
  <si>
    <t>A2079</t>
  </si>
  <si>
    <t>A2080</t>
  </si>
  <si>
    <t>A2081</t>
  </si>
  <si>
    <t>A2082</t>
  </si>
  <si>
    <t>A2083</t>
  </si>
  <si>
    <t>A2084</t>
  </si>
  <si>
    <t>A2085</t>
  </si>
  <si>
    <t>A2086</t>
  </si>
  <si>
    <t>A2087</t>
  </si>
  <si>
    <t>A2088</t>
  </si>
  <si>
    <t>A2089</t>
  </si>
  <si>
    <t>A2090</t>
  </si>
  <si>
    <t>A2091</t>
  </si>
  <si>
    <t>A2092</t>
  </si>
  <si>
    <t>A2093</t>
  </si>
  <si>
    <t>A2094</t>
  </si>
  <si>
    <t>A2095</t>
  </si>
  <si>
    <t>A2096</t>
  </si>
  <si>
    <t>A2097</t>
  </si>
  <si>
    <t>A2098</t>
  </si>
  <si>
    <t>A2099</t>
  </si>
  <si>
    <t>A2100</t>
  </si>
  <si>
    <t>A2101</t>
  </si>
  <si>
    <t>A2102</t>
  </si>
  <si>
    <t>A2103</t>
  </si>
  <si>
    <t>A2104</t>
  </si>
  <si>
    <t>A2105</t>
  </si>
  <si>
    <t>A2106</t>
  </si>
  <si>
    <t>A2107</t>
  </si>
  <si>
    <t>A2108</t>
  </si>
  <si>
    <t>A2109</t>
  </si>
  <si>
    <t>A2110</t>
  </si>
  <si>
    <t>A2111</t>
  </si>
  <si>
    <t>A2112</t>
  </si>
  <si>
    <t>A2113</t>
  </si>
  <si>
    <t>A2114</t>
  </si>
  <si>
    <t>A2115</t>
  </si>
  <si>
    <t>A2116</t>
  </si>
  <si>
    <t>A2117</t>
  </si>
  <si>
    <t>A2118</t>
  </si>
  <si>
    <t>A2119</t>
  </si>
  <si>
    <t>A2120</t>
  </si>
  <si>
    <t>A2121</t>
  </si>
  <si>
    <t>A2122</t>
  </si>
  <si>
    <t>A2123</t>
  </si>
  <si>
    <t>A2124</t>
  </si>
  <si>
    <t>A2125</t>
  </si>
  <si>
    <t>A2126</t>
  </si>
  <si>
    <t>A2127</t>
  </si>
  <si>
    <t>A2128</t>
  </si>
  <si>
    <t>A2129</t>
  </si>
  <si>
    <t>A2130</t>
  </si>
  <si>
    <t>A2131</t>
  </si>
  <si>
    <t>A2132</t>
  </si>
  <si>
    <t>A2133</t>
  </si>
  <si>
    <t>A2134</t>
  </si>
  <si>
    <t>A2135</t>
  </si>
  <si>
    <t>A2136</t>
  </si>
  <si>
    <t>A2137</t>
  </si>
  <si>
    <t>A2138</t>
  </si>
  <si>
    <t>A2139</t>
  </si>
  <si>
    <t>A2140</t>
  </si>
  <si>
    <t>A2141</t>
  </si>
  <si>
    <t>A2142</t>
  </si>
  <si>
    <t>A2143</t>
  </si>
  <si>
    <t>A2144</t>
  </si>
  <si>
    <t>A2145</t>
  </si>
  <si>
    <t>A2146</t>
  </si>
  <si>
    <t>A2147</t>
  </si>
  <si>
    <t>A2148</t>
  </si>
  <si>
    <t>A2149</t>
  </si>
  <si>
    <t>A2150</t>
  </si>
  <si>
    <t>A2151</t>
  </si>
  <si>
    <t>A2152</t>
  </si>
  <si>
    <t>A2153</t>
  </si>
  <si>
    <t>A2154</t>
  </si>
  <si>
    <t>A2155</t>
  </si>
  <si>
    <t>A2156</t>
  </si>
  <si>
    <t>A2157</t>
  </si>
  <si>
    <t>A2158</t>
  </si>
  <si>
    <t>A2159</t>
  </si>
  <si>
    <t>A2160</t>
  </si>
  <si>
    <t>A2161</t>
  </si>
  <si>
    <t>A2162</t>
  </si>
  <si>
    <t>A2163</t>
  </si>
  <si>
    <t>A2164</t>
  </si>
  <si>
    <t>A2165</t>
  </si>
  <si>
    <t>A2166</t>
  </si>
  <si>
    <t>A2167</t>
  </si>
  <si>
    <t>A2168</t>
  </si>
  <si>
    <t>A2169</t>
  </si>
  <si>
    <t>A2170</t>
  </si>
  <si>
    <t>A2171</t>
  </si>
  <si>
    <t>A2172</t>
  </si>
  <si>
    <t>A2173</t>
  </si>
  <si>
    <t>A2174</t>
  </si>
  <si>
    <t>A2175</t>
  </si>
  <si>
    <t>A2176</t>
  </si>
  <si>
    <t>A2177</t>
  </si>
  <si>
    <t>A2178</t>
  </si>
  <si>
    <t>A2179</t>
  </si>
  <si>
    <t>A2180</t>
  </si>
  <si>
    <t>A2181</t>
  </si>
  <si>
    <t>A2182</t>
  </si>
  <si>
    <t>A2183</t>
  </si>
  <si>
    <t>A2184</t>
  </si>
  <si>
    <t>A2185</t>
  </si>
  <si>
    <t>A2186</t>
  </si>
  <si>
    <t>A2187</t>
  </si>
  <si>
    <t>A2188</t>
  </si>
  <si>
    <t>A2189</t>
  </si>
  <si>
    <t>A2190</t>
  </si>
  <si>
    <t>A2191</t>
  </si>
  <si>
    <t>A2192</t>
  </si>
  <si>
    <t>A2193</t>
  </si>
  <si>
    <t>A2194</t>
  </si>
  <si>
    <t>A2195</t>
  </si>
  <si>
    <t>A2196</t>
  </si>
  <si>
    <t>A2197</t>
  </si>
  <si>
    <t>A2198</t>
  </si>
  <si>
    <t>A2199</t>
  </si>
  <si>
    <t>A2200</t>
  </si>
  <si>
    <t>A2201</t>
  </si>
  <si>
    <t>A2202</t>
  </si>
  <si>
    <t>A2203</t>
  </si>
  <si>
    <t>A2204</t>
  </si>
  <si>
    <t>A2205</t>
  </si>
  <si>
    <t>A2206</t>
  </si>
  <si>
    <t>A2207</t>
  </si>
  <si>
    <t>A2208</t>
  </si>
  <si>
    <t>A2209</t>
  </si>
  <si>
    <t>A2210</t>
  </si>
  <si>
    <t>A2211</t>
  </si>
  <si>
    <t>A2212</t>
  </si>
  <si>
    <t>A2213</t>
  </si>
  <si>
    <t>A2214</t>
  </si>
  <si>
    <t>A2215</t>
  </si>
  <si>
    <t>A2216</t>
  </si>
  <si>
    <t>A2217</t>
  </si>
  <si>
    <t>A2218</t>
  </si>
  <si>
    <t>A2219</t>
  </si>
  <si>
    <t>A2220</t>
  </si>
  <si>
    <t>A2221</t>
  </si>
  <si>
    <t>A2222</t>
  </si>
  <si>
    <t>A2223</t>
  </si>
  <si>
    <t>A2224</t>
  </si>
  <si>
    <t>A2225</t>
  </si>
  <si>
    <t>A2226</t>
  </si>
  <si>
    <t>A2227</t>
  </si>
  <si>
    <t>A2228</t>
  </si>
  <si>
    <t>A2229</t>
  </si>
  <si>
    <t>A2230</t>
  </si>
  <si>
    <t>A2231</t>
  </si>
  <si>
    <t>A2232</t>
  </si>
  <si>
    <t>A2233</t>
  </si>
  <si>
    <t>A2234</t>
  </si>
  <si>
    <t>A2235</t>
  </si>
  <si>
    <t>A2236</t>
  </si>
  <si>
    <t>A2237</t>
  </si>
  <si>
    <t>A2238</t>
  </si>
  <si>
    <t>A2239</t>
  </si>
  <si>
    <t>A2240</t>
  </si>
  <si>
    <t>A2241</t>
  </si>
  <si>
    <t>A2242</t>
  </si>
  <si>
    <t>A2243</t>
  </si>
  <si>
    <t>A2244</t>
  </si>
  <si>
    <t>A2245</t>
  </si>
  <si>
    <t>A2246</t>
  </si>
  <si>
    <t>A2247</t>
  </si>
  <si>
    <t>A2248</t>
  </si>
  <si>
    <t>A2249</t>
  </si>
  <si>
    <t>A2250</t>
  </si>
  <si>
    <t>A2251</t>
  </si>
  <si>
    <t>A2252</t>
  </si>
  <si>
    <t>A2253</t>
  </si>
  <si>
    <t>A2254</t>
  </si>
  <si>
    <t>A2255</t>
  </si>
  <si>
    <t>A2256</t>
  </si>
  <si>
    <t>A2257</t>
  </si>
  <si>
    <t>A2258</t>
  </si>
  <si>
    <t>A2259</t>
  </si>
  <si>
    <t>A2260</t>
  </si>
  <si>
    <t>A2261</t>
  </si>
  <si>
    <t>A2262</t>
  </si>
  <si>
    <t>A2263</t>
  </si>
  <si>
    <t>A2264</t>
  </si>
  <si>
    <t>A2265</t>
  </si>
  <si>
    <t>A2266</t>
  </si>
  <si>
    <t>A2267</t>
  </si>
  <si>
    <t>A2268</t>
  </si>
  <si>
    <t>A2269</t>
  </si>
  <si>
    <t>A2270</t>
  </si>
  <si>
    <t>A2271</t>
  </si>
  <si>
    <t>A2272</t>
  </si>
  <si>
    <t>A2273</t>
  </si>
  <si>
    <t>A2274</t>
  </si>
  <si>
    <t>A2275</t>
  </si>
  <si>
    <t>A2276</t>
  </si>
  <si>
    <t>A2277</t>
  </si>
  <si>
    <t>A2278</t>
  </si>
  <si>
    <t>A2279</t>
  </si>
  <si>
    <t>A2280</t>
  </si>
  <si>
    <t>A2281</t>
  </si>
  <si>
    <t>A2282</t>
  </si>
  <si>
    <t>A2283</t>
  </si>
  <si>
    <t>A2284</t>
  </si>
  <si>
    <t>A2285</t>
  </si>
  <si>
    <t>A2286</t>
  </si>
  <si>
    <t>A2287</t>
  </si>
  <si>
    <t>A2288</t>
  </si>
  <si>
    <t>A2289</t>
  </si>
  <si>
    <t>A2290</t>
  </si>
  <si>
    <t>A2291</t>
  </si>
  <si>
    <t>A2292</t>
  </si>
  <si>
    <t>A2293</t>
  </si>
  <si>
    <t>A2294</t>
  </si>
  <si>
    <t>A2295</t>
  </si>
  <si>
    <t>A2296</t>
  </si>
  <si>
    <t>A2297</t>
  </si>
  <si>
    <t>A2298</t>
  </si>
  <si>
    <t>A2299</t>
  </si>
  <si>
    <t>A2300</t>
  </si>
  <si>
    <t>A2301</t>
  </si>
  <si>
    <t>A2302</t>
  </si>
  <si>
    <t>A2303</t>
  </si>
  <si>
    <t>A2304</t>
  </si>
  <si>
    <t>A2305</t>
  </si>
  <si>
    <t>A2306</t>
  </si>
  <si>
    <t>A2307</t>
  </si>
  <si>
    <t>A2308</t>
  </si>
  <si>
    <t>A2309</t>
  </si>
  <si>
    <t>A2310</t>
  </si>
  <si>
    <t>A2311</t>
  </si>
  <si>
    <t>A2312</t>
  </si>
  <si>
    <t>A2313</t>
  </si>
  <si>
    <t>A2314</t>
  </si>
  <si>
    <t>A2315</t>
  </si>
  <si>
    <t>A2316</t>
  </si>
  <si>
    <t>A2317</t>
  </si>
  <si>
    <t>A2318</t>
  </si>
  <si>
    <t>A2319</t>
  </si>
  <si>
    <t>A2320</t>
  </si>
  <si>
    <t>A2321</t>
  </si>
  <si>
    <t>A2322</t>
  </si>
  <si>
    <t>A2323</t>
  </si>
  <si>
    <t>A2324</t>
  </si>
  <si>
    <t>A2325</t>
  </si>
  <si>
    <t>A2326</t>
  </si>
  <si>
    <t>A2327</t>
  </si>
  <si>
    <t>A2328</t>
  </si>
  <si>
    <t>A2329</t>
  </si>
  <si>
    <t>A2330</t>
  </si>
  <si>
    <t>A2331</t>
  </si>
  <si>
    <t>A2332</t>
  </si>
  <si>
    <t>A2333</t>
  </si>
  <si>
    <t>A2334</t>
  </si>
  <si>
    <t>A2335</t>
  </si>
  <si>
    <t>A2336</t>
  </si>
  <si>
    <t>A2337</t>
  </si>
  <si>
    <t>A2338</t>
  </si>
  <si>
    <t>A2339</t>
  </si>
  <si>
    <t>A2340</t>
  </si>
  <si>
    <t>A2341</t>
  </si>
  <si>
    <t>A2342</t>
  </si>
  <si>
    <t>A2343</t>
  </si>
  <si>
    <t>A2344</t>
  </si>
  <si>
    <t>A2345</t>
  </si>
  <si>
    <t>A2346</t>
  </si>
  <si>
    <t>A2347</t>
  </si>
  <si>
    <t>A2348</t>
  </si>
  <si>
    <t>A2349</t>
  </si>
  <si>
    <t>A2350</t>
  </si>
  <si>
    <t>A2351</t>
  </si>
  <si>
    <t>A2352</t>
  </si>
  <si>
    <t>A2353</t>
  </si>
  <si>
    <t>A2354</t>
  </si>
  <si>
    <t>A2355</t>
  </si>
  <si>
    <t>A2356</t>
  </si>
  <si>
    <t>A2357</t>
  </si>
  <si>
    <t>A2358</t>
  </si>
  <si>
    <t>A2359</t>
  </si>
  <si>
    <t>A2360</t>
  </si>
  <si>
    <t>A2361</t>
  </si>
  <si>
    <t>A2362</t>
  </si>
  <si>
    <t>A2363</t>
  </si>
  <si>
    <t>A2364</t>
  </si>
  <si>
    <t>A2365</t>
  </si>
  <si>
    <t>A2366</t>
  </si>
  <si>
    <t>A2367</t>
  </si>
  <si>
    <t>A2368</t>
  </si>
  <si>
    <t>A2369</t>
  </si>
  <si>
    <t>A2370</t>
  </si>
  <si>
    <t>A2371</t>
  </si>
  <si>
    <t>A2372</t>
  </si>
  <si>
    <t>A2373</t>
  </si>
  <si>
    <t>A2374</t>
  </si>
  <si>
    <t>A2375</t>
  </si>
  <si>
    <t>A2376</t>
  </si>
  <si>
    <t>A2377</t>
  </si>
  <si>
    <t>A2378</t>
  </si>
  <si>
    <t>A2379</t>
  </si>
  <si>
    <t>A2380</t>
  </si>
  <si>
    <t>A2381</t>
  </si>
  <si>
    <t>A2382</t>
  </si>
  <si>
    <t>A2383</t>
  </si>
  <si>
    <t>A2384</t>
  </si>
  <si>
    <t>A2385</t>
  </si>
  <si>
    <t>A2386</t>
  </si>
  <si>
    <t>A2387</t>
  </si>
  <si>
    <t>A2388</t>
  </si>
  <si>
    <t>A2389</t>
  </si>
  <si>
    <t>A2390</t>
  </si>
  <si>
    <t>A2391</t>
  </si>
  <si>
    <t>A2392</t>
  </si>
  <si>
    <t>A2393</t>
  </si>
  <si>
    <t>A2394</t>
  </si>
  <si>
    <t>A2395</t>
  </si>
  <si>
    <t>A2396</t>
  </si>
  <si>
    <t>A2397</t>
  </si>
  <si>
    <t>A2398</t>
  </si>
  <si>
    <t>A2399</t>
  </si>
  <si>
    <t>A2400</t>
  </si>
  <si>
    <t>A2401</t>
  </si>
  <si>
    <t>A2402</t>
  </si>
  <si>
    <t>A2403</t>
  </si>
  <si>
    <t>A2404</t>
  </si>
  <si>
    <t>A2405</t>
  </si>
  <si>
    <t>A2406</t>
  </si>
  <si>
    <t>A2407</t>
  </si>
  <si>
    <t>A2408</t>
  </si>
  <si>
    <t>A2409</t>
  </si>
  <si>
    <t>A2410</t>
  </si>
  <si>
    <t>A2411</t>
  </si>
  <si>
    <t>A2412</t>
  </si>
  <si>
    <t>A2413</t>
  </si>
  <si>
    <t>A2414</t>
  </si>
  <si>
    <t>A2415</t>
  </si>
  <si>
    <t>A2416</t>
  </si>
  <si>
    <t>A2417</t>
  </si>
  <si>
    <t>A2418</t>
  </si>
  <si>
    <t>A2419</t>
  </si>
  <si>
    <t>A2420</t>
  </si>
  <si>
    <t>A2421</t>
  </si>
  <si>
    <t>A2422</t>
  </si>
  <si>
    <t>A2423</t>
  </si>
  <si>
    <t>A2424</t>
  </si>
  <si>
    <t>A2425</t>
  </si>
  <si>
    <t>A2426</t>
  </si>
  <si>
    <t>A2427</t>
  </si>
  <si>
    <t>A2428</t>
  </si>
  <si>
    <t>A2429</t>
  </si>
  <si>
    <t>A2430</t>
  </si>
  <si>
    <t>A2431</t>
  </si>
  <si>
    <t>A2432</t>
  </si>
  <si>
    <t>A2433</t>
  </si>
  <si>
    <t>A2434</t>
  </si>
  <si>
    <t>A2435</t>
  </si>
  <si>
    <t>A2436</t>
  </si>
  <si>
    <t>A2437</t>
  </si>
  <si>
    <t>A2438</t>
  </si>
  <si>
    <t>A2439</t>
  </si>
  <si>
    <t>A2440</t>
  </si>
  <si>
    <t>A2441</t>
  </si>
  <si>
    <t>A2442</t>
  </si>
  <si>
    <t>A2443</t>
  </si>
  <si>
    <t>A2444</t>
  </si>
  <si>
    <t>A2445</t>
  </si>
  <si>
    <t>A2446</t>
  </si>
  <si>
    <t>A2447</t>
  </si>
  <si>
    <t>A2448</t>
  </si>
  <si>
    <t>A2449</t>
  </si>
  <si>
    <t>A2450</t>
  </si>
  <si>
    <t>A2451</t>
  </si>
  <si>
    <t>A2452</t>
  </si>
  <si>
    <t>A2453</t>
  </si>
  <si>
    <t>A2454</t>
  </si>
  <si>
    <t>A2455</t>
  </si>
  <si>
    <t>A2456</t>
  </si>
  <si>
    <t>A2457</t>
  </si>
  <si>
    <t>A2458</t>
  </si>
  <si>
    <t>A2459</t>
  </si>
  <si>
    <t>A2460</t>
  </si>
  <si>
    <t>A2461</t>
  </si>
  <si>
    <t>A2462</t>
  </si>
  <si>
    <t>A2463</t>
  </si>
  <si>
    <t>A2464</t>
  </si>
  <si>
    <t>A2465</t>
  </si>
  <si>
    <t>A2466</t>
  </si>
  <si>
    <t>A2467</t>
  </si>
  <si>
    <t>A2468</t>
  </si>
  <si>
    <t>A2469</t>
  </si>
  <si>
    <t>A2470</t>
  </si>
  <si>
    <t>A2471</t>
  </si>
  <si>
    <t>A2472</t>
  </si>
  <si>
    <t>A2473</t>
  </si>
  <si>
    <t>A2474</t>
  </si>
  <si>
    <t>A2475</t>
  </si>
  <si>
    <t>A2476</t>
  </si>
  <si>
    <t>A2477</t>
  </si>
  <si>
    <t>A2478</t>
  </si>
  <si>
    <t>A2479</t>
  </si>
  <si>
    <t>A2480</t>
  </si>
  <si>
    <t>A2481</t>
  </si>
  <si>
    <t>A2482</t>
  </si>
  <si>
    <t>A2483</t>
  </si>
  <si>
    <t>A2484</t>
  </si>
  <si>
    <t>A2485</t>
  </si>
  <si>
    <t>A2486</t>
  </si>
  <si>
    <t>A2487</t>
  </si>
  <si>
    <t>A2488</t>
  </si>
  <si>
    <t>A2489</t>
  </si>
  <si>
    <t>A2490</t>
  </si>
  <si>
    <t>A2491</t>
  </si>
  <si>
    <t>A2492</t>
  </si>
  <si>
    <t>A2493</t>
  </si>
  <si>
    <t>A2494</t>
  </si>
  <si>
    <t>A2495</t>
  </si>
  <si>
    <t>A2496</t>
  </si>
  <si>
    <t>A2497</t>
  </si>
  <si>
    <t>A2498</t>
  </si>
  <si>
    <t>A2499</t>
  </si>
  <si>
    <t>A2500</t>
  </si>
  <si>
    <t>A2501</t>
  </si>
  <si>
    <t>A2502</t>
  </si>
  <si>
    <t>A2503</t>
  </si>
  <si>
    <t>A2504</t>
  </si>
  <si>
    <t>A2505</t>
  </si>
  <si>
    <t>A2506</t>
  </si>
  <si>
    <t>A2507</t>
  </si>
  <si>
    <t>A2508</t>
  </si>
  <si>
    <t>A2509</t>
  </si>
  <si>
    <t>A2510</t>
  </si>
  <si>
    <t>A2511</t>
  </si>
  <si>
    <t>A2512</t>
  </si>
  <si>
    <t>A2513</t>
  </si>
  <si>
    <t>A2514</t>
  </si>
  <si>
    <t>A2515</t>
  </si>
  <si>
    <t>A2516</t>
  </si>
  <si>
    <t>A2517</t>
  </si>
  <si>
    <t>A2518</t>
  </si>
  <si>
    <t>A2519</t>
  </si>
  <si>
    <t>A2520</t>
  </si>
  <si>
    <t>A2521</t>
  </si>
  <si>
    <t>A2522</t>
  </si>
  <si>
    <t>A2523</t>
  </si>
  <si>
    <t>A2524</t>
  </si>
  <si>
    <t>A2525</t>
  </si>
  <si>
    <t>A2526</t>
  </si>
  <si>
    <t>A2527</t>
  </si>
  <si>
    <t>A2528</t>
  </si>
  <si>
    <t>A2529</t>
  </si>
  <si>
    <t>A2530</t>
  </si>
  <si>
    <t>A2531</t>
  </si>
  <si>
    <t>A2532</t>
  </si>
  <si>
    <t>A2533</t>
  </si>
  <si>
    <t>A2534</t>
  </si>
  <si>
    <t>A2535</t>
  </si>
  <si>
    <t>A2536</t>
  </si>
  <si>
    <t>A2537</t>
  </si>
  <si>
    <t>A2538</t>
  </si>
  <si>
    <t>A2539</t>
  </si>
  <si>
    <t>A2540</t>
  </si>
  <si>
    <t>A2541</t>
  </si>
  <si>
    <t>A2542</t>
  </si>
  <si>
    <t>A2543</t>
  </si>
  <si>
    <t>A2544</t>
  </si>
  <si>
    <t>A2545</t>
  </si>
  <si>
    <t>A2546</t>
  </si>
  <si>
    <t>A2547</t>
  </si>
  <si>
    <t>A2548</t>
  </si>
  <si>
    <t>A2549</t>
  </si>
  <si>
    <t>A2550</t>
  </si>
  <si>
    <t>A2551</t>
  </si>
  <si>
    <t>A2552</t>
  </si>
  <si>
    <t>A2553</t>
  </si>
  <si>
    <t>A2554</t>
  </si>
  <si>
    <t>A2555</t>
  </si>
  <si>
    <t>A2556</t>
  </si>
  <si>
    <t>A2557</t>
  </si>
  <si>
    <t>A2558</t>
  </si>
  <si>
    <t>A2559</t>
  </si>
  <si>
    <t>A2560</t>
  </si>
  <si>
    <t>A2561</t>
  </si>
  <si>
    <t>A2562</t>
  </si>
  <si>
    <t>A2563</t>
  </si>
  <si>
    <t>A2564</t>
  </si>
  <si>
    <t>A2565</t>
  </si>
  <si>
    <t>A2566</t>
  </si>
  <si>
    <t>A2567</t>
  </si>
  <si>
    <t>A2568</t>
  </si>
  <si>
    <t>A2569</t>
  </si>
  <si>
    <t>A2570</t>
  </si>
  <si>
    <t>A2571</t>
  </si>
  <si>
    <t>A2572</t>
  </si>
  <si>
    <t>A2573</t>
  </si>
  <si>
    <t>A2574</t>
  </si>
  <si>
    <t>A2575</t>
  </si>
  <si>
    <t>A2576</t>
  </si>
  <si>
    <t>A2577</t>
  </si>
  <si>
    <t>A2578</t>
  </si>
  <si>
    <t>A2579</t>
  </si>
  <si>
    <t>A2580</t>
  </si>
  <si>
    <t>A2581</t>
  </si>
  <si>
    <t>A2582</t>
  </si>
  <si>
    <t>A2583</t>
  </si>
  <si>
    <t>A2584</t>
  </si>
  <si>
    <t>A2585</t>
  </si>
  <si>
    <t>A2586</t>
  </si>
  <si>
    <t>A2587</t>
  </si>
  <si>
    <t>A2588</t>
  </si>
  <si>
    <t>A2589</t>
  </si>
  <si>
    <t>A2590</t>
  </si>
  <si>
    <t>A2591</t>
  </si>
  <si>
    <t>A2592</t>
  </si>
  <si>
    <t>A2593</t>
  </si>
  <si>
    <t>A2594</t>
  </si>
  <si>
    <t>A2595</t>
  </si>
  <si>
    <t>A2596</t>
  </si>
  <si>
    <t>A2597</t>
  </si>
  <si>
    <t>A2598</t>
  </si>
  <si>
    <t>A2599</t>
  </si>
  <si>
    <t>A2600</t>
  </si>
  <si>
    <t>A2601</t>
  </si>
  <si>
    <t>A2602</t>
  </si>
  <si>
    <t>A2603</t>
  </si>
  <si>
    <t>A2604</t>
  </si>
  <si>
    <t>A2605</t>
  </si>
  <si>
    <t>A2606</t>
  </si>
  <si>
    <t>A2607</t>
  </si>
  <si>
    <t>A2608</t>
  </si>
  <si>
    <t>A2609</t>
  </si>
  <si>
    <t>A2610</t>
  </si>
  <si>
    <t>A2611</t>
  </si>
  <si>
    <t>A2612</t>
  </si>
  <si>
    <t>A2613</t>
  </si>
  <si>
    <t>A2614</t>
  </si>
  <si>
    <t>A2615</t>
  </si>
  <si>
    <t>A2616</t>
  </si>
  <si>
    <t>A2617</t>
  </si>
  <si>
    <t>A2618</t>
  </si>
  <si>
    <t>A2619</t>
  </si>
  <si>
    <t>A2620</t>
  </si>
  <si>
    <t>A2621</t>
  </si>
  <si>
    <t>A2622</t>
  </si>
  <si>
    <t>A2623</t>
  </si>
  <si>
    <t>A2624</t>
  </si>
  <si>
    <t>A2625</t>
  </si>
  <si>
    <t>A2626</t>
  </si>
  <si>
    <t>A2627</t>
  </si>
  <si>
    <t>A2628</t>
  </si>
  <si>
    <t>A2629</t>
  </si>
  <si>
    <t>A2630</t>
  </si>
  <si>
    <t>A2631</t>
  </si>
  <si>
    <t>A2632</t>
  </si>
  <si>
    <t>A2633</t>
  </si>
  <si>
    <t>A2634</t>
  </si>
  <si>
    <t>A2635</t>
  </si>
  <si>
    <t>A2636</t>
  </si>
  <si>
    <t>A2637</t>
  </si>
  <si>
    <t>A2638</t>
  </si>
  <si>
    <t>A2639</t>
  </si>
  <si>
    <t>A2640</t>
  </si>
  <si>
    <t>A2641</t>
  </si>
  <si>
    <t>A2642</t>
  </si>
  <si>
    <t>A2643</t>
  </si>
  <si>
    <t>A2644</t>
  </si>
  <si>
    <t>A2645</t>
  </si>
  <si>
    <t>A2646</t>
  </si>
  <si>
    <t>A2647</t>
  </si>
  <si>
    <t>A2648</t>
  </si>
  <si>
    <t>A2649</t>
  </si>
  <si>
    <t>A2650</t>
  </si>
  <si>
    <t>A2651</t>
  </si>
  <si>
    <t>A2652</t>
  </si>
  <si>
    <t>A2653</t>
  </si>
  <si>
    <t>A2654</t>
  </si>
  <si>
    <t>A2655</t>
  </si>
  <si>
    <t>A2656</t>
  </si>
  <si>
    <t>A2657</t>
  </si>
  <si>
    <t>A2658</t>
  </si>
  <si>
    <t>A2659</t>
  </si>
  <si>
    <t>A2660</t>
  </si>
  <si>
    <t>A2661</t>
  </si>
  <si>
    <t>A2662</t>
  </si>
  <si>
    <t>A2663</t>
  </si>
  <si>
    <t>A2664</t>
  </si>
  <si>
    <t>A2665</t>
  </si>
  <si>
    <t>A2666</t>
  </si>
  <si>
    <t>A2667</t>
  </si>
  <si>
    <t>A2668</t>
  </si>
  <si>
    <t>A2669</t>
  </si>
  <si>
    <t>A2670</t>
  </si>
  <si>
    <t>A2671</t>
  </si>
  <si>
    <t>A2672</t>
  </si>
  <si>
    <t>A2673</t>
  </si>
  <si>
    <t>A2674</t>
  </si>
  <si>
    <t>A2675</t>
  </si>
  <si>
    <t>A2676</t>
  </si>
  <si>
    <t>A2677</t>
  </si>
  <si>
    <t>A2678</t>
  </si>
  <si>
    <t>A2679</t>
  </si>
  <si>
    <t>A2680</t>
  </si>
  <si>
    <t>A2681</t>
  </si>
  <si>
    <t>A2682</t>
  </si>
  <si>
    <t>A2683</t>
  </si>
  <si>
    <t>A2684</t>
  </si>
  <si>
    <t>A2685</t>
  </si>
  <si>
    <t>A2686</t>
  </si>
  <si>
    <t>A2687</t>
  </si>
  <si>
    <t>A2688</t>
  </si>
  <si>
    <t>A2689</t>
  </si>
  <si>
    <t>A2690</t>
  </si>
  <si>
    <t>A2691</t>
  </si>
  <si>
    <t>A2692</t>
  </si>
  <si>
    <t>A2693</t>
  </si>
  <si>
    <t>A2694</t>
  </si>
  <si>
    <t>A2695</t>
  </si>
  <si>
    <t>A2696</t>
  </si>
  <si>
    <t>A2697</t>
  </si>
  <si>
    <t>A2698</t>
  </si>
  <si>
    <t>A2699</t>
  </si>
  <si>
    <t>A2700</t>
  </si>
  <si>
    <t>A2701</t>
  </si>
  <si>
    <t>A2702</t>
  </si>
  <si>
    <t>A2703</t>
  </si>
  <si>
    <t>A2704</t>
  </si>
  <si>
    <t>A2705</t>
  </si>
  <si>
    <t>A2706</t>
  </si>
  <si>
    <t>A2707</t>
  </si>
  <si>
    <t>A2708</t>
  </si>
  <si>
    <t>A2709</t>
  </si>
  <si>
    <t>A2710</t>
  </si>
  <si>
    <t>A2711</t>
  </si>
  <si>
    <t>A2712</t>
  </si>
  <si>
    <t>A2713</t>
  </si>
  <si>
    <t>A2714</t>
  </si>
  <si>
    <t>A2715</t>
  </si>
  <si>
    <t>A2716</t>
  </si>
  <si>
    <t>A2717</t>
  </si>
  <si>
    <t>A2718</t>
  </si>
  <si>
    <t>A2719</t>
  </si>
  <si>
    <t>A2720</t>
  </si>
  <si>
    <t>A2721</t>
  </si>
  <si>
    <t>A2722</t>
  </si>
  <si>
    <t>A2723</t>
  </si>
  <si>
    <t>A2724</t>
  </si>
  <si>
    <t>A2725</t>
  </si>
  <si>
    <t>A2726</t>
  </si>
  <si>
    <t>A2727</t>
  </si>
  <si>
    <t>A2728</t>
  </si>
  <si>
    <t>A2729</t>
  </si>
  <si>
    <t>A2730</t>
  </si>
  <si>
    <t>A2731</t>
  </si>
  <si>
    <t>A2732</t>
  </si>
  <si>
    <t>A2733</t>
  </si>
  <si>
    <t>A2734</t>
  </si>
  <si>
    <t>A2735</t>
  </si>
  <si>
    <t>A2736</t>
  </si>
  <si>
    <t>A2737</t>
  </si>
  <si>
    <t>A2738</t>
  </si>
  <si>
    <t>A2739</t>
  </si>
  <si>
    <t>A2740</t>
  </si>
  <si>
    <t>A2741</t>
  </si>
  <si>
    <t>A2742</t>
  </si>
  <si>
    <t>A2743</t>
  </si>
  <si>
    <t>A2744</t>
  </si>
  <si>
    <t>A2745</t>
  </si>
  <si>
    <t>A2746</t>
  </si>
  <si>
    <t>A2747</t>
  </si>
  <si>
    <t>A2748</t>
  </si>
  <si>
    <t>A2749</t>
  </si>
  <si>
    <t>A2750</t>
  </si>
  <si>
    <t>A2751</t>
  </si>
  <si>
    <t>A2752</t>
  </si>
  <si>
    <t>A2753</t>
  </si>
  <si>
    <t>A2754</t>
  </si>
  <si>
    <t>A2755</t>
  </si>
  <si>
    <t>A2756</t>
  </si>
  <si>
    <t>A2757</t>
  </si>
  <si>
    <t>A2758</t>
  </si>
  <si>
    <t>A2759</t>
  </si>
  <si>
    <t>A2760</t>
  </si>
  <si>
    <t>A2761</t>
  </si>
  <si>
    <t>A2762</t>
  </si>
  <si>
    <t>A2763</t>
  </si>
  <si>
    <t>A2764</t>
  </si>
  <si>
    <t>A2765</t>
  </si>
  <si>
    <t>A2766</t>
  </si>
  <si>
    <t>A2767</t>
  </si>
  <si>
    <t>A2768</t>
  </si>
  <si>
    <t>A2769</t>
  </si>
  <si>
    <t>A2770</t>
  </si>
  <si>
    <t>A2771</t>
  </si>
  <si>
    <t>A2772</t>
  </si>
  <si>
    <t>A2773</t>
  </si>
  <si>
    <t>A2774</t>
  </si>
  <si>
    <t>A2775</t>
  </si>
  <si>
    <t>A2776</t>
  </si>
  <si>
    <t>A2777</t>
  </si>
  <si>
    <t>A2778</t>
  </si>
  <si>
    <t>A2779</t>
  </si>
  <si>
    <t>A2780</t>
  </si>
  <si>
    <t>A2781</t>
  </si>
  <si>
    <t>A2782</t>
  </si>
  <si>
    <t>A2783</t>
  </si>
  <si>
    <t>A2784</t>
  </si>
  <si>
    <t>A2785</t>
  </si>
  <si>
    <t>A2786</t>
  </si>
  <si>
    <t>A2787</t>
  </si>
  <si>
    <t>A2788</t>
  </si>
  <si>
    <t>A2789</t>
  </si>
  <si>
    <t>A2790</t>
  </si>
  <si>
    <t>A2791</t>
  </si>
  <si>
    <t>A2792</t>
  </si>
  <si>
    <t>A2793</t>
  </si>
  <si>
    <t>A2794</t>
  </si>
  <si>
    <t>A2795</t>
  </si>
  <si>
    <t>A2796</t>
  </si>
  <si>
    <t>A2797</t>
  </si>
  <si>
    <t>A2798</t>
  </si>
  <si>
    <t>A2799</t>
  </si>
  <si>
    <t>A2800</t>
  </si>
  <si>
    <t>A2801</t>
  </si>
  <si>
    <t>A2802</t>
  </si>
  <si>
    <t>A2803</t>
  </si>
  <si>
    <t>A2804</t>
  </si>
  <si>
    <t>A2805</t>
  </si>
  <si>
    <t>A2806</t>
  </si>
  <si>
    <t>A2807</t>
  </si>
  <si>
    <t>A2808</t>
  </si>
  <si>
    <t>A2809</t>
  </si>
  <si>
    <t>A2810</t>
  </si>
  <si>
    <t>A2811</t>
  </si>
  <si>
    <t>A2812</t>
  </si>
  <si>
    <t>A2813</t>
  </si>
  <si>
    <t>A2814</t>
  </si>
  <si>
    <t>A2815</t>
  </si>
  <si>
    <t>A2816</t>
  </si>
  <si>
    <t>A2817</t>
  </si>
  <si>
    <t>A2818</t>
  </si>
  <si>
    <t>A2819</t>
  </si>
  <si>
    <t>A2820</t>
  </si>
  <si>
    <t>A2821</t>
  </si>
  <si>
    <t>A2822</t>
  </si>
  <si>
    <t>A2823</t>
  </si>
  <si>
    <t>A2824</t>
  </si>
  <si>
    <t>A2825</t>
  </si>
  <si>
    <t>A2826</t>
  </si>
  <si>
    <t>A2827</t>
  </si>
  <si>
    <t>A2828</t>
  </si>
  <si>
    <t>A2829</t>
  </si>
  <si>
    <t>A2830</t>
  </si>
  <si>
    <t>A2831</t>
  </si>
  <si>
    <t>A2832</t>
  </si>
  <si>
    <t>A2833</t>
  </si>
  <si>
    <t>A2834</t>
  </si>
  <si>
    <t>A2835</t>
  </si>
  <si>
    <t>A2836</t>
  </si>
  <si>
    <t>A2837</t>
  </si>
  <si>
    <t>A2838</t>
  </si>
  <si>
    <t>A2839</t>
  </si>
  <si>
    <t>A2840</t>
  </si>
  <si>
    <t>A2841</t>
  </si>
  <si>
    <t>A2842</t>
  </si>
  <si>
    <t>A2843</t>
  </si>
  <si>
    <t>A2844</t>
  </si>
  <si>
    <t>A2845</t>
  </si>
  <si>
    <t>A2846</t>
  </si>
  <si>
    <t>A2847</t>
  </si>
  <si>
    <t>A2848</t>
  </si>
  <si>
    <t>A2849</t>
  </si>
  <si>
    <t>A2850</t>
  </si>
  <si>
    <t>A2851</t>
  </si>
  <si>
    <t>A2852</t>
  </si>
  <si>
    <t>A2853</t>
  </si>
  <si>
    <t>A2854</t>
  </si>
  <si>
    <t>A2855</t>
  </si>
  <si>
    <t>A2856</t>
  </si>
  <si>
    <t>A2857</t>
  </si>
  <si>
    <t>A2858</t>
  </si>
  <si>
    <t>A2859</t>
  </si>
  <si>
    <t>A2860</t>
  </si>
  <si>
    <t>A2861</t>
  </si>
  <si>
    <t>A2862</t>
  </si>
  <si>
    <t>A2863</t>
  </si>
  <si>
    <t>A2864</t>
  </si>
  <si>
    <t>A2865</t>
  </si>
  <si>
    <t>A2866</t>
  </si>
  <si>
    <t>A2867</t>
  </si>
  <si>
    <t>A2868</t>
  </si>
  <si>
    <t>A2869</t>
  </si>
  <si>
    <t>A2870</t>
  </si>
  <si>
    <t>A2871</t>
  </si>
  <si>
    <t>A2872</t>
  </si>
  <si>
    <t>A2873</t>
  </si>
  <si>
    <t>A2874</t>
  </si>
  <si>
    <t>A2875</t>
  </si>
  <si>
    <t>A2876</t>
  </si>
  <si>
    <t>A2877</t>
  </si>
  <si>
    <t>A2878</t>
  </si>
  <si>
    <t>A2879</t>
  </si>
  <si>
    <t>A2880</t>
  </si>
  <si>
    <t>A2881</t>
  </si>
  <si>
    <t>A2882</t>
  </si>
  <si>
    <t>A2883</t>
  </si>
  <si>
    <t>A2884</t>
  </si>
  <si>
    <t>A2885</t>
  </si>
  <si>
    <t>A2886</t>
  </si>
  <si>
    <t>A2887</t>
  </si>
  <si>
    <t>A2888</t>
  </si>
  <si>
    <t>A2889</t>
  </si>
  <si>
    <t>A2890</t>
  </si>
  <si>
    <t>A2891</t>
  </si>
  <si>
    <t>A2892</t>
  </si>
  <si>
    <t>A2893</t>
  </si>
  <si>
    <t>A2894</t>
  </si>
  <si>
    <t>A2895</t>
  </si>
  <si>
    <t>A2896</t>
  </si>
  <si>
    <t>A2897</t>
  </si>
  <si>
    <t>A2898</t>
  </si>
  <si>
    <t>A2899</t>
  </si>
  <si>
    <t>A2900</t>
  </si>
  <si>
    <t>A2901</t>
  </si>
  <si>
    <t>A2902</t>
  </si>
  <si>
    <t>A2903</t>
  </si>
  <si>
    <t>A2904</t>
  </si>
  <si>
    <t>A2905</t>
  </si>
  <si>
    <t>A2906</t>
  </si>
  <si>
    <t>A2907</t>
  </si>
  <si>
    <t>A2908</t>
  </si>
  <si>
    <t>A2909</t>
  </si>
  <si>
    <t>A2910</t>
  </si>
  <si>
    <t>A2911</t>
  </si>
  <si>
    <t>A2912</t>
  </si>
  <si>
    <t>A2913</t>
  </si>
  <si>
    <t>A2914</t>
  </si>
  <si>
    <t>A2915</t>
  </si>
  <si>
    <t>A2916</t>
  </si>
  <si>
    <t>A2917</t>
  </si>
  <si>
    <t>A2918</t>
  </si>
  <si>
    <t>A2919</t>
  </si>
  <si>
    <t>A2920</t>
  </si>
  <si>
    <t>A2921</t>
  </si>
  <si>
    <t>A2922</t>
  </si>
  <si>
    <t>A2923</t>
  </si>
  <si>
    <t>A2924</t>
  </si>
  <si>
    <t>A2925</t>
  </si>
  <si>
    <t>A2926</t>
  </si>
  <si>
    <t>A2927</t>
  </si>
  <si>
    <t>A2928</t>
  </si>
  <si>
    <t>A2929</t>
  </si>
  <si>
    <t>A2930</t>
  </si>
  <si>
    <t>A2931</t>
  </si>
  <si>
    <t>A2932</t>
  </si>
  <si>
    <t>A2933</t>
  </si>
  <si>
    <t>A2934</t>
  </si>
  <si>
    <t>A2935</t>
  </si>
  <si>
    <t>A2936</t>
  </si>
  <si>
    <t>A2937</t>
  </si>
  <si>
    <t>A2938</t>
  </si>
  <si>
    <t>A2939</t>
  </si>
  <si>
    <t>A2940</t>
  </si>
  <si>
    <t>A2941</t>
  </si>
  <si>
    <t>A2942</t>
  </si>
  <si>
    <t>A2943</t>
  </si>
  <si>
    <t>A2944</t>
  </si>
  <si>
    <t>A2945</t>
  </si>
  <si>
    <t>A2946</t>
  </si>
  <si>
    <t>A2947</t>
  </si>
  <si>
    <t>A2948</t>
  </si>
  <si>
    <t>A2949</t>
  </si>
  <si>
    <t>A2950</t>
  </si>
  <si>
    <t>A2951</t>
  </si>
  <si>
    <t>A2952</t>
  </si>
  <si>
    <t>A2953</t>
  </si>
  <si>
    <t>A2954</t>
  </si>
  <si>
    <t>A2955</t>
  </si>
  <si>
    <t>A2956</t>
  </si>
  <si>
    <t>A2957</t>
  </si>
  <si>
    <t>A2958</t>
  </si>
  <si>
    <t>A2959</t>
  </si>
  <si>
    <t>A2960</t>
  </si>
  <si>
    <t>A2961</t>
  </si>
  <si>
    <t>A2962</t>
  </si>
  <si>
    <t>A2963</t>
  </si>
  <si>
    <t>A2964</t>
  </si>
  <si>
    <t>A2965</t>
  </si>
  <si>
    <t>A2966</t>
  </si>
  <si>
    <t>A2967</t>
  </si>
  <si>
    <t>A2968</t>
  </si>
  <si>
    <t>A2969</t>
  </si>
  <si>
    <t>A2970</t>
  </si>
  <si>
    <t>A2971</t>
  </si>
  <si>
    <t>A2972</t>
  </si>
  <si>
    <t>A2973</t>
  </si>
  <si>
    <t>A2974</t>
  </si>
  <si>
    <t>A2975</t>
  </si>
  <si>
    <t>A2976</t>
  </si>
  <si>
    <t>A2977</t>
  </si>
  <si>
    <t>A2978</t>
  </si>
  <si>
    <t>A2979</t>
  </si>
  <si>
    <t>A2980</t>
  </si>
  <si>
    <t>A2981</t>
  </si>
  <si>
    <t>A2982</t>
  </si>
  <si>
    <t>A2983</t>
  </si>
  <si>
    <t>A2984</t>
  </si>
  <si>
    <t>A2985</t>
  </si>
  <si>
    <t>A2986</t>
  </si>
  <si>
    <t>A2987</t>
  </si>
  <si>
    <t>A2988</t>
  </si>
  <si>
    <t>A2989</t>
  </si>
  <si>
    <t>A2990</t>
  </si>
  <si>
    <t>A2991</t>
  </si>
  <si>
    <t>A2992</t>
  </si>
  <si>
    <t>A2993</t>
  </si>
  <si>
    <t>A2994</t>
  </si>
  <si>
    <t>A2995</t>
  </si>
  <si>
    <t>A2996</t>
  </si>
  <si>
    <t>A2997</t>
  </si>
  <si>
    <t>A2998</t>
  </si>
  <si>
    <t>A2999</t>
  </si>
  <si>
    <t>A3000</t>
  </si>
  <si>
    <t>A3001</t>
  </si>
  <si>
    <t>A3002</t>
  </si>
  <si>
    <t>A3003</t>
  </si>
  <si>
    <t>A3004</t>
  </si>
  <si>
    <t>A3005</t>
  </si>
  <si>
    <t>A3006</t>
  </si>
  <si>
    <t>A3007</t>
  </si>
  <si>
    <t>A3008</t>
  </si>
  <si>
    <t>A3009</t>
  </si>
  <si>
    <t>A3010</t>
  </si>
  <si>
    <t>A3011</t>
  </si>
  <si>
    <t>A3012</t>
  </si>
  <si>
    <t>A3013</t>
  </si>
  <si>
    <t>A3014</t>
  </si>
  <si>
    <t>A3015</t>
  </si>
  <si>
    <t>A3016</t>
  </si>
  <si>
    <t>A3017</t>
  </si>
  <si>
    <t>A3018</t>
  </si>
  <si>
    <t>A3019</t>
  </si>
  <si>
    <t>A3020</t>
  </si>
  <si>
    <t>A3021</t>
  </si>
  <si>
    <t>A3022</t>
  </si>
  <si>
    <t>A3023</t>
  </si>
  <si>
    <t>A3024</t>
  </si>
  <si>
    <t>A3025</t>
  </si>
  <si>
    <t>A3026</t>
  </si>
  <si>
    <t>A3027</t>
  </si>
  <si>
    <t>A3028</t>
  </si>
  <si>
    <t>A3029</t>
  </si>
  <si>
    <t>A3030</t>
  </si>
  <si>
    <t>A3031</t>
  </si>
  <si>
    <t>A3032</t>
  </si>
  <si>
    <t>A3033</t>
  </si>
  <si>
    <t>A3034</t>
  </si>
  <si>
    <t>A3035</t>
  </si>
  <si>
    <t>A3036</t>
  </si>
  <si>
    <t>A3037</t>
  </si>
  <si>
    <t>A3038</t>
  </si>
  <si>
    <t>A3039</t>
  </si>
  <si>
    <t>A3040</t>
  </si>
  <si>
    <t>A3041</t>
  </si>
  <si>
    <t>A3042</t>
  </si>
  <si>
    <t>A3043</t>
  </si>
  <si>
    <t>A3044</t>
  </si>
  <si>
    <t>A3045</t>
  </si>
  <si>
    <t>A3046</t>
  </si>
  <si>
    <t>A3047</t>
  </si>
  <si>
    <t>A3048</t>
  </si>
  <si>
    <t>A3049</t>
  </si>
  <si>
    <t>A3050</t>
  </si>
  <si>
    <t>A3051</t>
  </si>
  <si>
    <t>A3052</t>
  </si>
  <si>
    <t>A3053</t>
  </si>
  <si>
    <t>A3054</t>
  </si>
  <si>
    <t>A3055</t>
  </si>
  <si>
    <t>A3056</t>
  </si>
  <si>
    <t>A3057</t>
  </si>
  <si>
    <t>A3058</t>
  </si>
  <si>
    <t>A3059</t>
  </si>
  <si>
    <t>A3060</t>
  </si>
  <si>
    <t>A3061</t>
  </si>
  <si>
    <t>A3062</t>
  </si>
  <si>
    <t>A3063</t>
  </si>
  <si>
    <t>A3064</t>
  </si>
  <si>
    <t>A3065</t>
  </si>
  <si>
    <t>A3066</t>
  </si>
  <si>
    <t>A3067</t>
  </si>
  <si>
    <t>A3068</t>
  </si>
  <si>
    <t>A3069</t>
  </si>
  <si>
    <t>A3070</t>
  </si>
  <si>
    <t>A3071</t>
  </si>
  <si>
    <t>A3072</t>
  </si>
  <si>
    <t>A3073</t>
  </si>
  <si>
    <t>A3074</t>
  </si>
  <si>
    <t>A3075</t>
  </si>
  <si>
    <t>A3076</t>
  </si>
  <si>
    <t>A3077</t>
  </si>
  <si>
    <t>A3078</t>
  </si>
  <si>
    <t>A3079</t>
  </si>
  <si>
    <t>A3080</t>
  </si>
  <si>
    <t>A3081</t>
  </si>
  <si>
    <t>A3082</t>
  </si>
  <si>
    <t>A3083</t>
  </si>
  <si>
    <t>A3084</t>
  </si>
  <si>
    <t>A3085</t>
  </si>
  <si>
    <t>A3086</t>
  </si>
  <si>
    <t>A3087</t>
  </si>
  <si>
    <t>A3088</t>
  </si>
  <si>
    <t>A3089</t>
  </si>
  <si>
    <t>A3090</t>
  </si>
  <si>
    <t>A3091</t>
  </si>
  <si>
    <t>A3092</t>
  </si>
  <si>
    <t>A3093</t>
  </si>
  <si>
    <t>A3094</t>
  </si>
  <si>
    <t>A3095</t>
  </si>
  <si>
    <t>A3096</t>
  </si>
  <si>
    <t>A3097</t>
  </si>
  <si>
    <t>A3098</t>
  </si>
  <si>
    <t>A3099</t>
  </si>
  <si>
    <t>A3100</t>
  </si>
  <si>
    <t>A3101</t>
  </si>
  <si>
    <t>A3102</t>
  </si>
  <si>
    <t>A3103</t>
  </si>
  <si>
    <t>A3104</t>
  </si>
  <si>
    <t>A3105</t>
  </si>
  <si>
    <t>A3106</t>
  </si>
  <si>
    <t>A3107</t>
  </si>
  <si>
    <t>A3108</t>
  </si>
  <si>
    <t>A3109</t>
  </si>
  <si>
    <t>A3110</t>
  </si>
  <si>
    <t>A3111</t>
  </si>
  <si>
    <t>A3112</t>
  </si>
  <si>
    <t>A3113</t>
  </si>
  <si>
    <t>A3114</t>
  </si>
  <si>
    <t>A3115</t>
  </si>
  <si>
    <t>A3116</t>
  </si>
  <si>
    <t>A3117</t>
  </si>
  <si>
    <t>A3118</t>
  </si>
  <si>
    <t>A3119</t>
  </si>
  <si>
    <t>A3120</t>
  </si>
  <si>
    <t>A3121</t>
  </si>
  <si>
    <t>A3122</t>
  </si>
  <si>
    <t>A3123</t>
  </si>
  <si>
    <t>A3124</t>
  </si>
  <si>
    <t>A3125</t>
  </si>
  <si>
    <t>A3126</t>
  </si>
  <si>
    <t>A3127</t>
  </si>
  <si>
    <t>A3128</t>
  </si>
  <si>
    <t>A3129</t>
  </si>
  <si>
    <t>A3130</t>
  </si>
  <si>
    <t>A3131</t>
  </si>
  <si>
    <t>A3132</t>
  </si>
  <si>
    <t>A3133</t>
  </si>
  <si>
    <t>A3134</t>
  </si>
  <si>
    <t>A3135</t>
  </si>
  <si>
    <t>A3136</t>
  </si>
  <si>
    <t>A3137</t>
  </si>
  <si>
    <t>A3138</t>
  </si>
  <si>
    <t>A3139</t>
  </si>
  <si>
    <t>A3140</t>
  </si>
  <si>
    <t>A3141</t>
  </si>
  <si>
    <t>A3142</t>
  </si>
  <si>
    <t>A3143</t>
  </si>
  <si>
    <t>A3144</t>
  </si>
  <si>
    <t>A3145</t>
  </si>
  <si>
    <t>A3146</t>
  </si>
  <si>
    <t>A3147</t>
  </si>
  <si>
    <t>A3148</t>
  </si>
  <si>
    <t>A3149</t>
  </si>
  <si>
    <t>A3150</t>
  </si>
  <si>
    <t>A3151</t>
  </si>
  <si>
    <t>A3152</t>
  </si>
  <si>
    <t>A3153</t>
  </si>
  <si>
    <t>A3154</t>
  </si>
  <si>
    <t>A3155</t>
  </si>
  <si>
    <t>A3156</t>
  </si>
  <si>
    <t>A3157</t>
  </si>
  <si>
    <t>A3158</t>
  </si>
  <si>
    <t>A3159</t>
  </si>
  <si>
    <t>A3160</t>
  </si>
  <si>
    <t>A3161</t>
  </si>
  <si>
    <t>A3162</t>
  </si>
  <si>
    <t>A3163</t>
  </si>
  <si>
    <t>A3164</t>
  </si>
  <si>
    <t>A3165</t>
  </si>
  <si>
    <t>A3166</t>
  </si>
  <si>
    <t>A3167</t>
  </si>
  <si>
    <t>A3168</t>
  </si>
  <si>
    <t>A3169</t>
  </si>
  <si>
    <t>A3170</t>
  </si>
  <si>
    <t>A3171</t>
  </si>
  <si>
    <t>A3172</t>
  </si>
  <si>
    <t>A3173</t>
  </si>
  <si>
    <t>A3174</t>
  </si>
  <si>
    <t>A3175</t>
  </si>
  <si>
    <t>A3176</t>
  </si>
  <si>
    <t>A3177</t>
  </si>
  <si>
    <t>A3178</t>
  </si>
  <si>
    <t>A3179</t>
  </si>
  <si>
    <t>A3180</t>
  </si>
  <si>
    <t>A3181</t>
  </si>
  <si>
    <t>A3182</t>
  </si>
  <si>
    <t>A3183</t>
  </si>
  <si>
    <t>A3184</t>
  </si>
  <si>
    <t>A3185</t>
  </si>
  <si>
    <t>A3186</t>
  </si>
  <si>
    <t>A3187</t>
  </si>
  <si>
    <t>A3188</t>
  </si>
  <si>
    <t>A3189</t>
  </si>
  <si>
    <t>A3190</t>
  </si>
  <si>
    <t>A3191</t>
  </si>
  <si>
    <t>A3192</t>
  </si>
  <si>
    <t>A3193</t>
  </si>
  <si>
    <t>A3194</t>
  </si>
  <si>
    <t>A3195</t>
  </si>
  <si>
    <t>A3196</t>
  </si>
  <si>
    <t>A3197</t>
  </si>
  <si>
    <t>A3198</t>
  </si>
  <si>
    <t>A3199</t>
  </si>
  <si>
    <t>A3200</t>
  </si>
  <si>
    <t>A3201</t>
  </si>
  <si>
    <t>A3202</t>
  </si>
  <si>
    <t>A3203</t>
  </si>
  <si>
    <t>A3204</t>
  </si>
  <si>
    <t>A3205</t>
  </si>
  <si>
    <t>A3206</t>
  </si>
  <si>
    <t>A3207</t>
  </si>
  <si>
    <t>A3208</t>
  </si>
  <si>
    <t>A3209</t>
  </si>
  <si>
    <t>A3210</t>
  </si>
  <si>
    <t>A3211</t>
  </si>
  <si>
    <t>A3212</t>
  </si>
  <si>
    <t>A3213</t>
  </si>
  <si>
    <t>A3214</t>
  </si>
  <si>
    <t>A3215</t>
  </si>
  <si>
    <t>A3216</t>
  </si>
  <si>
    <t>A3217</t>
  </si>
  <si>
    <t>A3218</t>
  </si>
  <si>
    <t>A3219</t>
  </si>
  <si>
    <t>A3220</t>
  </si>
  <si>
    <t>A3221</t>
  </si>
  <si>
    <t>A3222</t>
  </si>
  <si>
    <t>A3223</t>
  </si>
  <si>
    <t>A3224</t>
  </si>
  <si>
    <t>A3225</t>
  </si>
  <si>
    <t>A3226</t>
  </si>
  <si>
    <t>A3227</t>
  </si>
  <si>
    <t>A3228</t>
  </si>
  <si>
    <t>A3229</t>
  </si>
  <si>
    <t>A3230</t>
  </si>
  <si>
    <t>A3231</t>
  </si>
  <si>
    <t>A3232</t>
  </si>
  <si>
    <t>A3233</t>
  </si>
  <si>
    <t>A3234</t>
  </si>
  <si>
    <t>A3235</t>
  </si>
  <si>
    <t>A3236</t>
  </si>
  <si>
    <t>A3237</t>
  </si>
  <si>
    <t>A3238</t>
  </si>
  <si>
    <t>A3239</t>
  </si>
  <si>
    <t>A3240</t>
  </si>
  <si>
    <t>A3241</t>
  </si>
  <si>
    <t>A3242</t>
  </si>
  <si>
    <t>A3243</t>
  </si>
  <si>
    <t>A3244</t>
  </si>
  <si>
    <t>A3245</t>
  </si>
  <si>
    <t>A3246</t>
  </si>
  <si>
    <t>A3247</t>
  </si>
  <si>
    <t>A3248</t>
  </si>
  <si>
    <t>A3249</t>
  </si>
  <si>
    <t>A3250</t>
  </si>
  <si>
    <t>A3251</t>
  </si>
  <si>
    <t>A3252</t>
  </si>
  <si>
    <t>A3253</t>
  </si>
  <si>
    <t>A3254</t>
  </si>
  <si>
    <t>A3255</t>
  </si>
  <si>
    <t>A3256</t>
  </si>
  <si>
    <t>A3257</t>
  </si>
  <si>
    <t>A3258</t>
  </si>
  <si>
    <t>A3259</t>
  </si>
  <si>
    <t>A3260</t>
  </si>
  <si>
    <t>A3261</t>
  </si>
  <si>
    <t>A3262</t>
  </si>
  <si>
    <t>A3263</t>
  </si>
  <si>
    <t>A3264</t>
  </si>
  <si>
    <t>A3265</t>
  </si>
  <si>
    <t>A3266</t>
  </si>
  <si>
    <t>A3267</t>
  </si>
  <si>
    <t>A3268</t>
  </si>
  <si>
    <t>A3269</t>
  </si>
  <si>
    <t>A3270</t>
  </si>
  <si>
    <t>A3271</t>
  </si>
  <si>
    <t>A3272</t>
  </si>
  <si>
    <t>A3273</t>
  </si>
  <si>
    <t>A3274</t>
  </si>
  <si>
    <t>A3275</t>
  </si>
  <si>
    <t>A3276</t>
  </si>
  <si>
    <t>A3277</t>
  </si>
  <si>
    <t>A3278</t>
  </si>
  <si>
    <t>A3279</t>
  </si>
  <si>
    <t>A3280</t>
  </si>
  <si>
    <t>A3281</t>
  </si>
  <si>
    <t>A3282</t>
  </si>
  <si>
    <t>A3283</t>
  </si>
  <si>
    <t>A3284</t>
  </si>
  <si>
    <t>A3285</t>
  </si>
  <si>
    <t>A3286</t>
  </si>
  <si>
    <t>A3287</t>
  </si>
  <si>
    <t>A3288</t>
  </si>
  <si>
    <t>A3289</t>
  </si>
  <si>
    <t>A3290</t>
  </si>
  <si>
    <t>A3291</t>
  </si>
  <si>
    <t>A3292</t>
  </si>
  <si>
    <t>A3293</t>
  </si>
  <si>
    <t>A3294</t>
  </si>
  <si>
    <t>A3295</t>
  </si>
  <si>
    <t>A3296</t>
  </si>
  <si>
    <t>A3297</t>
  </si>
  <si>
    <t>A3298</t>
  </si>
  <si>
    <t>A3299</t>
  </si>
  <si>
    <t>A3300</t>
  </si>
  <si>
    <t>A3301</t>
  </si>
  <si>
    <t>A3302</t>
  </si>
  <si>
    <t>A3303</t>
  </si>
  <si>
    <t>A3304</t>
  </si>
  <si>
    <t>A3305</t>
  </si>
  <si>
    <t>A3306</t>
  </si>
  <si>
    <t>A3307</t>
  </si>
  <si>
    <t>A3308</t>
  </si>
  <si>
    <t>A3309</t>
  </si>
  <si>
    <t>A3310</t>
  </si>
  <si>
    <t>A3311</t>
  </si>
  <si>
    <t>A3312</t>
  </si>
  <si>
    <t>A3313</t>
  </si>
  <si>
    <t>A3314</t>
  </si>
  <si>
    <t>A3315</t>
  </si>
  <si>
    <t>A3316</t>
  </si>
  <si>
    <t>A3317</t>
  </si>
  <si>
    <t>A3318</t>
  </si>
  <si>
    <t>A3319</t>
  </si>
  <si>
    <t>A3320</t>
  </si>
  <si>
    <t>A3321</t>
  </si>
  <si>
    <t>A3322</t>
  </si>
  <si>
    <t>A3323</t>
  </si>
  <si>
    <t>A3324</t>
  </si>
  <si>
    <t>A3325</t>
  </si>
  <si>
    <t>A3326</t>
  </si>
  <si>
    <t>A3327</t>
  </si>
  <si>
    <t>A3328</t>
  </si>
  <si>
    <t>A3329</t>
  </si>
  <si>
    <t>A3330</t>
  </si>
  <si>
    <t>A3331</t>
  </si>
  <si>
    <t>A3332</t>
  </si>
  <si>
    <t>A3333</t>
  </si>
  <si>
    <t>A3334</t>
  </si>
  <si>
    <t>A3335</t>
  </si>
  <si>
    <t>A3336</t>
  </si>
  <si>
    <t>A3337</t>
  </si>
  <si>
    <t>A3338</t>
  </si>
  <si>
    <t>A3339</t>
  </si>
  <si>
    <t>A3340</t>
  </si>
  <si>
    <t>A3341</t>
  </si>
  <si>
    <t>A3342</t>
  </si>
  <si>
    <t>A3343</t>
  </si>
  <si>
    <t>A3344</t>
  </si>
  <si>
    <t>A3345</t>
  </si>
  <si>
    <t>A3346</t>
  </si>
  <si>
    <t>A3347</t>
  </si>
  <si>
    <t>A3348</t>
  </si>
  <si>
    <t>A3349</t>
  </si>
  <si>
    <t>A3350</t>
  </si>
  <si>
    <t>A3351</t>
  </si>
  <si>
    <t>A3352</t>
  </si>
  <si>
    <t>A3353</t>
  </si>
  <si>
    <t>A3354</t>
  </si>
  <si>
    <t>A3355</t>
  </si>
  <si>
    <t>A3356</t>
  </si>
  <si>
    <t>A3357</t>
  </si>
  <si>
    <t>A3358</t>
  </si>
  <si>
    <t>A3359</t>
  </si>
  <si>
    <t>A3360</t>
  </si>
  <si>
    <t>A3361</t>
  </si>
  <si>
    <t>A3362</t>
  </si>
  <si>
    <t>A3363</t>
  </si>
  <si>
    <t>A3364</t>
  </si>
  <si>
    <t>A3365</t>
  </si>
  <si>
    <t>A3366</t>
  </si>
  <si>
    <t>A3367</t>
  </si>
  <si>
    <t>A3368</t>
  </si>
  <si>
    <t>A3369</t>
  </si>
  <si>
    <t>A3370</t>
  </si>
  <si>
    <t>A3371</t>
  </si>
  <si>
    <t>A3372</t>
  </si>
  <si>
    <t>A3373</t>
  </si>
  <si>
    <t>A3374</t>
  </si>
  <si>
    <t>A3375</t>
  </si>
  <si>
    <t>A3376</t>
  </si>
  <si>
    <t>A3377</t>
  </si>
  <si>
    <t>A3378</t>
  </si>
  <si>
    <t>A3379</t>
  </si>
  <si>
    <t>A3380</t>
  </si>
  <si>
    <t>A3381</t>
  </si>
  <si>
    <t>A3382</t>
  </si>
  <si>
    <t>A3383</t>
  </si>
  <si>
    <t>A3384</t>
  </si>
  <si>
    <t>A3385</t>
  </si>
  <si>
    <t>A3386</t>
  </si>
  <si>
    <t>A3387</t>
  </si>
  <si>
    <t>A3388</t>
  </si>
  <si>
    <t>A3389</t>
  </si>
  <si>
    <t>A3390</t>
  </si>
  <si>
    <t>A3391</t>
  </si>
  <si>
    <t>A3392</t>
  </si>
  <si>
    <t>A3393</t>
  </si>
  <si>
    <t>A3394</t>
  </si>
  <si>
    <t>A3395</t>
  </si>
  <si>
    <t>A3396</t>
  </si>
  <si>
    <t>A3397</t>
  </si>
  <si>
    <t>A3398</t>
  </si>
  <si>
    <t>A3399</t>
  </si>
  <si>
    <t>A3400</t>
  </si>
  <si>
    <t>A3401</t>
  </si>
  <si>
    <t>A3402</t>
  </si>
  <si>
    <t>A3403</t>
  </si>
  <si>
    <t>A3404</t>
  </si>
  <si>
    <t>A3405</t>
  </si>
  <si>
    <t>A3406</t>
  </si>
  <si>
    <t>A3407</t>
  </si>
  <si>
    <t>A3408</t>
  </si>
  <si>
    <t>A3409</t>
  </si>
  <si>
    <t>A3410</t>
  </si>
  <si>
    <t>A3411</t>
  </si>
  <si>
    <t>A3412</t>
  </si>
  <si>
    <t>A3413</t>
  </si>
  <si>
    <t>A3414</t>
  </si>
  <si>
    <t>A3415</t>
  </si>
  <si>
    <t>A3416</t>
  </si>
  <si>
    <t>A3417</t>
  </si>
  <si>
    <t>A3418</t>
  </si>
  <si>
    <t>A3419</t>
  </si>
  <si>
    <t>A3420</t>
  </si>
  <si>
    <t>A3421</t>
  </si>
  <si>
    <t>A3422</t>
  </si>
  <si>
    <t>A3423</t>
  </si>
  <si>
    <t>A3424</t>
  </si>
  <si>
    <t>A3425</t>
  </si>
  <si>
    <t>A3426</t>
  </si>
  <si>
    <t>A3427</t>
  </si>
  <si>
    <t>A3428</t>
  </si>
  <si>
    <t>A3429</t>
  </si>
  <si>
    <t>A3430</t>
  </si>
  <si>
    <t>A3431</t>
  </si>
  <si>
    <t>A3432</t>
  </si>
  <si>
    <t>A3433</t>
  </si>
  <si>
    <t>A3434</t>
  </si>
  <si>
    <t>A3435</t>
  </si>
  <si>
    <t>A3436</t>
  </si>
  <si>
    <t>A3437</t>
  </si>
  <si>
    <t>A3438</t>
  </si>
  <si>
    <t>A3439</t>
  </si>
  <si>
    <t>A3440</t>
  </si>
  <si>
    <t>A3441</t>
  </si>
  <si>
    <t>A3442</t>
  </si>
  <si>
    <t>A3443</t>
  </si>
  <si>
    <t>A3444</t>
  </si>
  <si>
    <t>A3445</t>
  </si>
  <si>
    <t>A3446</t>
  </si>
  <si>
    <t>A3447</t>
  </si>
  <si>
    <t>A3448</t>
  </si>
  <si>
    <t>A3449</t>
  </si>
  <si>
    <t>A3450</t>
  </si>
  <si>
    <t>A3451</t>
  </si>
  <si>
    <t>A3452</t>
  </si>
  <si>
    <t>A3453</t>
  </si>
  <si>
    <t>A3454</t>
  </si>
  <si>
    <t>A3455</t>
  </si>
  <si>
    <t>A3456</t>
  </si>
  <si>
    <t>A3457</t>
  </si>
  <si>
    <t>A3458</t>
  </si>
  <si>
    <t>A3459</t>
  </si>
  <si>
    <t>A3460</t>
  </si>
  <si>
    <t>A3461</t>
  </si>
  <si>
    <t>A3462</t>
  </si>
  <si>
    <t>A3463</t>
  </si>
  <si>
    <t>A3464</t>
  </si>
  <si>
    <t>A3465</t>
  </si>
  <si>
    <t>A3466</t>
  </si>
  <si>
    <t>A3467</t>
  </si>
  <si>
    <t>A3468</t>
  </si>
  <si>
    <t>A3469</t>
  </si>
  <si>
    <t>A3470</t>
  </si>
  <si>
    <t>A3471</t>
  </si>
  <si>
    <t>A3472</t>
  </si>
  <si>
    <t>A3473</t>
  </si>
  <si>
    <t>A3474</t>
  </si>
  <si>
    <t>A3475</t>
  </si>
  <si>
    <t>A3476</t>
  </si>
  <si>
    <t>A3477</t>
  </si>
  <si>
    <t>A3478</t>
  </si>
  <si>
    <t>A3479</t>
  </si>
  <si>
    <t>A3480</t>
  </si>
  <si>
    <t>A3481</t>
  </si>
  <si>
    <t>A3482</t>
  </si>
  <si>
    <t>A3483</t>
  </si>
  <si>
    <t>A3484</t>
  </si>
  <si>
    <t>A3485</t>
  </si>
  <si>
    <t>A3486</t>
  </si>
  <si>
    <t>A3487</t>
  </si>
  <si>
    <t>A3488</t>
  </si>
  <si>
    <t>A3489</t>
  </si>
  <si>
    <t>A3490</t>
  </si>
  <si>
    <t>A3491</t>
  </si>
  <si>
    <t>A3492</t>
  </si>
  <si>
    <t>A3493</t>
  </si>
  <si>
    <t>A3494</t>
  </si>
  <si>
    <t>A3495</t>
  </si>
  <si>
    <t>A3496</t>
  </si>
  <si>
    <t>A3497</t>
  </si>
  <si>
    <t>A3498</t>
  </si>
  <si>
    <t>A3499</t>
  </si>
  <si>
    <t>A3500</t>
  </si>
  <si>
    <t>A3501</t>
  </si>
  <si>
    <t>A3502</t>
  </si>
  <si>
    <t>A3503</t>
  </si>
  <si>
    <t>A3504</t>
  </si>
  <si>
    <t>A3505</t>
  </si>
  <si>
    <t>A3506</t>
  </si>
  <si>
    <t>A3507</t>
  </si>
  <si>
    <t>A3508</t>
  </si>
  <si>
    <t>A3509</t>
  </si>
  <si>
    <t>A3510</t>
  </si>
  <si>
    <t>A3511</t>
  </si>
  <si>
    <t>A3512</t>
  </si>
  <si>
    <t>A3513</t>
  </si>
  <si>
    <t>A3514</t>
  </si>
  <si>
    <t>A3515</t>
  </si>
  <si>
    <t>A3516</t>
  </si>
  <si>
    <t>A3517</t>
  </si>
  <si>
    <t>A3518</t>
  </si>
  <si>
    <t>A3519</t>
  </si>
  <si>
    <t>A3520</t>
  </si>
  <si>
    <t>A3521</t>
  </si>
  <si>
    <t>A3522</t>
  </si>
  <si>
    <t>A3523</t>
  </si>
  <si>
    <t>A3524</t>
  </si>
  <si>
    <t>A3525</t>
  </si>
  <si>
    <t>A3526</t>
  </si>
  <si>
    <t>A3527</t>
  </si>
  <si>
    <t>A3528</t>
  </si>
  <si>
    <t>A3529</t>
  </si>
  <si>
    <t>A3530</t>
  </si>
  <si>
    <t>A3531</t>
  </si>
  <si>
    <t>A3532</t>
  </si>
  <si>
    <t>A3533</t>
  </si>
  <si>
    <t>A3534</t>
  </si>
  <si>
    <t>A3535</t>
  </si>
  <si>
    <t>A3536</t>
  </si>
  <si>
    <t>A3537</t>
  </si>
  <si>
    <t>A3538</t>
  </si>
  <si>
    <t>A3539</t>
  </si>
  <si>
    <t>A3540</t>
  </si>
  <si>
    <t>A3541</t>
  </si>
  <si>
    <t>A3542</t>
  </si>
  <si>
    <t>A3543</t>
  </si>
  <si>
    <t>A3544</t>
  </si>
  <si>
    <t>A3545</t>
  </si>
  <si>
    <t>A3546</t>
  </si>
  <si>
    <t>A3547</t>
  </si>
  <si>
    <t>A3548</t>
  </si>
  <si>
    <t>A3549</t>
  </si>
  <si>
    <t>A3550</t>
  </si>
  <si>
    <t>A3551</t>
  </si>
  <si>
    <t>A3552</t>
  </si>
  <si>
    <t>A3553</t>
  </si>
  <si>
    <t>A3554</t>
  </si>
  <si>
    <t>A3555</t>
  </si>
  <si>
    <t>A3556</t>
  </si>
  <si>
    <t>A3557</t>
  </si>
  <si>
    <t>A3558</t>
  </si>
  <si>
    <t>A3559</t>
  </si>
  <si>
    <t>A3560</t>
  </si>
  <si>
    <t>A3561</t>
  </si>
  <si>
    <t>A3562</t>
  </si>
  <si>
    <t>A3563</t>
  </si>
  <si>
    <t>A3564</t>
  </si>
  <si>
    <t>A3565</t>
  </si>
  <si>
    <t>A3566</t>
  </si>
  <si>
    <t>A3567</t>
  </si>
  <si>
    <t>A3568</t>
  </si>
  <si>
    <t>A3569</t>
  </si>
  <si>
    <t>A3570</t>
  </si>
  <si>
    <t>A3571</t>
  </si>
  <si>
    <t>A3572</t>
  </si>
  <si>
    <t>A3573</t>
  </si>
  <si>
    <t>A3574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</si>
  <si>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</si>
  <si>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</si>
  <si>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</si>
  <si>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</si>
  <si>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</si>
  <si>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</si>
  <si>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</si>
  <si>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</si>
  <si>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</si>
  <si>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</si>
  <si>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</si>
  <si>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</si>
  <si>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</si>
  <si>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</si>
  <si>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</si>
  <si>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</si>
  <si>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</si>
  <si>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</si>
  <si>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</si>
  <si>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</si>
  <si>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</si>
  <si>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</si>
  <si>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</si>
  <si>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</si>
  <si>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</si>
  <si>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Metric</t>
  </si>
  <si>
    <t>Mean</t>
  </si>
  <si>
    <t>Median</t>
  </si>
  <si>
    <t>Mode</t>
  </si>
  <si>
    <t>Standard Deviation</t>
  </si>
  <si>
    <t>Count</t>
  </si>
  <si>
    <t>Total</t>
  </si>
  <si>
    <t>Column1</t>
  </si>
  <si>
    <t>Column2</t>
  </si>
  <si>
    <t>Date</t>
  </si>
  <si>
    <t>Formatted Date</t>
  </si>
  <si>
    <t>First Ad Date</t>
  </si>
  <si>
    <t>Sale Amount</t>
  </si>
  <si>
    <t>Insight</t>
  </si>
  <si>
    <t>Finding</t>
  </si>
  <si>
    <t>Total Clicks</t>
  </si>
  <si>
    <t>Total Cost</t>
  </si>
  <si>
    <t xml:space="preserve"> Total Sale Amount</t>
  </si>
  <si>
    <t>Highest Sales Device</t>
  </si>
  <si>
    <t>Highest Conversion Device</t>
  </si>
  <si>
    <t xml:space="preserve">Highest Clicks Device </t>
  </si>
  <si>
    <t>Lowest Sales Device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</si>
</sst>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applyNumberFormat="1" applyAlignment="1">
      <alignment wrapText="1"/>
    </xf>
    <xf numFmtId="10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0">
    <dxf>
      <numFmt numFmtId="2" formatCode="0.00"/>
    </dxf>
    <dxf>
      <numFmt numFmtId="2" formatCode="0.00"/>
    </dxf>
    <dxf>
      <numFmt numFmtId="2" formatCode="0.00"/>
    </dxf>
    <dxf>
      <numFmt numFmtId="0" formatCode="General"/>
    </dxf>
    <dxf>
      <numFmt numFmtId="14" formatCode="0.00%"/>
    </dxf>
    <dxf>
      <numFmt numFmtId="19" formatCode="m/d/yyyy"/>
    </dxf>
    <dxf>
      <numFmt numFmtId="19" formatCode="m/d/yyyy"/>
    </dxf>
    <dxf>
      <numFmt numFmtId="2" formatCode="0.00"/>
      <alignment wrapText="1"/>
    </dxf>
    <dxf>
      <numFmt numFmtId="2" formatCode="0.00"/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[GoogleAds_DataAnalytics_Sales_Uncleaned 1.xlsx]Pivot 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Performance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121887</c:v>
                </c:pt>
                <c:pt idx="1">
                  <c:v>123068</c:v>
                </c:pt>
                <c:pt idx="2">
                  <c:v>116338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C7-4012-ABCE-DC4D66219368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4019108.5</c:v>
                </c:pt>
                <c:pt idx="1">
                  <c:v>3980624.5</c:v>
                </c:pt>
                <c:pt idx="2">
                  <c:v>3760539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C7-4012-ABCE-DC4D66219368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Table'!$D$4:$D$7</c:f>
              <c:numCache>
                <c:formatCode>0.00</c:formatCode>
                <c:ptCount val="3"/>
                <c:pt idx="0">
                  <c:v>190468.70999999996</c:v>
                </c:pt>
                <c:pt idx="1">
                  <c:v>189809.84000000035</c:v>
                </c:pt>
                <c:pt idx="2">
                  <c:v>179003.56999999992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CC7-4012-ABCE-DC4D66219368}"/>
            </c:ext>
          </c:extLst>
        </c:ser>
        <c:ser>
          <c:idx val="3"/>
          <c:order val="3"/>
          <c:tx>
            <c:strRef>
              <c:f>'Pivot Table'!$E$3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17690</c:v>
                </c:pt>
                <c:pt idx="1">
                  <c:v>17647</c:v>
                </c:pt>
                <c:pt idx="2">
                  <c:v>16673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C7-4012-ABCE-DC4D66219368}"/>
            </c:ext>
          </c:extLst>
        </c:ser>
        <c:ser>
          <c:idx val="4"/>
          <c:order val="4"/>
          <c:tx>
            <c:strRef>
              <c:f>'Pivot Table'!$F$3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Table'!$F$4:$F$7</c:f>
              <c:numCache>
                <c:formatCode>General</c:formatCode>
                <c:ptCount val="3"/>
                <c:pt idx="0">
                  <c:v>5828</c:v>
                </c:pt>
                <c:pt idx="1">
                  <c:v>5799</c:v>
                </c:pt>
                <c:pt idx="2">
                  <c:v>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C7-4012-ABCE-DC4D66219368}"/>
            </c:ext>
          </c:extLst>
        </c:ser>
        <c:ser>
          <c:idx val="5"/>
          <c:order val="5"/>
          <c:tx>
            <c:strRef>
              <c:f>'Pivot Table'!$G$3</c:f>
              <c:strCache>
                <c:ptCount val="1"/>
                <c:pt idx="0">
                  <c:v>Sum of Sale_Amount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Table'!$G$4:$G$7</c:f>
              <c:numCache>
                <c:formatCode>0.00</c:formatCode>
                <c:ptCount val="3"/>
                <c:pt idx="0">
                  <c:v>1331958</c:v>
                </c:pt>
                <c:pt idx="1">
                  <c:v>1314069</c:v>
                </c:pt>
                <c:pt idx="2">
                  <c:v>1251341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CC7-4012-ABCE-DC4D662193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53416455"/>
        <c:axId val="1430397447"/>
      </c:barChart>
      <c:catAx>
        <c:axId val="1253416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0397447"/>
        <c:crosses val="autoZero"/>
        <c:auto val="1"/>
        <c:lblAlgn val="ctr"/>
        <c:lblOffset val="100"/>
        <c:noMultiLvlLbl val="0"/>
      </c:catAx>
      <c:valAx>
        <c:axId val="1430397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3416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[GoogleAds_DataAnalytics_Sales_Uncleaned 1.xlsx]Pivot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Amount by Device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Clicks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121887</c:v>
                </c:pt>
                <c:pt idx="1">
                  <c:v>123068</c:v>
                </c:pt>
                <c:pt idx="2">
                  <c:v>116338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18-4805-B1C7-90F909DB229B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Impressions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4019108.5</c:v>
                </c:pt>
                <c:pt idx="1">
                  <c:v>3980624.5</c:v>
                </c:pt>
                <c:pt idx="2">
                  <c:v>3760539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B18-4805-B1C7-90F909DB229B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Cost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Table'!$D$4:$D$7</c:f>
              <c:numCache>
                <c:formatCode>0.00</c:formatCode>
                <c:ptCount val="3"/>
                <c:pt idx="0">
                  <c:v>190468.70999999996</c:v>
                </c:pt>
                <c:pt idx="1">
                  <c:v>189809.84000000035</c:v>
                </c:pt>
                <c:pt idx="2">
                  <c:v>179003.56999999992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18-4805-B1C7-90F909DB229B}"/>
            </c:ext>
          </c:extLst>
        </c:ser>
        <c:ser>
          <c:idx val="3"/>
          <c:order val="3"/>
          <c:tx>
            <c:strRef>
              <c:f>'Pivot Table'!$E$3</c:f>
              <c:strCache>
                <c:ptCount val="1"/>
                <c:pt idx="0">
                  <c:v>Sum of Leads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17690</c:v>
                </c:pt>
                <c:pt idx="1">
                  <c:v>17647</c:v>
                </c:pt>
                <c:pt idx="2">
                  <c:v>16673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B18-4805-B1C7-90F909DB229B}"/>
            </c:ext>
          </c:extLst>
        </c:ser>
        <c:ser>
          <c:idx val="4"/>
          <c:order val="4"/>
          <c:tx>
            <c:strRef>
              <c:f>'Pivot Table'!$F$3</c:f>
              <c:strCache>
                <c:ptCount val="1"/>
                <c:pt idx="0">
                  <c:v>Sum of Conversions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Table'!$F$4:$F$7</c:f>
              <c:numCache>
                <c:formatCode>General</c:formatCode>
                <c:ptCount val="3"/>
                <c:pt idx="0">
                  <c:v>5828</c:v>
                </c:pt>
                <c:pt idx="1">
                  <c:v>5799</c:v>
                </c:pt>
                <c:pt idx="2">
                  <c:v>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B18-4805-B1C7-90F909DB229B}"/>
            </c:ext>
          </c:extLst>
        </c:ser>
        <c:ser>
          <c:idx val="5"/>
          <c:order val="5"/>
          <c:tx>
            <c:strRef>
              <c:f>'Pivot Table'!$G$3</c:f>
              <c:strCache>
                <c:ptCount val="1"/>
                <c:pt idx="0">
                  <c:v>Sum of Sale_Amount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Table'!$G$4:$G$7</c:f>
              <c:numCache>
                <c:formatCode>0.00</c:formatCode>
                <c:ptCount val="3"/>
                <c:pt idx="0">
                  <c:v>1331958</c:v>
                </c:pt>
                <c:pt idx="1">
                  <c:v>1314069</c:v>
                </c:pt>
                <c:pt idx="2">
                  <c:v>1251341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B18-4805-B1C7-90F909DB22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[GoogleAds_DataAnalytics_Sales_Uncleaned 1.xlsx]Pivot Table!PivotTable1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Clicks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121887</c:v>
                </c:pt>
                <c:pt idx="1">
                  <c:v>123068</c:v>
                </c:pt>
                <c:pt idx="2">
                  <c:v>116338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0A-47F3-B4B0-DACA1D4D3DF6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4019108.5</c:v>
                </c:pt>
                <c:pt idx="1">
                  <c:v>3980624.5</c:v>
                </c:pt>
                <c:pt idx="2">
                  <c:v>3760539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0A-47F3-B4B0-DACA1D4D3DF6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Cost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Table'!$D$4:$D$7</c:f>
              <c:numCache>
                <c:formatCode>0.00</c:formatCode>
                <c:ptCount val="3"/>
                <c:pt idx="0">
                  <c:v>190468.70999999996</c:v>
                </c:pt>
                <c:pt idx="1">
                  <c:v>189809.84000000035</c:v>
                </c:pt>
                <c:pt idx="2">
                  <c:v>179003.56999999992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F0A-47F3-B4B0-DACA1D4D3DF6}"/>
            </c:ext>
          </c:extLst>
        </c:ser>
        <c:ser>
          <c:idx val="3"/>
          <c:order val="3"/>
          <c:tx>
            <c:strRef>
              <c:f>'Pivot Table'!$E$3</c:f>
              <c:strCache>
                <c:ptCount val="1"/>
                <c:pt idx="0">
                  <c:v>Sum of Leads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17690</c:v>
                </c:pt>
                <c:pt idx="1">
                  <c:v>17647</c:v>
                </c:pt>
                <c:pt idx="2">
                  <c:v>16673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0A-47F3-B4B0-DACA1D4D3DF6}"/>
            </c:ext>
          </c:extLst>
        </c:ser>
        <c:ser>
          <c:idx val="4"/>
          <c:order val="4"/>
          <c:tx>
            <c:strRef>
              <c:f>'Pivot Table'!$F$3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Table'!$F$4:$F$7</c:f>
              <c:numCache>
                <c:formatCode>General</c:formatCode>
                <c:ptCount val="3"/>
                <c:pt idx="0">
                  <c:v>5828</c:v>
                </c:pt>
                <c:pt idx="1">
                  <c:v>5799</c:v>
                </c:pt>
                <c:pt idx="2">
                  <c:v>5358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F0A-47F3-B4B0-DACA1D4D3DF6}"/>
            </c:ext>
          </c:extLst>
        </c:ser>
        <c:ser>
          <c:idx val="5"/>
          <c:order val="5"/>
          <c:tx>
            <c:strRef>
              <c:f>'Pivot Table'!$G$3</c:f>
              <c:strCache>
                <c:ptCount val="1"/>
                <c:pt idx="0">
                  <c:v>Sum of Sale_Amount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Table'!$G$4:$G$7</c:f>
              <c:numCache>
                <c:formatCode>0.00</c:formatCode>
                <c:ptCount val="3"/>
                <c:pt idx="0">
                  <c:v>1331958</c:v>
                </c:pt>
                <c:pt idx="1">
                  <c:v>1314069</c:v>
                </c:pt>
                <c:pt idx="2">
                  <c:v>1251341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F0A-47F3-B4B0-DACA1D4D3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8867463"/>
        <c:axId val="1470978055"/>
      </c:barChart>
      <c:catAx>
        <c:axId val="13588674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978055"/>
        <c:crosses val="autoZero"/>
        <c:auto val="1"/>
        <c:lblAlgn val="ctr"/>
        <c:lblOffset val="100"/>
        <c:noMultiLvlLbl val="0"/>
      </c:catAx>
      <c:valAx>
        <c:axId val="1470978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88674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[GoogleAds_DataAnalytics_Sales_Uncleaned 1.xlsx]Pivot Table!PivotTable1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Clicks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Table'!$B$4:$B$7</c:f>
              <c:numCache>
                <c:formatCode>General</c:formatCode>
                <c:ptCount val="3"/>
                <c:pt idx="0">
                  <c:v>121887</c:v>
                </c:pt>
                <c:pt idx="1">
                  <c:v>123068</c:v>
                </c:pt>
                <c:pt idx="2">
                  <c:v>116338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75C-4E9B-B3E7-63B058A11787}"/>
            </c:ext>
          </c:extLst>
        </c:ser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Impressions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Table'!$C$4:$C$7</c:f>
              <c:numCache>
                <c:formatCode>General</c:formatCode>
                <c:ptCount val="3"/>
                <c:pt idx="0">
                  <c:v>4019108.5</c:v>
                </c:pt>
                <c:pt idx="1">
                  <c:v>3980624.5</c:v>
                </c:pt>
                <c:pt idx="2">
                  <c:v>3760539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75C-4E9B-B3E7-63B058A11787}"/>
            </c:ext>
          </c:extLst>
        </c:ser>
        <c:ser>
          <c:idx val="2"/>
          <c:order val="2"/>
          <c:tx>
            <c:strRef>
              <c:f>'Pivot Table'!$D$3</c:f>
              <c:strCache>
                <c:ptCount val="1"/>
                <c:pt idx="0">
                  <c:v>Sum of Cost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Table'!$D$4:$D$7</c:f>
              <c:numCache>
                <c:formatCode>0.00</c:formatCode>
                <c:ptCount val="3"/>
                <c:pt idx="0">
                  <c:v>190468.70999999996</c:v>
                </c:pt>
                <c:pt idx="1">
                  <c:v>189809.84000000035</c:v>
                </c:pt>
                <c:pt idx="2">
                  <c:v>179003.56999999992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75C-4E9B-B3E7-63B058A11787}"/>
            </c:ext>
          </c:extLst>
        </c:ser>
        <c:ser>
          <c:idx val="3"/>
          <c:order val="3"/>
          <c:tx>
            <c:strRef>
              <c:f>'Pivot Table'!$E$3</c:f>
              <c:strCache>
                <c:ptCount val="1"/>
                <c:pt idx="0">
                  <c:v>Sum of Leads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Table'!$E$4:$E$7</c:f>
              <c:numCache>
                <c:formatCode>General</c:formatCode>
                <c:ptCount val="3"/>
                <c:pt idx="0">
                  <c:v>17690</c:v>
                </c:pt>
                <c:pt idx="1">
                  <c:v>17647</c:v>
                </c:pt>
                <c:pt idx="2">
                  <c:v>16673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75C-4E9B-B3E7-63B058A11787}"/>
            </c:ext>
          </c:extLst>
        </c:ser>
        <c:ser>
          <c:idx val="4"/>
          <c:order val="4"/>
          <c:tx>
            <c:strRef>
              <c:f>'Pivot Table'!$F$3</c:f>
              <c:strCache>
                <c:ptCount val="1"/>
                <c:pt idx="0">
                  <c:v>Sum of Conversions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Table'!$F$4:$F$7</c:f>
              <c:numCache>
                <c:formatCode>General</c:formatCode>
                <c:ptCount val="3"/>
                <c:pt idx="0">
                  <c:v>5828</c:v>
                </c:pt>
                <c:pt idx="1">
                  <c:v>5799</c:v>
                </c:pt>
                <c:pt idx="2">
                  <c:v>5358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75C-4E9B-B3E7-63B058A11787}"/>
            </c:ext>
          </c:extLst>
        </c:ser>
        <c:ser>
          <c:idx val="5"/>
          <c:order val="5"/>
          <c:tx>
            <c:strRef>
              <c:f>'Pivot Table'!$G$3</c:f>
              <c:strCache>
                <c:ptCount val="1"/>
                <c:pt idx="0">
                  <c:v>Sum of Sale_Amount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'Pivot Table'!$A$4:$A$7</c:f>
              <c:strCache>
                <c:ptCount val="3"/>
                <c:pt idx="0">
                  <c:v>Desktop</c:v>
                </c:pt>
                <c:pt idx="1">
                  <c:v>Mobile</c:v>
                </c:pt>
                <c:pt idx="2">
                  <c:v>Tablet</c:v>
                </c:pt>
              </c:strCache>
            </c:strRef>
          </c:cat>
          <c:val>
            <c:numRef>
              <c:f>'Pivot Table'!$G$4:$G$7</c:f>
              <c:numCache>
                <c:formatCode>0.00</c:formatCode>
                <c:ptCount val="3"/>
                <c:pt idx="0">
                  <c:v>1331958</c:v>
                </c:pt>
                <c:pt idx="1">
                  <c:v>1314069</c:v>
                </c:pt>
                <c:pt idx="2">
                  <c:v>1251341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75C-4E9B-B3E7-63B058A117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90664455"/>
        <c:axId val="1496591879"/>
      </c:lineChart>
      <c:catAx>
        <c:axId val="1490664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6591879"/>
        <c:crosses val="autoZero"/>
        <c:auto val="1"/>
        <c:lblAlgn val="ctr"/>
        <c:lblOffset val="100"/>
        <c:noMultiLvlLbl val="0"/>
      </c:catAx>
      <c:valAx>
        <c:axId val="1496591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0664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7</xdr:row>
      <xdr:rowOff>161925</xdr:rowOff>
    </xdr:from>
    <xdr:to>
      <xdr:col>5</xdr:col>
      <xdr:colOff>95250</xdr:colOff>
      <xdr:row>22</xdr:row>
      <xdr:rowOff>47625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E6D8A9-40DD-C1E4-1661-7A6F6A890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209550</xdr:colOff>
      <xdr:row>7</xdr:row>
      <xdr:rowOff>180975</xdr:rowOff>
    </xdr:from>
    <xdr:to>
      <xdr:col>10</xdr:col>
      <xdr:colOff>342900</xdr:colOff>
      <xdr:row>22</xdr:row>
      <xdr:rowOff>66675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C96F1D-7242-21FA-0DA3-D3DDE7EC651B}"/>
            </a:ext>
            <a:ext uri="{147F2762-F138-4A5C-976F-8EAC2B608ADB}">
              <a16:predDERef xmlns:a16="http://schemas.microsoft.com/office/drawing/2014/main" pred="{D5E6D8A9-40DD-C1E4-1661-7A6F6A8908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66675</xdr:colOff>
      <xdr:row>23</xdr:row>
      <xdr:rowOff>28575</xdr:rowOff>
    </xdr:from>
    <xdr:to>
      <xdr:col>5</xdr:col>
      <xdr:colOff>104775</xdr:colOff>
      <xdr:row>37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900F6EB-B896-2F1E-1113-0A4A3B3EB9EC}"/>
            </a:ext>
            <a:ext uri="{147F2762-F138-4A5C-976F-8EAC2B608ADB}">
              <a16:predDERef xmlns:a16="http://schemas.microsoft.com/office/drawing/2014/main" pred="{57C96F1D-7242-21FA-0DA3-D3DDE7EC65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342900</xdr:colOff>
      <xdr:row>23</xdr:row>
      <xdr:rowOff>47625</xdr:rowOff>
    </xdr:from>
    <xdr:to>
      <xdr:col>10</xdr:col>
      <xdr:colOff>476250</xdr:colOff>
      <xdr:row>37</xdr:row>
      <xdr:rowOff>123825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4C3B266-609B-8882-7897-08360949202A}"/>
            </a:ext>
            <a:ext uri="{147F2762-F138-4A5C-976F-8EAC2B608ADB}">
              <a16:predDERef xmlns:a16="http://schemas.microsoft.com/office/drawing/2014/main" pred="{7900F6EB-B896-2F1E-1113-0A4A3B3EB9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504825</xdr:colOff>
      <xdr:row>3</xdr:row>
      <xdr:rowOff>38100</xdr:rowOff>
    </xdr:from>
    <xdr:to>
      <xdr:col>13</xdr:col>
      <xdr:colOff>504825</xdr:colOff>
      <xdr:row>17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Device">
              <a:extLst>
                <a:ext uri="{FF2B5EF4-FFF2-40B4-BE49-F238E27FC236}">
                  <a16:creationId xmlns:a16="http://schemas.microsoft.com/office/drawing/2014/main" id="{1FCB9BFC-9FD6-DAFD-8D07-13D65A4CD42A}"/>
                </a:ext>
                <a:ext uri="{147F2762-F138-4A5C-976F-8EAC2B608ADB}">
                  <a16:predDERef xmlns:a16="http://schemas.microsoft.com/office/drawing/2014/main" pred="{E4C3B266-609B-8882-7897-0836094920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vic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77375" y="6096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leaned_Data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at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eaned_Data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95.901917592593" createdVersion="8" refreshedVersion="8" minRefreshableVersion="3" recordCount="2600" xr:uid="{05B3FB00-53A4-4041-BE9D-BE3CF6CAE9F2}">
  <cacheSource type="worksheet">
    <worksheetSource ref="A1:S2601" sheet="Cleaned_Data"/>
  </cacheSource>
  <cacheFields count="19">
    <cacheField name="Ad_ID" numFmtId="0">
      <sharedItems/>
    </cacheField>
    <cacheField name="Campaign_Name" numFmtId="0">
      <sharedItems/>
    </cacheField>
    <cacheField name="Clicks" numFmtId="0">
      <sharedItems containsSemiMixedTypes="0" containsString="0" containsNumber="1" containsInteger="1" minValue="80" maxValue="199"/>
    </cacheField>
    <cacheField name="Impressions" numFmtId="0">
      <sharedItems containsSemiMixedTypes="0" containsString="0" containsNumber="1" minValue="3000" maxValue="5999"/>
    </cacheField>
    <cacheField name="Cost" numFmtId="2">
      <sharedItems containsSemiMixedTypes="0" containsString="0" containsNumber="1" minValue="180.01" maxValue="249.89"/>
    </cacheField>
    <cacheField name="Leads" numFmtId="0">
      <sharedItems containsSemiMixedTypes="0" containsString="0" containsNumber="1" containsInteger="1" minValue="10" maxValue="30"/>
    </cacheField>
    <cacheField name="Conversions" numFmtId="0">
      <sharedItems containsSemiMixedTypes="0" containsString="0" containsNumber="1" containsInteger="1" minValue="3" maxValue="10"/>
    </cacheField>
    <cacheField name="Conversion Rate" numFmtId="0">
      <sharedItems containsSemiMixedTypes="0" containsString="0" containsNumber="1" minValue="1.4999999999999999E-2" maxValue="0.123"/>
    </cacheField>
    <cacheField name="Sale_Amount" numFmtId="2">
      <sharedItems containsSemiMixedTypes="0" containsString="0" containsNumber="1" containsInteger="1" minValue="1000" maxValue="2000"/>
    </cacheField>
    <cacheField name="Ad_Date" numFmtId="14">
      <sharedItems containsDate="1" containsMixedTypes="1" minDate="2024-01-11T00:00:00" maxDate="2024-12-12T00:00:00"/>
    </cacheField>
    <cacheField name="Location" numFmtId="0">
      <sharedItems/>
    </cacheField>
    <cacheField name="Device" numFmtId="0">
      <sharedItems count="3">
        <s v="Desktop"/>
        <s v="Mobile"/>
        <s v="Tablet"/>
      </sharedItems>
    </cacheField>
    <cacheField name="Keyword" numFmtId="0">
      <sharedItems/>
    </cacheField>
    <cacheField name="Clean_Date" numFmtId="14">
      <sharedItems containsSemiMixedTypes="0" containsNonDate="0" containsDate="1" containsString="0" minDate="2024-01-11T00:00:00" maxDate="2024-12-12T00:00:00"/>
    </cacheField>
    <cacheField name="CTR" numFmtId="10">
      <sharedItems containsSemiMixedTypes="0" containsString="0" containsNumber="1" minValue="1.3631773813530798E-2" maxValue="6.5470255898969751E-2"/>
    </cacheField>
    <cacheField name="CPC" numFmtId="0">
      <sharedItems containsSemiMixedTypes="0" containsString="0" containsNumber="1" minValue="0.90939393939393942" maxValue="3.0895000000000001"/>
    </cacheField>
    <cacheField name="CPL" numFmtId="2">
      <sharedItems containsSemiMixedTypes="0" containsString="0" containsNumber="1" minValue="6.008" maxValue="24.961000000000002"/>
    </cacheField>
    <cacheField name="CPCONV" numFmtId="2">
      <sharedItems containsSemiMixedTypes="0" containsString="0" containsNumber="1" minValue="18.003999999999998" maxValue="83.216666666666669"/>
    </cacheField>
    <cacheField name="ROAS" numFmtId="2">
      <sharedItems containsSemiMixedTypes="0" containsString="0" containsNumber="1" minValue="4.0655339805825248" maxValue="11.052631578947368"/>
    </cacheField>
  </cacheFields>
  <extLst>
    <ext xmlns:x14="http://schemas.microsoft.com/office/spreadsheetml/2009/9/main" uri="{725AE2AE-9491-48be-B2B4-4EB974FC3084}">
      <x14:pivotCacheDefinition pivotCacheId="183888639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00">
  <r>
    <s v="A1000"/>
    <s v="Data Analytics Course"/>
    <n v="104"/>
    <n v="4498"/>
    <n v="231.88"/>
    <n v="14"/>
    <n v="7"/>
    <n v="5.8000000000000003E-2"/>
    <n v="1892"/>
    <d v="2024-11-16T00:00:00"/>
    <s v="Hyderabad"/>
    <x v="0"/>
    <s v="learn data analytics"/>
    <d v="2024-11-16T00:00:00"/>
    <n v="2.3121387283236993E-2"/>
    <n v="2.2296153846153848"/>
    <n v="16.562857142857144"/>
    <n v="33.125714285714288"/>
    <n v="8.1593927893738147"/>
  </r>
  <r>
    <s v="A1001"/>
    <s v="Data Analytics Course"/>
    <n v="173"/>
    <n v="5107"/>
    <n v="216.84"/>
    <n v="10"/>
    <n v="8"/>
    <n v="4.5999999999999999E-2"/>
    <n v="1679"/>
    <s v="20-11-2024"/>
    <s v="Hyderabad"/>
    <x v="1"/>
    <s v="data analytics course"/>
    <d v="2024-11-20T00:00:00"/>
    <n v="3.3875073428627375E-2"/>
    <n v="1.2534104046242776"/>
    <n v="21.684000000000001"/>
    <n v="27.105"/>
    <n v="7.7430363401586426"/>
  </r>
  <r>
    <s v="A1002"/>
    <s v="Data Analytics Course"/>
    <n v="90"/>
    <n v="4544"/>
    <n v="203.66"/>
    <n v="26"/>
    <n v="9"/>
    <n v="4.5999999999999999E-2"/>
    <n v="1624"/>
    <d v="2024-11-16T00:00:00"/>
    <s v="Hyderabad"/>
    <x v="0"/>
    <s v="data analitics online"/>
    <d v="2024-11-16T00:00:00"/>
    <n v="1.9806338028169015E-2"/>
    <n v="2.2628888888888889"/>
    <n v="7.8330769230769226"/>
    <n v="22.628888888888888"/>
    <n v="7.9740744377884711"/>
  </r>
  <r>
    <s v="A1003"/>
    <s v="Data Analytics Course"/>
    <n v="142"/>
    <n v="3185"/>
    <n v="237.66"/>
    <n v="17"/>
    <n v="6"/>
    <n v="4.5999999999999999E-2"/>
    <n v="1225"/>
    <d v="2024-11-26T00:00:00"/>
    <s v="Hyderabad"/>
    <x v="2"/>
    <s v="data anaytics training"/>
    <d v="2024-11-26T00:00:00"/>
    <n v="4.4583987441130297E-2"/>
    <n v="1.673661971830986"/>
    <n v="13.98"/>
    <n v="39.61"/>
    <n v="5.1544222839350331"/>
  </r>
  <r>
    <s v="A1004"/>
    <s v="Data Analytics Course"/>
    <n v="156"/>
    <n v="3361"/>
    <n v="195.9"/>
    <n v="30"/>
    <n v="8"/>
    <n v="4.5999999999999999E-2"/>
    <n v="1091"/>
    <d v="2024-11-22T00:00:00"/>
    <s v="Hyderabad"/>
    <x v="0"/>
    <s v="online data analytic"/>
    <d v="2024-11-22T00:00:00"/>
    <n v="4.6414757512645045E-2"/>
    <n v="1.2557692307692307"/>
    <n v="6.53"/>
    <n v="24.487500000000001"/>
    <n v="5.5691679428279732"/>
  </r>
  <r>
    <s v="A1005"/>
    <s v="Data Analytics Course"/>
    <n v="195"/>
    <n v="3776"/>
    <n v="243.57"/>
    <n v="10"/>
    <n v="8"/>
    <n v="4.5999999999999999E-2"/>
    <n v="1315"/>
    <s v="16-11-2024"/>
    <s v="Hyderabad"/>
    <x v="1"/>
    <s v="data anaytics training"/>
    <d v="2024-11-16T00:00:00"/>
    <n v="5.1641949152542374E-2"/>
    <n v="1.249076923076923"/>
    <n v="24.356999999999999"/>
    <n v="30.446249999999999"/>
    <n v="5.3988586443322246"/>
  </r>
  <r>
    <s v="A1006"/>
    <s v="Data Analytics Course"/>
    <n v="116"/>
    <n v="4480"/>
    <n v="237.79"/>
    <n v="17"/>
    <n v="5"/>
    <n v="4.2999999999999997E-2"/>
    <n v="1640"/>
    <d v="2024-06-11T00:00:00"/>
    <s v="Hyderabad"/>
    <x v="2"/>
    <s v="data analytics course"/>
    <d v="2024-06-11T00:00:00"/>
    <n v="2.5892857142857145E-2"/>
    <n v="2.0499137931034483"/>
    <n v="13.987647058823528"/>
    <n v="47.558"/>
    <n v="6.896841751124942"/>
  </r>
  <r>
    <s v="A1007"/>
    <s v="Data Analytics Course"/>
    <n v="184"/>
    <n v="5060"/>
    <n v="229.61"/>
    <n v="23"/>
    <n v="3"/>
    <n v="1.6E-2"/>
    <n v="1509"/>
    <d v="2024-11-24T00:00:00"/>
    <s v="Hyderabad"/>
    <x v="2"/>
    <s v="analytics for data"/>
    <d v="2024-11-24T00:00:00"/>
    <n v="3.6363636363636362E-2"/>
    <n v="1.2478804347826087"/>
    <n v="9.9830434782608695"/>
    <n v="76.536666666666676"/>
    <n v="6.57201341404991"/>
  </r>
  <r>
    <s v="A1008"/>
    <s v="Data Analytics Course"/>
    <n v="113"/>
    <n v="5434"/>
    <n v="215.57"/>
    <n v="27"/>
    <n v="4"/>
    <n v="5.8000000000000003E-2"/>
    <n v="1362"/>
    <d v="2024-11-24T00:00:00"/>
    <s v="Hyderabad"/>
    <x v="2"/>
    <s v="data anaytics training"/>
    <d v="2024-11-24T00:00:00"/>
    <n v="2.0794994479205006E-2"/>
    <n v="1.9076991150442477"/>
    <n v="7.9840740740740737"/>
    <n v="53.892499999999998"/>
    <n v="6.3181333209630282"/>
  </r>
  <r>
    <s v="A1009"/>
    <s v="Data Analytics Course"/>
    <n v="166"/>
    <n v="3355"/>
    <n v="186.78"/>
    <n v="24"/>
    <n v="9"/>
    <n v="5.3999999999999999E-2"/>
    <n v="1029"/>
    <d v="2024-11-12T00:00:00"/>
    <s v="Hyderabad"/>
    <x v="1"/>
    <s v="online data analytic"/>
    <d v="2024-11-12T00:00:00"/>
    <n v="4.9478390461997021E-2"/>
    <n v="1.1251807228915662"/>
    <n v="7.7824999999999998"/>
    <n v="20.753333333333334"/>
    <n v="5.5091551557982656"/>
  </r>
  <r>
    <s v="A1010"/>
    <s v="Data Analytics Course"/>
    <n v="101"/>
    <n v="5399"/>
    <n v="236.79"/>
    <n v="20"/>
    <n v="6"/>
    <n v="5.8999999999999997E-2"/>
    <n v="1900"/>
    <s v="14-11-2024"/>
    <s v="Hyderabad"/>
    <x v="0"/>
    <s v="learn data analytics"/>
    <d v="2024-11-14T00:00:00"/>
    <n v="1.8707167994072977E-2"/>
    <n v="2.3444554455445545"/>
    <n v="11.839499999999999"/>
    <n v="39.464999999999996"/>
    <n v="8.0239874994721063"/>
  </r>
  <r>
    <s v="A1011"/>
    <s v="Data Analytics Course"/>
    <n v="101"/>
    <n v="3613"/>
    <n v="208.12"/>
    <n v="24"/>
    <n v="5"/>
    <n v="0.05"/>
    <n v="1130"/>
    <d v="2024-11-22T00:00:00"/>
    <s v="Hyderabad"/>
    <x v="0"/>
    <s v="online data analytic"/>
    <d v="2024-11-22T00:00:00"/>
    <n v="2.7954608358704676E-2"/>
    <n v="2.0605940594059406"/>
    <n v="8.6716666666666669"/>
    <n v="41.624000000000002"/>
    <n v="5.4295598693061695"/>
  </r>
  <r>
    <s v="A1012"/>
    <s v="Data Analytics Course"/>
    <n v="125"/>
    <n v="3259"/>
    <n v="191.3"/>
    <n v="18"/>
    <n v="3"/>
    <n v="2.4E-2"/>
    <n v="1959"/>
    <d v="2024-11-27T00:00:00"/>
    <s v="Hyderabad"/>
    <x v="0"/>
    <s v="data analitics online"/>
    <d v="2024-11-27T00:00:00"/>
    <n v="3.8355323718932188E-2"/>
    <n v="1.5304"/>
    <n v="10.627777777777778"/>
    <n v="63.766666666666673"/>
    <n v="10.240460010454782"/>
  </r>
  <r>
    <s v="A1013"/>
    <s v="Data Analytics Course"/>
    <n v="196"/>
    <n v="3742"/>
    <n v="207.46"/>
    <n v="10"/>
    <n v="7"/>
    <n v="3.7999999999999999E-2"/>
    <n v="1623"/>
    <d v="2024-12-11T00:00:00"/>
    <s v="Hyderabad"/>
    <x v="1"/>
    <s v="data anaytics training"/>
    <d v="2024-12-11T00:00:00"/>
    <n v="5.2378407268840195E-2"/>
    <n v="1.0584693877551021"/>
    <n v="20.746000000000002"/>
    <n v="29.637142857142859"/>
    <n v="7.8231948327388405"/>
  </r>
  <r>
    <s v="A1014"/>
    <s v="Data Analytics Course"/>
    <n v="181"/>
    <n v="4311"/>
    <n v="185.09"/>
    <n v="11"/>
    <n v="9"/>
    <n v="0.05"/>
    <n v="1538"/>
    <d v="2024-11-04T00:00:00"/>
    <s v="Hyderabad"/>
    <x v="0"/>
    <s v="data anaytics training"/>
    <d v="2024-11-04T00:00:00"/>
    <n v="4.1985618186035724E-2"/>
    <n v="1.0225966850828729"/>
    <n v="16.826363636363638"/>
    <n v="20.565555555555555"/>
    <n v="8.3094710681290174"/>
  </r>
  <r>
    <s v="A1015"/>
    <s v="Data Analytics Course"/>
    <n v="102"/>
    <n v="5461"/>
    <n v="201.69"/>
    <n v="22"/>
    <n v="8"/>
    <n v="7.8E-2"/>
    <n v="1755"/>
    <d v="2024-11-29T00:00:00"/>
    <s v="Hyderabad"/>
    <x v="0"/>
    <s v="data analytics course"/>
    <d v="2024-11-29T00:00:00"/>
    <n v="1.8677897820911921E-2"/>
    <n v="1.9773529411764705"/>
    <n v="9.1677272727272729"/>
    <n v="25.21125"/>
    <n v="8.7014725568942435"/>
  </r>
  <r>
    <s v="A1016"/>
    <s v="Data Analytics Course"/>
    <n v="193"/>
    <n v="5159"/>
    <n v="215.57"/>
    <n v="15"/>
    <n v="9"/>
    <n v="4.7E-2"/>
    <n v="1614"/>
    <d v="2024-11-10T00:00:00"/>
    <s v="Hyderabad"/>
    <x v="1"/>
    <s v="learn data analytics"/>
    <d v="2024-11-10T00:00:00"/>
    <n v="3.7410350843186661E-2"/>
    <n v="1.1169430051813471"/>
    <n v="14.371333333333332"/>
    <n v="23.952222222222222"/>
    <n v="7.4871271512733681"/>
  </r>
  <r>
    <s v="A1017"/>
    <s v="Data Analytics Course"/>
    <n v="149"/>
    <n v="4431"/>
    <n v="207.4"/>
    <n v="19"/>
    <n v="9"/>
    <n v="0.06"/>
    <n v="1693"/>
    <d v="2024-12-11T00:00:00"/>
    <s v="Hyderabad"/>
    <x v="1"/>
    <s v="learn data analytics"/>
    <d v="2024-12-11T00:00:00"/>
    <n v="3.3626720830512297E-2"/>
    <n v="1.3919463087248323"/>
    <n v="10.91578947368421"/>
    <n v="23.044444444444444"/>
    <n v="8.1629701060752176"/>
  </r>
  <r>
    <s v="A1018"/>
    <s v="Data Analytics Course"/>
    <n v="150"/>
    <n v="3113"/>
    <n v="217.41"/>
    <n v="20"/>
    <n v="5"/>
    <n v="4.5999999999999999E-2"/>
    <n v="1785"/>
    <d v="2024-11-07T00:00:00"/>
    <s v="Hyderabad"/>
    <x v="1"/>
    <s v="analytics for data"/>
    <d v="2024-11-07T00:00:00"/>
    <n v="4.8185030517185992E-2"/>
    <n v="1.4494"/>
    <n v="10.8705"/>
    <n v="43.481999999999999"/>
    <n v="8.2102939147233336"/>
  </r>
  <r>
    <s v="A1019"/>
    <s v="Data Analytics Course"/>
    <n v="145"/>
    <n v="5278"/>
    <n v="215.57"/>
    <n v="25"/>
    <n v="6"/>
    <n v="4.1000000000000002E-2"/>
    <n v="1516"/>
    <d v="2024-11-05T00:00:00"/>
    <s v="Hyderabad"/>
    <x v="0"/>
    <s v="data analytics course"/>
    <d v="2024-11-05T00:00:00"/>
    <n v="2.7472527472527472E-2"/>
    <n v="1.4866896551724138"/>
    <n v="8.6227999999999998"/>
    <n v="35.928333333333335"/>
    <n v="7.0325184394860143"/>
  </r>
  <r>
    <s v="A1020"/>
    <s v="Data Analytics Course"/>
    <n v="184"/>
    <n v="4143"/>
    <n v="223.3"/>
    <n v="10"/>
    <n v="10"/>
    <n v="4.3999999999999997E-2"/>
    <n v="1735"/>
    <d v="2024-11-21T00:00:00"/>
    <s v="Hyderabad"/>
    <x v="2"/>
    <s v="learn data analytics"/>
    <d v="2024-11-21T00:00:00"/>
    <n v="4.4412261646150135E-2"/>
    <n v="1.2135869565217392"/>
    <n v="22.330000000000002"/>
    <n v="22.330000000000002"/>
    <n v="7.7698163905060449"/>
  </r>
  <r>
    <s v="A1021"/>
    <s v="Data Analytics Course"/>
    <n v="171"/>
    <n v="4154"/>
    <n v="184.23"/>
    <n v="30"/>
    <n v="7"/>
    <n v="4.1000000000000002E-2"/>
    <n v="1803"/>
    <d v="2024-11-08T00:00:00"/>
    <s v="Hyderabad"/>
    <x v="2"/>
    <s v="data analitics online"/>
    <d v="2024-11-08T00:00:00"/>
    <n v="4.1165142031776604E-2"/>
    <n v="1.0773684210526315"/>
    <n v="6.141"/>
    <n v="26.318571428571428"/>
    <n v="9.7866796938609344"/>
  </r>
  <r>
    <s v="A1022"/>
    <s v="Data Analytics Course"/>
    <n v="122"/>
    <n v="5187"/>
    <n v="211.24"/>
    <n v="27"/>
    <n v="6"/>
    <n v="4.9000000000000002E-2"/>
    <n v="1322"/>
    <d v="2024-11-20T00:00:00"/>
    <s v="Hyderabad"/>
    <x v="0"/>
    <s v="online data analytic"/>
    <d v="2024-11-20T00:00:00"/>
    <n v="2.3520339309812992E-2"/>
    <n v="1.7314754098360656"/>
    <n v="7.8237037037037043"/>
    <n v="35.206666666666671"/>
    <n v="6.2582844158303352"/>
  </r>
  <r>
    <s v="A1023"/>
    <s v="Data Analytics Course"/>
    <n v="188"/>
    <n v="5798"/>
    <n v="230.17"/>
    <n v="28"/>
    <n v="5"/>
    <n v="4.7E-2"/>
    <n v="1452"/>
    <s v="30-11-2024"/>
    <s v="Hyderabad"/>
    <x v="2"/>
    <s v="data analytics course"/>
    <d v="2024-11-30T00:00:00"/>
    <n v="3.2424974129010006E-2"/>
    <n v="1.2243085106382978"/>
    <n v="8.2203571428571429"/>
    <n v="46.033999999999999"/>
    <n v="6.3083807620454451"/>
  </r>
  <r>
    <s v="A1024"/>
    <s v="Data Analytics Course"/>
    <n v="87"/>
    <n v="3718"/>
    <n v="215.57"/>
    <n v="12"/>
    <n v="3"/>
    <n v="3.4000000000000002E-2"/>
    <n v="1652"/>
    <s v="20-11-2024"/>
    <s v="Hyderabad"/>
    <x v="2"/>
    <s v="learn data analytics"/>
    <d v="2024-11-20T00:00:00"/>
    <n v="2.3399677245831092E-2"/>
    <n v="2.4778160919540229"/>
    <n v="17.964166666666667"/>
    <n v="71.856666666666669"/>
    <n v="7.663403998701118"/>
  </r>
  <r>
    <s v="A1025"/>
    <s v="Data Analytics Course"/>
    <n v="88"/>
    <n v="3349"/>
    <n v="181.92"/>
    <n v="22"/>
    <n v="8"/>
    <n v="9.0999999999999998E-2"/>
    <n v="1456"/>
    <d v="2024-11-20T00:00:00"/>
    <s v="Hyderabad"/>
    <x v="2"/>
    <s v="learn data analytics"/>
    <d v="2024-11-20T00:00:00"/>
    <n v="2.6276500447894893E-2"/>
    <n v="2.0672727272727269"/>
    <n v="8.2690909090909077"/>
    <n v="22.74"/>
    <n v="8.0035180299032547"/>
  </r>
  <r>
    <s v="A1026"/>
    <s v="Data Analytics Course"/>
    <n v="119"/>
    <n v="5323"/>
    <n v="205.92"/>
    <n v="17"/>
    <n v="10"/>
    <n v="0.06"/>
    <n v="1656"/>
    <d v="2024-11-02T00:00:00"/>
    <s v="Hyderabad"/>
    <x v="0"/>
    <s v="online data analytic"/>
    <d v="2024-11-02T00:00:00"/>
    <n v="2.2355814390381364E-2"/>
    <n v="1.7304201680672269"/>
    <n v="12.112941176470587"/>
    <n v="20.591999999999999"/>
    <n v="8.0419580419580416"/>
  </r>
  <r>
    <s v="A1027"/>
    <s v="Data Analytics Course"/>
    <n v="139"/>
    <n v="5286"/>
    <n v="234.89"/>
    <n v="22"/>
    <n v="10"/>
    <n v="4.5999999999999999E-2"/>
    <n v="1688"/>
    <d v="2024-11-21T00:00:00"/>
    <s v="Hyderabad"/>
    <x v="0"/>
    <s v="data anaytics training"/>
    <d v="2024-11-21T00:00:00"/>
    <n v="2.6295875898600076E-2"/>
    <n v="1.6898561151079137"/>
    <n v="10.676818181818181"/>
    <n v="23.488999999999997"/>
    <n v="7.1863425433181494"/>
  </r>
  <r>
    <s v="A1028"/>
    <s v="Data Analytics Course"/>
    <n v="128"/>
    <n v="5469"/>
    <n v="188.49"/>
    <n v="16"/>
    <n v="3"/>
    <n v="4.5999999999999999E-2"/>
    <n v="1783"/>
    <d v="2024-11-23T00:00:00"/>
    <s v="Hyderabad"/>
    <x v="1"/>
    <s v="learn data analytics"/>
    <d v="2024-11-23T00:00:00"/>
    <n v="2.3404644359115011E-2"/>
    <n v="1.4725781250000001"/>
    <n v="11.780625000000001"/>
    <n v="62.830000000000005"/>
    <n v="9.4593877659292271"/>
  </r>
  <r>
    <s v="A1029"/>
    <s v="Data Analytics Course"/>
    <n v="86"/>
    <n v="3351"/>
    <n v="237.75"/>
    <n v="21"/>
    <n v="9"/>
    <n v="0.105"/>
    <n v="1975"/>
    <d v="2024-11-13T00:00:00"/>
    <s v="Hyderabad"/>
    <x v="1"/>
    <s v="analytics for data"/>
    <d v="2024-11-13T00:00:00"/>
    <n v="2.5663980901223515E-2"/>
    <n v="2.76453488372093"/>
    <n v="11.321428571428571"/>
    <n v="26.416666666666668"/>
    <n v="8.3070452155625656"/>
  </r>
  <r>
    <s v="A1030"/>
    <s v="Data Analytics Course"/>
    <n v="188"/>
    <n v="4834"/>
    <n v="213.58"/>
    <n v="15"/>
    <n v="4"/>
    <n v="2.1000000000000001E-2"/>
    <n v="1590"/>
    <d v="2024-11-08T00:00:00"/>
    <s v="Hyderabad"/>
    <x v="2"/>
    <s v="online data analytic"/>
    <d v="2024-11-08T00:00:00"/>
    <n v="3.8891187422424492E-2"/>
    <n v="1.1360638297872341"/>
    <n v="14.238666666666667"/>
    <n v="53.395000000000003"/>
    <n v="7.4445172768985852"/>
  </r>
  <r>
    <s v="A1031"/>
    <s v="Data Analytics Course"/>
    <n v="113"/>
    <n v="5065"/>
    <n v="212.37"/>
    <n v="11"/>
    <n v="5"/>
    <n v="4.5999999999999999E-2"/>
    <n v="1111"/>
    <s v="22-11-2024"/>
    <s v="Hyderabad"/>
    <x v="0"/>
    <s v="online data analytic"/>
    <d v="2024-11-22T00:00:00"/>
    <n v="2.2309970384995065E-2"/>
    <n v="1.8793805309734513"/>
    <n v="19.306363636363638"/>
    <n v="42.474000000000004"/>
    <n v="5.2314357018411259"/>
  </r>
  <r>
    <s v="A1032"/>
    <s v="Data Analytics Course"/>
    <n v="139"/>
    <n v="3872"/>
    <n v="244.38"/>
    <n v="20"/>
    <n v="4"/>
    <n v="4.5999999999999999E-2"/>
    <n v="1041"/>
    <d v="2024-12-11T00:00:00"/>
    <s v="Hyderabad"/>
    <x v="2"/>
    <s v="data analitics online"/>
    <d v="2024-12-11T00:00:00"/>
    <n v="3.5898760330578511E-2"/>
    <n v="1.7581294964028777"/>
    <n v="12.218999999999999"/>
    <n v="61.094999999999999"/>
    <n v="4.259759391112202"/>
  </r>
  <r>
    <s v="A1033"/>
    <s v="Data Analytics Course"/>
    <n v="176"/>
    <n v="5509"/>
    <n v="234.59"/>
    <n v="19"/>
    <n v="7"/>
    <n v="5.3999999999999999E-2"/>
    <n v="1710"/>
    <d v="2024-11-03T00:00:00"/>
    <s v="Hyderabad"/>
    <x v="2"/>
    <s v="data analytics course"/>
    <d v="2024-11-03T00:00:00"/>
    <n v="3.1947721909602468E-2"/>
    <n v="1.3328977272727274"/>
    <n v="12.346842105263159"/>
    <n v="33.512857142857143"/>
    <n v="7.2893132699603562"/>
  </r>
  <r>
    <s v="A1034"/>
    <s v="Data Analytics Course"/>
    <n v="121"/>
    <n v="5610"/>
    <n v="214.96"/>
    <n v="23"/>
    <n v="8"/>
    <n v="4.5999999999999999E-2"/>
    <n v="1505"/>
    <d v="2024-11-25T00:00:00"/>
    <s v="Hyderabad"/>
    <x v="1"/>
    <s v="data analytics course"/>
    <d v="2024-11-25T00:00:00"/>
    <n v="2.1568627450980392E-2"/>
    <n v="1.7765289256198349"/>
    <n v="9.3460869565217397"/>
    <n v="26.87"/>
    <n v="7.0013025679196126"/>
  </r>
  <r>
    <s v="A1035"/>
    <s v="Data Analytics Course"/>
    <n v="104"/>
    <n v="5275"/>
    <n v="236.48"/>
    <n v="16"/>
    <n v="9"/>
    <n v="3.1E-2"/>
    <n v="1824"/>
    <d v="2024-01-11T00:00:00"/>
    <s v="Hyderabad"/>
    <x v="0"/>
    <s v="data anaytics training"/>
    <d v="2024-01-11T00:00:00"/>
    <n v="1.9715639810426542E-2"/>
    <n v="2.2738461538461539"/>
    <n v="14.78"/>
    <n v="26.275555555555556"/>
    <n v="7.7131258457374834"/>
  </r>
  <r>
    <s v="A1036"/>
    <s v="Data Analytics Course"/>
    <n v="146"/>
    <n v="5939"/>
    <n v="242.9"/>
    <n v="11"/>
    <n v="8"/>
    <n v="3.5000000000000003E-2"/>
    <n v="1833"/>
    <d v="2024-11-07T00:00:00"/>
    <s v="Hyderabad"/>
    <x v="0"/>
    <s v="data anaytics training"/>
    <d v="2024-11-07T00:00:00"/>
    <n v="2.4583263175618791E-2"/>
    <n v="1.6636986301369863"/>
    <n v="22.081818181818182"/>
    <n v="30.362500000000001"/>
    <n v="7.5463153561136265"/>
  </r>
  <r>
    <s v="A1037"/>
    <s v="Data Analytics Course"/>
    <n v="123"/>
    <n v="5131"/>
    <n v="215.57"/>
    <n v="19"/>
    <n v="5"/>
    <n v="4.1000000000000002E-2"/>
    <n v="1307"/>
    <d v="2024-09-11T00:00:00"/>
    <s v="Hyderabad"/>
    <x v="1"/>
    <s v="learn data analytics"/>
    <d v="2024-09-11T00:00:00"/>
    <n v="2.397193529526408E-2"/>
    <n v="1.75260162601626"/>
    <n v="11.34578947368421"/>
    <n v="43.113999999999997"/>
    <n v="6.0629957786333906"/>
  </r>
  <r>
    <s v="A1038"/>
    <s v="Data Analytics Course"/>
    <n v="90"/>
    <n v="5786"/>
    <n v="197.55"/>
    <n v="11"/>
    <n v="6"/>
    <n v="4.2999999999999997E-2"/>
    <n v="1704"/>
    <s v="16-11-2024"/>
    <s v="Hyderabad"/>
    <x v="1"/>
    <s v="online data analytic"/>
    <d v="2024-11-16T00:00:00"/>
    <n v="1.5554787417905289E-2"/>
    <n v="2.1950000000000003"/>
    <n v="17.959090909090911"/>
    <n v="32.925000000000004"/>
    <n v="8.6256643887623383"/>
  </r>
  <r>
    <s v="A1039"/>
    <s v="Data Analytics Course"/>
    <n v="171"/>
    <n v="4304"/>
    <n v="192.61"/>
    <n v="17"/>
    <n v="10"/>
    <n v="5.8000000000000003E-2"/>
    <n v="1427"/>
    <d v="2024-11-26T00:00:00"/>
    <s v="Hyderabad"/>
    <x v="1"/>
    <s v="learn data analytics"/>
    <d v="2024-11-26T00:00:00"/>
    <n v="3.9730483271375468E-2"/>
    <n v="1.126374269005848"/>
    <n v="11.33"/>
    <n v="19.261000000000003"/>
    <n v="7.4087534395929593"/>
  </r>
  <r>
    <s v="A1040"/>
    <s v="Data Analytics Course"/>
    <n v="94"/>
    <n v="5549"/>
    <n v="231.23"/>
    <n v="25"/>
    <n v="9"/>
    <n v="9.6000000000000002E-2"/>
    <n v="1849"/>
    <d v="2024-11-12T00:00:00"/>
    <s v="Hyderabad"/>
    <x v="1"/>
    <s v="data anaytics training"/>
    <d v="2024-11-12T00:00:00"/>
    <n v="1.6939989187240944E-2"/>
    <n v="2.4598936170212764"/>
    <n v="9.2492000000000001"/>
    <n v="25.69222222222222"/>
    <n v="7.9963672533840766"/>
  </r>
  <r>
    <s v="A1041"/>
    <s v="Data Analytics Course"/>
    <n v="112"/>
    <n v="4271"/>
    <n v="196.07"/>
    <n v="27"/>
    <n v="6"/>
    <n v="4.5999999999999999E-2"/>
    <n v="1209"/>
    <d v="2024-11-14T00:00:00"/>
    <s v="Hyderabad"/>
    <x v="0"/>
    <s v="data analitics online"/>
    <d v="2024-11-14T00:00:00"/>
    <n v="2.6223366892999297E-2"/>
    <n v="1.7506249999999999"/>
    <n v="7.2618518518518513"/>
    <n v="32.678333333333335"/>
    <n v="6.1661651451012398"/>
  </r>
  <r>
    <s v="A1042"/>
    <s v="Data Analytics Course"/>
    <n v="113"/>
    <n v="4418"/>
    <n v="191.55"/>
    <n v="27"/>
    <n v="10"/>
    <n v="4.5999999999999999E-2"/>
    <n v="1634"/>
    <d v="2024-11-09T00:00:00"/>
    <s v="Hyderabad"/>
    <x v="1"/>
    <s v="data analytics course"/>
    <d v="2024-11-09T00:00:00"/>
    <n v="2.5577184246265278E-2"/>
    <n v="1.695132743362832"/>
    <n v="7.094444444444445"/>
    <n v="19.155000000000001"/>
    <n v="8.5304098146697989"/>
  </r>
  <r>
    <s v="A1043"/>
    <s v="Data Analytics Course"/>
    <n v="145"/>
    <n v="3721"/>
    <n v="180.95"/>
    <n v="21"/>
    <n v="7"/>
    <n v="4.8000000000000001E-2"/>
    <n v="1960"/>
    <s v="29-11-2024"/>
    <s v="Hyderabad"/>
    <x v="0"/>
    <s v="data analitics online"/>
    <d v="2024-11-29T00:00:00"/>
    <n v="3.8968019349637194E-2"/>
    <n v="1.2479310344827585"/>
    <n v="8.6166666666666654"/>
    <n v="25.849999999999998"/>
    <n v="10.831721470019342"/>
  </r>
  <r>
    <s v="A1044"/>
    <s v="Data Analytics Course"/>
    <n v="197"/>
    <n v="5783"/>
    <n v="204.46"/>
    <n v="23"/>
    <n v="6"/>
    <n v="4.5999999999999999E-2"/>
    <n v="1729"/>
    <d v="2024-01-11T00:00:00"/>
    <s v="Hyderabad"/>
    <x v="2"/>
    <s v="data anaytics training"/>
    <d v="2024-01-11T00:00:00"/>
    <n v="3.4065363997924952E-2"/>
    <n v="1.0378680203045685"/>
    <n v="8.8895652173913042"/>
    <n v="34.076666666666668"/>
    <n v="8.4564217939939343"/>
  </r>
  <r>
    <s v="A1045"/>
    <s v="Data Analytics Course"/>
    <n v="109"/>
    <n v="4866"/>
    <n v="236.78"/>
    <n v="27"/>
    <n v="5"/>
    <n v="4.5999999999999999E-2"/>
    <n v="1585"/>
    <s v="15-11-2024"/>
    <s v="Hyderabad"/>
    <x v="1"/>
    <s v="online data analytic"/>
    <d v="2024-11-15T00:00:00"/>
    <n v="2.240032881216605E-2"/>
    <n v="2.1722935779816512"/>
    <n v="8.7696296296296303"/>
    <n v="47.356000000000002"/>
    <n v="6.693977531886139"/>
  </r>
  <r>
    <s v="A1046"/>
    <s v="Data Analytics Course"/>
    <n v="188"/>
    <n v="5857"/>
    <n v="222.98"/>
    <n v="20"/>
    <n v="4"/>
    <n v="4.8000000000000001E-2"/>
    <n v="1303"/>
    <d v="2024-11-11T00:00:00"/>
    <s v="Hyderabad"/>
    <x v="0"/>
    <s v="data anaytics training"/>
    <d v="2024-11-11T00:00:00"/>
    <n v="3.2098343862045416E-2"/>
    <n v="1.1860638297872339"/>
    <n v="11.148999999999999"/>
    <n v="55.744999999999997"/>
    <n v="5.8435734146560234"/>
  </r>
  <r>
    <s v="A1047"/>
    <s v="Data Analytics Course"/>
    <n v="142"/>
    <n v="5103"/>
    <n v="234.1"/>
    <n v="24"/>
    <n v="3"/>
    <n v="2.1000000000000001E-2"/>
    <n v="1835"/>
    <d v="2024-11-08T00:00:00"/>
    <s v="Hyderabad"/>
    <x v="1"/>
    <s v="analytics for data"/>
    <d v="2024-11-08T00:00:00"/>
    <n v="2.7826768567509309E-2"/>
    <n v="1.6485915492957746"/>
    <n v="9.7541666666666664"/>
    <n v="78.033333333333331"/>
    <n v="7.8385305425032037"/>
  </r>
  <r>
    <s v="A1048"/>
    <s v="Data Analytics Course"/>
    <n v="168"/>
    <n v="4653"/>
    <n v="240.84"/>
    <n v="27"/>
    <n v="9"/>
    <n v="5.3999999999999999E-2"/>
    <n v="1367"/>
    <d v="2024-11-24T00:00:00"/>
    <s v="Hyderabad"/>
    <x v="1"/>
    <s v="online data analytic"/>
    <d v="2024-11-24T00:00:00"/>
    <n v="3.6105738233397806E-2"/>
    <n v="1.4335714285714285"/>
    <n v="8.92"/>
    <n v="26.76"/>
    <n v="5.6759674472678956"/>
  </r>
  <r>
    <s v="A1049"/>
    <s v="Data Analytics Course"/>
    <n v="110"/>
    <n v="3524"/>
    <n v="248.86"/>
    <n v="19"/>
    <n v="10"/>
    <n v="9.0999999999999998E-2"/>
    <n v="1524"/>
    <s v="21-11-2024"/>
    <s v="Hyderabad"/>
    <x v="1"/>
    <s v="learn data analytics"/>
    <d v="2024-11-21T00:00:00"/>
    <n v="3.1214528944381384E-2"/>
    <n v="2.2623636363636366"/>
    <n v="13.097894736842106"/>
    <n v="24.886000000000003"/>
    <n v="6.1239250984489271"/>
  </r>
  <r>
    <s v="A1050"/>
    <s v="Data Analytics Course"/>
    <n v="192"/>
    <n v="5938"/>
    <n v="182.84"/>
    <n v="26"/>
    <n v="5"/>
    <n v="3.9E-2"/>
    <n v="1080"/>
    <d v="2024-11-12T00:00:00"/>
    <s v="Hyderabad"/>
    <x v="1"/>
    <s v="analytics for data"/>
    <d v="2024-11-12T00:00:00"/>
    <n v="3.2334119232064668E-2"/>
    <n v="0.95229166666666665"/>
    <n v="7.0323076923076924"/>
    <n v="36.567999999999998"/>
    <n v="5.9068037628527676"/>
  </r>
  <r>
    <s v="A1051"/>
    <s v="Data Analytics Course"/>
    <n v="101"/>
    <n v="3942"/>
    <n v="206.62"/>
    <n v="16"/>
    <n v="5"/>
    <n v="0.05"/>
    <n v="1746"/>
    <d v="2024-11-24T00:00:00"/>
    <s v="Hyderabad"/>
    <x v="2"/>
    <s v="analytics for data"/>
    <d v="2024-11-24T00:00:00"/>
    <n v="2.5621511922881784E-2"/>
    <n v="2.0457425742574258"/>
    <n v="12.91375"/>
    <n v="41.323999999999998"/>
    <n v="8.4502952279546992"/>
  </r>
  <r>
    <s v="A1052"/>
    <s v="Data Analytics Course"/>
    <n v="157"/>
    <n v="3315"/>
    <n v="189.56"/>
    <n v="15"/>
    <n v="10"/>
    <n v="6.4000000000000001E-2"/>
    <n v="1026"/>
    <d v="2024-11-25T00:00:00"/>
    <s v="Hyderabad"/>
    <x v="1"/>
    <s v="online data analytic"/>
    <d v="2024-11-25T00:00:00"/>
    <n v="4.73604826546003E-2"/>
    <n v="1.2073885350318472"/>
    <n v="12.637333333333334"/>
    <n v="18.956"/>
    <n v="5.4125342899345856"/>
  </r>
  <r>
    <s v="A1053"/>
    <s v="Data Analytics Course"/>
    <n v="113"/>
    <n v="4945"/>
    <n v="187.66"/>
    <n v="15"/>
    <n v="10"/>
    <n v="4.5999999999999999E-2"/>
    <n v="1564"/>
    <d v="2024-11-26T00:00:00"/>
    <s v="Hyderabad"/>
    <x v="2"/>
    <s v="learn data analytics"/>
    <d v="2024-11-26T00:00:00"/>
    <n v="2.2851365015166835E-2"/>
    <n v="1.6607079646017699"/>
    <n v="12.510666666666667"/>
    <n v="18.765999999999998"/>
    <n v="8.3342214643504207"/>
  </r>
  <r>
    <s v="A1054"/>
    <s v="Data Analytics Course"/>
    <n v="96"/>
    <n v="3166"/>
    <n v="196.15"/>
    <n v="29"/>
    <n v="7"/>
    <n v="7.2999999999999995E-2"/>
    <n v="1902"/>
    <s v="26-11-2024"/>
    <s v="Hyderabad"/>
    <x v="0"/>
    <s v="learn data analytics"/>
    <d v="2024-11-26T00:00:00"/>
    <n v="3.0322173089071383E-2"/>
    <n v="2.0432291666666669"/>
    <n v="6.7637931034482763"/>
    <n v="28.021428571428572"/>
    <n v="9.6966607188376237"/>
  </r>
  <r>
    <s v="A1055"/>
    <s v="Data Analytics Course"/>
    <n v="125"/>
    <n v="4223"/>
    <n v="183.68"/>
    <n v="15"/>
    <n v="6"/>
    <n v="4.5999999999999999E-2"/>
    <n v="1267"/>
    <d v="2024-11-05T00:00:00"/>
    <s v="Hyderabad"/>
    <x v="0"/>
    <s v="data analitics online"/>
    <d v="2024-11-05T00:00:00"/>
    <n v="2.9599810561212407E-2"/>
    <n v="1.4694400000000001"/>
    <n v="12.245333333333333"/>
    <n v="30.613333333333333"/>
    <n v="6.8978658536585362"/>
  </r>
  <r>
    <s v="A1056"/>
    <s v="Data Analytics Course"/>
    <n v="104"/>
    <n v="4798"/>
    <n v="210.1"/>
    <n v="18"/>
    <n v="3"/>
    <n v="4.5999999999999999E-2"/>
    <n v="1340"/>
    <s v="21-11-2024"/>
    <s v="Hyderabad"/>
    <x v="0"/>
    <s v="analytics for data"/>
    <d v="2024-11-21T00:00:00"/>
    <n v="2.1675698207586493E-2"/>
    <n v="2.0201923076923078"/>
    <n v="11.672222222222222"/>
    <n v="70.033333333333331"/>
    <n v="6.3779152784388389"/>
  </r>
  <r>
    <s v="A1057"/>
    <s v="Data Analytics Course"/>
    <n v="194"/>
    <n v="5655"/>
    <n v="208.58"/>
    <n v="13"/>
    <n v="6"/>
    <n v="3.1E-2"/>
    <n v="1692"/>
    <d v="2024-11-16T00:00:00"/>
    <s v="Hyderabad"/>
    <x v="1"/>
    <s v="data anaytics training"/>
    <d v="2024-11-16T00:00:00"/>
    <n v="3.4305923961096378E-2"/>
    <n v="1.0751546391752578"/>
    <n v="16.044615384615387"/>
    <n v="34.763333333333335"/>
    <n v="8.1119953974494194"/>
  </r>
  <r>
    <s v="A1058"/>
    <s v="Data Analytics Course"/>
    <n v="144"/>
    <n v="5140"/>
    <n v="219.48"/>
    <n v="19"/>
    <n v="8"/>
    <n v="4.7E-2"/>
    <n v="1054"/>
    <s v="18-11-2024"/>
    <s v="Hyderabad"/>
    <x v="0"/>
    <s v="data analitics online"/>
    <d v="2024-11-18T00:00:00"/>
    <n v="2.8015564202334631E-2"/>
    <n v="1.5241666666666667"/>
    <n v="11.551578947368421"/>
    <n v="27.434999999999999"/>
    <n v="4.8022598870056497"/>
  </r>
  <r>
    <s v="A1059"/>
    <s v="Data Analytics Course"/>
    <n v="179"/>
    <n v="3025"/>
    <n v="238.81"/>
    <n v="17"/>
    <n v="3"/>
    <n v="1.7000000000000001E-2"/>
    <n v="1505"/>
    <d v="2024-11-11T00:00:00"/>
    <s v="Hyderabad"/>
    <x v="1"/>
    <s v="data analitics online"/>
    <d v="2024-11-11T00:00:00"/>
    <n v="5.9173553719008266E-2"/>
    <n v="1.3341340782122906"/>
    <n v="14.047647058823529"/>
    <n v="79.603333333333339"/>
    <n v="6.3020811523805538"/>
  </r>
  <r>
    <s v="A1060"/>
    <s v="Data Analytics Course"/>
    <n v="166"/>
    <n v="5223"/>
    <n v="189.76"/>
    <n v="18"/>
    <n v="7"/>
    <n v="4.2000000000000003E-2"/>
    <n v="1219"/>
    <s v="16-11-2024"/>
    <s v="Hyderabad"/>
    <x v="2"/>
    <s v="data analytics course"/>
    <d v="2024-11-16T00:00:00"/>
    <n v="3.1782500478652116E-2"/>
    <n v="1.1431325301204818"/>
    <n v="10.542222222222222"/>
    <n v="27.108571428571427"/>
    <n v="6.4239038785834746"/>
  </r>
  <r>
    <s v="A1061"/>
    <s v="Data Analytics Course"/>
    <n v="166"/>
    <n v="5089"/>
    <n v="215.57"/>
    <n v="26"/>
    <n v="7"/>
    <n v="4.2000000000000003E-2"/>
    <n v="1946"/>
    <d v="2024-11-11T00:00:00"/>
    <s v="Hyderabad"/>
    <x v="2"/>
    <s v="analytics for data"/>
    <d v="2024-11-11T00:00:00"/>
    <n v="3.2619375122813911E-2"/>
    <n v="1.2986144578313252"/>
    <n v="8.2911538461538452"/>
    <n v="30.795714285714286"/>
    <n v="9.0272301340631813"/>
  </r>
  <r>
    <s v="A1062"/>
    <s v="Data Analytics Course"/>
    <n v="118"/>
    <n v="5016"/>
    <n v="204.31"/>
    <n v="19"/>
    <n v="9"/>
    <n v="4.4999999999999998E-2"/>
    <n v="1833"/>
    <d v="2024-11-08T00:00:00"/>
    <s v="Hyderabad"/>
    <x v="0"/>
    <s v="analytics for data"/>
    <d v="2024-11-08T00:00:00"/>
    <n v="2.3524720893141945E-2"/>
    <n v="1.7314406779661018"/>
    <n v="10.753157894736843"/>
    <n v="22.701111111111111"/>
    <n v="8.9716607116636489"/>
  </r>
  <r>
    <s v="A1063"/>
    <s v="Data Analytics Course"/>
    <n v="185"/>
    <n v="3617"/>
    <n v="222.32"/>
    <n v="24"/>
    <n v="7"/>
    <n v="3.7999999999999999E-2"/>
    <n v="1963"/>
    <s v="23-11-2024"/>
    <s v="Hyderabad"/>
    <x v="1"/>
    <s v="data analytics course"/>
    <d v="2024-11-23T00:00:00"/>
    <n v="5.114735969035112E-2"/>
    <n v="1.2017297297297298"/>
    <n v="9.2633333333333336"/>
    <n v="31.759999999999998"/>
    <n v="8.8296149694134591"/>
  </r>
  <r>
    <s v="A1064"/>
    <s v="Data Analytics Course"/>
    <n v="116"/>
    <n v="3764"/>
    <n v="232.03"/>
    <n v="28"/>
    <n v="10"/>
    <n v="8.5999999999999993E-2"/>
    <n v="1348"/>
    <d v="2024-11-20T00:00:00"/>
    <s v="Hyderabad"/>
    <x v="2"/>
    <s v="data analytics course"/>
    <d v="2024-11-20T00:00:00"/>
    <n v="3.0818278427205102E-2"/>
    <n v="2.0002586206896553"/>
    <n v="8.2867857142857151"/>
    <n v="23.202999999999999"/>
    <n v="5.8095935870361588"/>
  </r>
  <r>
    <s v="A1065"/>
    <s v="Data Analytics Course"/>
    <n v="99"/>
    <n v="4489"/>
    <n v="183.73"/>
    <n v="15"/>
    <n v="6"/>
    <n v="6.0999999999999999E-2"/>
    <n v="1264"/>
    <d v="2024-11-05T00:00:00"/>
    <s v="Hyderabad"/>
    <x v="0"/>
    <s v="online data analytic"/>
    <d v="2024-11-05T00:00:00"/>
    <n v="2.2053909556694142E-2"/>
    <n v="1.8558585858585857"/>
    <n v="12.248666666666667"/>
    <n v="30.621666666666666"/>
    <n v="6.8796603711968656"/>
  </r>
  <r>
    <s v="A1066"/>
    <s v="Data Analytics Course"/>
    <n v="172"/>
    <n v="4441"/>
    <n v="221.18"/>
    <n v="14"/>
    <n v="8"/>
    <n v="4.7E-2"/>
    <n v="1771"/>
    <s v="27-11-2024"/>
    <s v="Hyderabad"/>
    <x v="1"/>
    <s v="analytics for data"/>
    <d v="2024-11-27T00:00:00"/>
    <n v="3.8730015762215714E-2"/>
    <n v="1.2859302325581397"/>
    <n v="15.79857142857143"/>
    <n v="27.647500000000001"/>
    <n v="8.0070530789402294"/>
  </r>
  <r>
    <s v="A1067"/>
    <s v="Data Analytics Course"/>
    <n v="138"/>
    <n v="5751"/>
    <n v="199.11"/>
    <n v="26"/>
    <n v="9"/>
    <n v="5.1999999999999998E-2"/>
    <n v="1337"/>
    <d v="2024-11-10T00:00:00"/>
    <s v="Hyderabad"/>
    <x v="0"/>
    <s v="data analitics online"/>
    <d v="2024-11-10T00:00:00"/>
    <n v="2.3995826812728223E-2"/>
    <n v="1.4428260869565219"/>
    <n v="7.6580769230769237"/>
    <n v="22.123333333333335"/>
    <n v="6.7148812214353866"/>
  </r>
  <r>
    <s v="A1068"/>
    <s v="Data Analytics Course"/>
    <n v="84"/>
    <n v="4036"/>
    <n v="234.22"/>
    <n v="23"/>
    <n v="10"/>
    <n v="0.11899999999999999"/>
    <n v="1287"/>
    <d v="2024-04-11T00:00:00"/>
    <s v="Hyderabad"/>
    <x v="0"/>
    <s v="learn data analytics"/>
    <d v="2024-04-11T00:00:00"/>
    <n v="2.0812685827552031E-2"/>
    <n v="2.7883333333333331"/>
    <n v="10.183478260869565"/>
    <n v="23.422000000000001"/>
    <n v="5.4948339168303306"/>
  </r>
  <r>
    <s v="A1069"/>
    <s v="Data Analytics Course"/>
    <n v="124"/>
    <n v="4942"/>
    <n v="240.59"/>
    <n v="18"/>
    <n v="3"/>
    <n v="2.4E-2"/>
    <n v="1922"/>
    <d v="2024-11-16T00:00:00"/>
    <s v="Hyderabad"/>
    <x v="0"/>
    <s v="learn data analytics"/>
    <d v="2024-11-16T00:00:00"/>
    <n v="2.5091056252529342E-2"/>
    <n v="1.9402419354838709"/>
    <n v="13.366111111111111"/>
    <n v="80.196666666666673"/>
    <n v="7.9886944594538427"/>
  </r>
  <r>
    <s v="A1070"/>
    <s v="Data Analytics Course"/>
    <n v="122"/>
    <n v="4989"/>
    <n v="215.48"/>
    <n v="12"/>
    <n v="5"/>
    <n v="4.1000000000000002E-2"/>
    <n v="1975"/>
    <d v="2024-11-06T00:00:00"/>
    <s v="Hyderabad"/>
    <x v="1"/>
    <s v="data analitics online"/>
    <d v="2024-11-06T00:00:00"/>
    <n v="2.4453798356384046E-2"/>
    <n v="1.7662295081967212"/>
    <n v="17.956666666666667"/>
    <n v="43.095999999999997"/>
    <n v="9.1655838128828666"/>
  </r>
  <r>
    <s v="A1071"/>
    <s v="Data Analytics Course"/>
    <n v="180"/>
    <n v="3006"/>
    <n v="228.14"/>
    <n v="22"/>
    <n v="7"/>
    <n v="3.9E-2"/>
    <n v="1556"/>
    <d v="2024-11-04T00:00:00"/>
    <s v="Hyderabad"/>
    <x v="2"/>
    <s v="learn data analytics"/>
    <d v="2024-11-04T00:00:00"/>
    <n v="5.9880239520958084E-2"/>
    <n v="1.2674444444444444"/>
    <n v="10.37"/>
    <n v="32.591428571428573"/>
    <n v="6.8203734548961172"/>
  </r>
  <r>
    <s v="A1072"/>
    <s v="Data Analytics Course"/>
    <n v="133"/>
    <n v="3728"/>
    <n v="199.13"/>
    <n v="11"/>
    <n v="10"/>
    <n v="4.5999999999999999E-2"/>
    <n v="1505"/>
    <d v="2024-11-09T00:00:00"/>
    <s v="Hyderabad"/>
    <x v="0"/>
    <s v="data analitics online"/>
    <d v="2024-11-09T00:00:00"/>
    <n v="3.5675965665236051E-2"/>
    <n v="1.4972180451127819"/>
    <n v="18.102727272727272"/>
    <n v="19.913"/>
    <n v="7.5578767639230655"/>
  </r>
  <r>
    <s v="A1073"/>
    <s v="Data Analytics Course"/>
    <n v="164"/>
    <n v="3734"/>
    <n v="225.39"/>
    <n v="27"/>
    <n v="8"/>
    <n v="0.04"/>
    <n v="1728"/>
    <d v="2024-12-11T00:00:00"/>
    <s v="Hyderabad"/>
    <x v="2"/>
    <s v="learn data analytics"/>
    <d v="2024-12-11T00:00:00"/>
    <n v="4.3920728441349761E-2"/>
    <n v="1.3743292682926829"/>
    <n v="8.3477777777777771"/>
    <n v="28.173749999999998"/>
    <n v="7.6667110342073741"/>
  </r>
  <r>
    <s v="A1074"/>
    <s v="Data Analytics Course"/>
    <n v="150"/>
    <n v="4621"/>
    <n v="246.3"/>
    <n v="15"/>
    <n v="6"/>
    <n v="4.9000000000000002E-2"/>
    <n v="1554"/>
    <d v="2024-11-09T00:00:00"/>
    <s v="Hyderabad"/>
    <x v="0"/>
    <s v="data analitics online"/>
    <d v="2024-11-09T00:00:00"/>
    <n v="3.2460506383899586E-2"/>
    <n v="1.6420000000000001"/>
    <n v="16.420000000000002"/>
    <n v="41.050000000000004"/>
    <n v="6.309378806333739"/>
  </r>
  <r>
    <s v="A1075"/>
    <s v="Data Analytics Course"/>
    <n v="97"/>
    <n v="3212"/>
    <n v="212.55"/>
    <n v="27"/>
    <n v="10"/>
    <n v="0.10299999999999999"/>
    <n v="1994"/>
    <s v="23-11-2024"/>
    <s v="Hyderabad"/>
    <x v="0"/>
    <s v="analytics for data"/>
    <d v="2024-11-23T00:00:00"/>
    <n v="3.0199252801992527E-2"/>
    <n v="2.1912371134020621"/>
    <n v="7.8722222222222227"/>
    <n v="21.255000000000003"/>
    <n v="9.381322041872501"/>
  </r>
  <r>
    <s v="A1076"/>
    <s v="Data Analytics Course"/>
    <n v="128"/>
    <n v="4225"/>
    <n v="228.24"/>
    <n v="30"/>
    <n v="4"/>
    <n v="3.1E-2"/>
    <n v="1618"/>
    <d v="2024-11-08T00:00:00"/>
    <s v="Hyderabad"/>
    <x v="1"/>
    <s v="learn data analytics"/>
    <d v="2024-11-08T00:00:00"/>
    <n v="3.029585798816568E-2"/>
    <n v="1.7831250000000001"/>
    <n v="7.6080000000000005"/>
    <n v="57.06"/>
    <n v="7.0890290921836661"/>
  </r>
  <r>
    <s v="A1077"/>
    <s v="Data Analytics Course"/>
    <n v="99"/>
    <n v="4779"/>
    <n v="233.78"/>
    <n v="26"/>
    <n v="10"/>
    <n v="0.10100000000000001"/>
    <n v="1086"/>
    <d v="2024-11-05T00:00:00"/>
    <s v="Hyderabad"/>
    <x v="0"/>
    <s v="online data analytic"/>
    <d v="2024-11-05T00:00:00"/>
    <n v="2.0715630885122412E-2"/>
    <n v="2.3614141414141416"/>
    <n v="8.991538461538461"/>
    <n v="23.378"/>
    <n v="4.6453931046282833"/>
  </r>
  <r>
    <s v="A1078"/>
    <s v="Data Analytics Course"/>
    <n v="86"/>
    <n v="5352"/>
    <n v="234.05"/>
    <n v="11"/>
    <n v="5"/>
    <n v="5.8000000000000003E-2"/>
    <n v="1364"/>
    <d v="2024-11-09T00:00:00"/>
    <s v="Hyderabad"/>
    <x v="2"/>
    <s v="online data analytic"/>
    <d v="2024-11-09T00:00:00"/>
    <n v="1.6068759342301942E-2"/>
    <n v="2.7215116279069771"/>
    <n v="21.277272727272727"/>
    <n v="46.81"/>
    <n v="5.8278145695364234"/>
  </r>
  <r>
    <s v="A1079"/>
    <s v="Data Analytics Course"/>
    <n v="118"/>
    <n v="5405"/>
    <n v="187.28"/>
    <n v="25"/>
    <n v="7"/>
    <n v="5.8000000000000003E-2"/>
    <n v="1836"/>
    <d v="2024-11-05T00:00:00"/>
    <s v="Hyderabad"/>
    <x v="2"/>
    <s v="analytics for data"/>
    <d v="2024-11-05T00:00:00"/>
    <n v="2.183163737280296E-2"/>
    <n v="1.5871186440677967"/>
    <n v="7.4912000000000001"/>
    <n v="26.754285714285714"/>
    <n v="9.8035027765912002"/>
  </r>
  <r>
    <s v="A1080"/>
    <s v="Data Analytics Course"/>
    <n v="127"/>
    <n v="5430"/>
    <n v="199.13"/>
    <n v="14"/>
    <n v="6"/>
    <n v="4.7E-2"/>
    <n v="1932"/>
    <d v="2024-11-25T00:00:00"/>
    <s v="Hyderabad"/>
    <x v="1"/>
    <s v="analytics for data"/>
    <d v="2024-11-25T00:00:00"/>
    <n v="2.3388581952117862E-2"/>
    <n v="1.5679527559055118"/>
    <n v="14.223571428571429"/>
    <n v="33.188333333333333"/>
    <n v="9.7022045899663532"/>
  </r>
  <r>
    <s v="A1081"/>
    <s v="Data Analytics Course"/>
    <n v="83"/>
    <n v="4808"/>
    <n v="241.35"/>
    <n v="20"/>
    <n v="7"/>
    <n v="8.4000000000000005E-2"/>
    <n v="1038"/>
    <s v="30-11-2024"/>
    <s v="Hyderabad"/>
    <x v="1"/>
    <s v="learn data analytics"/>
    <d v="2024-11-30T00:00:00"/>
    <n v="1.7262895174708817E-2"/>
    <n v="2.9078313253012049"/>
    <n v="12.067499999999999"/>
    <n v="34.478571428571428"/>
    <n v="4.3008079552517096"/>
  </r>
  <r>
    <s v="A1082"/>
    <s v="Data Analytics Course"/>
    <n v="149"/>
    <n v="3587"/>
    <n v="217.53"/>
    <n v="23"/>
    <n v="8"/>
    <n v="4.5999999999999999E-2"/>
    <n v="1505"/>
    <s v="17-11-2024"/>
    <s v="Hyderabad"/>
    <x v="1"/>
    <s v="data analitics online"/>
    <d v="2024-11-17T00:00:00"/>
    <n v="4.1538890437691663E-2"/>
    <n v="1.4599328859060403"/>
    <n v="9.4578260869565209"/>
    <n v="27.19125"/>
    <n v="6.918585942168896"/>
  </r>
  <r>
    <s v="A1083"/>
    <s v="Data Analytics Course"/>
    <n v="168"/>
    <n v="4683"/>
    <n v="215.28"/>
    <n v="30"/>
    <n v="8"/>
    <n v="4.8000000000000001E-2"/>
    <n v="1327"/>
    <d v="2024-11-28T00:00:00"/>
    <s v="Hyderabad"/>
    <x v="1"/>
    <s v="data analitics online"/>
    <d v="2024-11-28T00:00:00"/>
    <n v="3.5874439461883408E-2"/>
    <n v="1.2814285714285714"/>
    <n v="7.1760000000000002"/>
    <n v="26.91"/>
    <n v="6.1640654031958375"/>
  </r>
  <r>
    <s v="A1084"/>
    <s v="Data Analytics Course"/>
    <n v="112"/>
    <n v="5814"/>
    <n v="227.38"/>
    <n v="11"/>
    <n v="8"/>
    <n v="7.0999999999999994E-2"/>
    <n v="1467"/>
    <d v="2024-11-03T00:00:00"/>
    <s v="Hyderabad"/>
    <x v="2"/>
    <s v="analytics for data"/>
    <d v="2024-11-03T00:00:00"/>
    <n v="1.9263845889232887E-2"/>
    <n v="2.0301785714285714"/>
    <n v="20.670909090909092"/>
    <n v="28.422499999999999"/>
    <n v="6.4517547717477353"/>
  </r>
  <r>
    <s v="A1085"/>
    <s v="Data Analytics Course"/>
    <n v="123"/>
    <n v="3292"/>
    <n v="233.2"/>
    <n v="28"/>
    <n v="6"/>
    <n v="4.9000000000000002E-2"/>
    <n v="1174"/>
    <d v="2024-11-19T00:00:00"/>
    <s v="Hyderabad"/>
    <x v="0"/>
    <s v="data anaytics training"/>
    <d v="2024-11-19T00:00:00"/>
    <n v="3.7363304981773995E-2"/>
    <n v="1.8959349593495933"/>
    <n v="8.3285714285714274"/>
    <n v="38.866666666666667"/>
    <n v="5.0343053173241854"/>
  </r>
  <r>
    <s v="A1086"/>
    <s v="Data Analytics Course"/>
    <n v="174"/>
    <n v="4305"/>
    <n v="206.02"/>
    <n v="20"/>
    <n v="3"/>
    <n v="3.4000000000000002E-2"/>
    <n v="1057"/>
    <d v="2024-11-23T00:00:00"/>
    <s v="Hyderabad"/>
    <x v="0"/>
    <s v="learn data analytics"/>
    <d v="2024-11-23T00:00:00"/>
    <n v="4.0418118466898953E-2"/>
    <n v="1.1840229885057472"/>
    <n v="10.301"/>
    <n v="68.673333333333332"/>
    <n v="5.1305698475876129"/>
  </r>
  <r>
    <s v="A1087"/>
    <s v="Data Analytics Course"/>
    <n v="143"/>
    <n v="4368"/>
    <n v="215.57"/>
    <n v="27"/>
    <n v="7"/>
    <n v="4.9000000000000002E-2"/>
    <n v="1199"/>
    <d v="2024-03-11T00:00:00"/>
    <s v="Hyderabad"/>
    <x v="2"/>
    <s v="analytics for data"/>
    <d v="2024-03-11T00:00:00"/>
    <n v="3.273809523809524E-2"/>
    <n v="1.5074825174825175"/>
    <n v="7.9840740740740737"/>
    <n v="30.795714285714286"/>
    <n v="5.5619984227861021"/>
  </r>
  <r>
    <s v="A1088"/>
    <s v="Data Analytics Course"/>
    <n v="195"/>
    <n v="5935"/>
    <n v="209.68"/>
    <n v="23"/>
    <n v="9"/>
    <n v="4.5999999999999999E-2"/>
    <n v="1966"/>
    <d v="2024-11-07T00:00:00"/>
    <s v="Hyderabad"/>
    <x v="2"/>
    <s v="online data analytic"/>
    <d v="2024-11-07T00:00:00"/>
    <n v="3.285593934288121E-2"/>
    <n v="1.0752820512820513"/>
    <n v="9.1165217391304356"/>
    <n v="23.297777777777778"/>
    <n v="9.3761922930179313"/>
  </r>
  <r>
    <s v="A1089"/>
    <s v="Data Analytics Course"/>
    <n v="176"/>
    <n v="5847"/>
    <n v="241.04"/>
    <n v="13"/>
    <n v="6"/>
    <n v="3.4000000000000002E-2"/>
    <n v="1194"/>
    <d v="2024-11-02T00:00:00"/>
    <s v="Hyderabad"/>
    <x v="0"/>
    <s v="online data analytic"/>
    <d v="2024-11-02T00:00:00"/>
    <n v="3.0100906447750982E-2"/>
    <n v="1.3695454545454544"/>
    <n v="18.541538461538462"/>
    <n v="40.173333333333332"/>
    <n v="4.9535346830401599"/>
  </r>
  <r>
    <s v="A1090"/>
    <s v="Data Analytics Course"/>
    <n v="141"/>
    <n v="4851"/>
    <n v="227.39"/>
    <n v="28"/>
    <n v="5"/>
    <n v="4.5999999999999999E-2"/>
    <n v="1821"/>
    <d v="2024-11-15T00:00:00"/>
    <s v="Hyderabad"/>
    <x v="0"/>
    <s v="analytics for data"/>
    <d v="2024-11-15T00:00:00"/>
    <n v="2.9066171923314781E-2"/>
    <n v="1.6126950354609928"/>
    <n v="8.1210714285714278"/>
    <n v="45.477999999999994"/>
    <n v="8.0082677338493351"/>
  </r>
  <r>
    <s v="A1091"/>
    <s v="Data Analytics Course"/>
    <n v="108"/>
    <n v="4710"/>
    <n v="204.16"/>
    <n v="19"/>
    <n v="10"/>
    <n v="9.2999999999999999E-2"/>
    <n v="1731"/>
    <d v="2024-11-20T00:00:00"/>
    <s v="Hyderabad"/>
    <x v="2"/>
    <s v="data analitics online"/>
    <d v="2024-11-20T00:00:00"/>
    <n v="2.2929936305732482E-2"/>
    <n v="1.8903703703703703"/>
    <n v="10.745263157894737"/>
    <n v="20.416"/>
    <n v="8.4786442006269596"/>
  </r>
  <r>
    <s v="A1092"/>
    <s v="Data Analytics Course"/>
    <n v="112"/>
    <n v="3345"/>
    <n v="215.57"/>
    <n v="11"/>
    <n v="6"/>
    <n v="4.7E-2"/>
    <n v="1859"/>
    <d v="2024-11-23T00:00:00"/>
    <s v="Hyderabad"/>
    <x v="2"/>
    <s v="analytics for data"/>
    <d v="2024-11-23T00:00:00"/>
    <n v="3.3482810164424517E-2"/>
    <n v="1.9247321428571429"/>
    <n v="19.597272727272728"/>
    <n v="35.928333333333335"/>
    <n v="8.623648930741755"/>
  </r>
  <r>
    <s v="A1093"/>
    <s v="Data Analytics Course"/>
    <n v="139"/>
    <n v="5903"/>
    <n v="184.41"/>
    <n v="23"/>
    <n v="9"/>
    <n v="4.5999999999999999E-2"/>
    <n v="1188"/>
    <s v="20-11-2024"/>
    <s v="Hyderabad"/>
    <x v="2"/>
    <s v="online data analytic"/>
    <d v="2024-11-20T00:00:00"/>
    <n v="2.3547348805692023E-2"/>
    <n v="1.3266906474820144"/>
    <n v="8.0178260869565214"/>
    <n v="20.49"/>
    <n v="6.4421669106881403"/>
  </r>
  <r>
    <s v="A1094"/>
    <s v="Data Analytics Course"/>
    <n v="145"/>
    <n v="5004"/>
    <n v="216.45"/>
    <n v="22"/>
    <n v="5"/>
    <n v="3.4000000000000002E-2"/>
    <n v="1496"/>
    <d v="2024-11-01T00:00:00"/>
    <s v="Hyderabad"/>
    <x v="2"/>
    <s v="data analitics online"/>
    <d v="2024-11-01T00:00:00"/>
    <n v="2.897681854516387E-2"/>
    <n v="1.492758620689655"/>
    <n v="9.838636363636363"/>
    <n v="43.29"/>
    <n v="6.911526911526912"/>
  </r>
  <r>
    <s v="A1095"/>
    <s v="Data Analytics Course"/>
    <n v="183"/>
    <n v="3947"/>
    <n v="197.3"/>
    <n v="15"/>
    <n v="8"/>
    <n v="4.3999999999999997E-2"/>
    <n v="1645"/>
    <d v="2024-11-14T00:00:00"/>
    <s v="Hyderabad"/>
    <x v="0"/>
    <s v="data anaytics training"/>
    <d v="2024-11-14T00:00:00"/>
    <n v="4.6364327337218139E-2"/>
    <n v="1.0781420765027323"/>
    <n v="13.153333333333334"/>
    <n v="24.662500000000001"/>
    <n v="8.3375570197668516"/>
  </r>
  <r>
    <s v="A1096"/>
    <s v="Data Analytics Course"/>
    <n v="113"/>
    <n v="3690"/>
    <n v="229.42"/>
    <n v="20"/>
    <n v="5"/>
    <n v="4.3999999999999997E-2"/>
    <n v="1915"/>
    <d v="2024-11-28T00:00:00"/>
    <s v="Hyderabad"/>
    <x v="2"/>
    <s v="learn data analytics"/>
    <d v="2024-11-28T00:00:00"/>
    <n v="3.0623306233062329E-2"/>
    <n v="2.0302654867256638"/>
    <n v="11.471"/>
    <n v="45.884"/>
    <n v="8.3471362566471985"/>
  </r>
  <r>
    <s v="A1097"/>
    <s v="Data Analytics Course"/>
    <n v="101"/>
    <n v="5943"/>
    <n v="187.32"/>
    <n v="27"/>
    <n v="6"/>
    <n v="5.8999999999999997E-2"/>
    <n v="1614"/>
    <d v="2024-11-15T00:00:00"/>
    <s v="Hyderabad"/>
    <x v="2"/>
    <s v="data analitics online"/>
    <d v="2024-11-15T00:00:00"/>
    <n v="1.6994783779236074E-2"/>
    <n v="1.8546534653465345"/>
    <n v="6.9377777777777778"/>
    <n v="31.22"/>
    <n v="8.616271620755926"/>
  </r>
  <r>
    <s v="A1098"/>
    <s v="Data Analytics Course"/>
    <n v="189"/>
    <n v="5357"/>
    <n v="222.5"/>
    <n v="24"/>
    <n v="3"/>
    <n v="0.05"/>
    <n v="1839"/>
    <d v="2024-11-25T00:00:00"/>
    <s v="Hyderabad"/>
    <x v="2"/>
    <s v="data analytics course"/>
    <d v="2024-11-25T00:00:00"/>
    <n v="3.5280940825088668E-2"/>
    <n v="1.1772486772486772"/>
    <n v="9.2708333333333339"/>
    <n v="74.166666666666671"/>
    <n v="8.2651685393258418"/>
  </r>
  <r>
    <s v="A1099"/>
    <s v="Data Analytics Course"/>
    <n v="154"/>
    <n v="3596"/>
    <n v="236.14"/>
    <n v="30"/>
    <n v="9"/>
    <n v="5.8000000000000003E-2"/>
    <n v="1036"/>
    <d v="2024-11-06T00:00:00"/>
    <s v="Hyderabad"/>
    <x v="2"/>
    <s v="online data analytic"/>
    <d v="2024-11-06T00:00:00"/>
    <n v="4.2825361512791989E-2"/>
    <n v="1.5333766233766233"/>
    <n v="7.8713333333333333"/>
    <n v="26.237777777777776"/>
    <n v="4.3872279156432628"/>
  </r>
  <r>
    <s v="A1100"/>
    <s v="Data Analytics Course"/>
    <n v="179"/>
    <n v="5162"/>
    <n v="246.76"/>
    <n v="16"/>
    <n v="5"/>
    <n v="0.05"/>
    <n v="1052"/>
    <d v="2024-11-29T00:00:00"/>
    <s v="Hyderabad"/>
    <x v="0"/>
    <s v="online data analytic"/>
    <d v="2024-11-29T00:00:00"/>
    <n v="3.4676481983727241E-2"/>
    <n v="1.3785474860335194"/>
    <n v="15.422499999999999"/>
    <n v="49.351999999999997"/>
    <n v="4.2632517425838872"/>
  </r>
  <r>
    <s v="A1101"/>
    <s v="Data Analytics Course"/>
    <n v="148"/>
    <n v="3747"/>
    <n v="244.41"/>
    <n v="18"/>
    <n v="8"/>
    <n v="5.3999999999999999E-2"/>
    <n v="1092"/>
    <d v="2024-11-17T00:00:00"/>
    <s v="Hyderabad"/>
    <x v="2"/>
    <s v="learn data analytics"/>
    <d v="2024-11-17T00:00:00"/>
    <n v="3.9498265278889777E-2"/>
    <n v="1.6514189189189188"/>
    <n v="13.578333333333333"/>
    <n v="30.55125"/>
    <n v="4.467902295323432"/>
  </r>
  <r>
    <s v="A1102"/>
    <s v="Data Analytics Course"/>
    <n v="177"/>
    <n v="4822"/>
    <n v="197.03"/>
    <n v="26"/>
    <n v="9"/>
    <n v="5.0999999999999997E-2"/>
    <n v="1909"/>
    <d v="2024-11-04T00:00:00"/>
    <s v="Hyderabad"/>
    <x v="1"/>
    <s v="online data analytic"/>
    <d v="2024-11-04T00:00:00"/>
    <n v="3.670676068021568E-2"/>
    <n v="1.1131638418079095"/>
    <n v="7.5780769230769227"/>
    <n v="21.892222222222223"/>
    <n v="9.688879866010252"/>
  </r>
  <r>
    <s v="A1103"/>
    <s v="Data Analytics Course"/>
    <n v="119"/>
    <n v="5800"/>
    <n v="221.36"/>
    <n v="11"/>
    <n v="8"/>
    <n v="4.5999999999999999E-2"/>
    <n v="1505"/>
    <s v="29-11-2024"/>
    <s v="Hyderabad"/>
    <x v="0"/>
    <s v="analytics for data"/>
    <d v="2024-11-29T00:00:00"/>
    <n v="2.0517241379310346E-2"/>
    <n v="1.8601680672268908"/>
    <n v="20.123636363636365"/>
    <n v="27.67"/>
    <n v="6.7988796530538487"/>
  </r>
  <r>
    <s v="A1104"/>
    <s v="Data Analytics Course"/>
    <n v="89"/>
    <n v="3594"/>
    <n v="215.57"/>
    <n v="14"/>
    <n v="6"/>
    <n v="6.7000000000000004E-2"/>
    <n v="1026"/>
    <d v="2024-11-15T00:00:00"/>
    <s v="Hyderabad"/>
    <x v="2"/>
    <s v="data analytics course"/>
    <d v="2024-11-15T00:00:00"/>
    <n v="2.476349471341124E-2"/>
    <n v="2.4221348314606739"/>
    <n v="15.397857142857143"/>
    <n v="35.928333333333335"/>
    <n v="4.7594748805492415"/>
  </r>
  <r>
    <s v="A1105"/>
    <s v="Data Analytics Course"/>
    <n v="146"/>
    <n v="4765"/>
    <n v="230.22"/>
    <n v="23"/>
    <n v="5"/>
    <n v="3.4000000000000002E-2"/>
    <n v="1944"/>
    <d v="2024-11-28T00:00:00"/>
    <s v="Hyderabad"/>
    <x v="2"/>
    <s v="analytics for data"/>
    <d v="2024-11-28T00:00:00"/>
    <n v="3.0640083945435468E-2"/>
    <n v="1.5768493150684932"/>
    <n v="10.009565217391303"/>
    <n v="46.043999999999997"/>
    <n v="8.4440969507427681"/>
  </r>
  <r>
    <s v="A1106"/>
    <s v="Data Analytics Course"/>
    <n v="109"/>
    <n v="4128"/>
    <n v="183.65"/>
    <n v="12"/>
    <n v="5"/>
    <n v="4.5999999999999999E-2"/>
    <n v="1505"/>
    <d v="2024-11-30T00:00:00"/>
    <s v="Hyderabad"/>
    <x v="0"/>
    <s v="data analitics online"/>
    <d v="2024-11-30T00:00:00"/>
    <n v="2.6405038759689921E-2"/>
    <n v="1.6848623853211009"/>
    <n v="15.304166666666667"/>
    <n v="36.730000000000004"/>
    <n v="8.1949360196025047"/>
  </r>
  <r>
    <s v="A1107"/>
    <s v="Data Analytics Course"/>
    <n v="159"/>
    <n v="5127"/>
    <n v="197.16"/>
    <n v="21"/>
    <n v="4"/>
    <n v="2.5000000000000001E-2"/>
    <n v="1867"/>
    <d v="2024-11-03T00:00:00"/>
    <s v="Hyderabad"/>
    <x v="2"/>
    <s v="learn data analytics"/>
    <d v="2024-11-03T00:00:00"/>
    <n v="3.1012287887653599E-2"/>
    <n v="1.24"/>
    <n v="9.3885714285714279"/>
    <n v="49.29"/>
    <n v="9.4694664232095764"/>
  </r>
  <r>
    <s v="A1108"/>
    <s v="Data Analytics Course"/>
    <n v="144"/>
    <n v="5674"/>
    <n v="235.36"/>
    <n v="12"/>
    <n v="3"/>
    <n v="2.1000000000000001E-2"/>
    <n v="1505"/>
    <d v="2024-11-22T00:00:00"/>
    <s v="Hyderabad"/>
    <x v="0"/>
    <s v="analytics for data"/>
    <d v="2024-11-22T00:00:00"/>
    <n v="2.5378921395840678E-2"/>
    <n v="1.6344444444444446"/>
    <n v="19.613333333333333"/>
    <n v="78.453333333333333"/>
    <n v="6.3944595513256282"/>
  </r>
  <r>
    <s v="A1109"/>
    <s v="Data Analytics Course"/>
    <n v="122"/>
    <n v="3793"/>
    <n v="237.22"/>
    <n v="19"/>
    <n v="8"/>
    <n v="6.6000000000000003E-2"/>
    <n v="1842"/>
    <d v="2024-11-20T00:00:00"/>
    <s v="Hyderabad"/>
    <x v="2"/>
    <s v="online data analytic"/>
    <d v="2024-11-20T00:00:00"/>
    <n v="3.2164513577643029E-2"/>
    <n v="1.9444262295081967"/>
    <n v="12.485263157894737"/>
    <n v="29.6525"/>
    <n v="7.7649439339010202"/>
  </r>
  <r>
    <s v="A1110"/>
    <s v="Data Analytics Course"/>
    <n v="112"/>
    <n v="4315"/>
    <n v="235.33"/>
    <n v="28"/>
    <n v="9"/>
    <n v="0.08"/>
    <n v="1116"/>
    <d v="2024-11-08T00:00:00"/>
    <s v="Hyderabad"/>
    <x v="1"/>
    <s v="data analytics course"/>
    <d v="2024-11-08T00:00:00"/>
    <n v="2.5955967555040555E-2"/>
    <n v="2.1011607142857143"/>
    <n v="8.4046428571428571"/>
    <n v="26.14777777777778"/>
    <n v="4.7422768027875746"/>
  </r>
  <r>
    <s v="A1111"/>
    <s v="Data Analytics Course"/>
    <n v="174"/>
    <n v="4704"/>
    <n v="192.32"/>
    <n v="21"/>
    <n v="10"/>
    <n v="4.9000000000000002E-2"/>
    <n v="1501"/>
    <d v="2024-11-24T00:00:00"/>
    <s v="Hyderabad"/>
    <x v="1"/>
    <s v="learn data analytics"/>
    <d v="2024-11-24T00:00:00"/>
    <n v="3.6989795918367346E-2"/>
    <n v="1.1052873563218391"/>
    <n v="9.1580952380952372"/>
    <n v="19.231999999999999"/>
    <n v="7.8047004991680531"/>
  </r>
  <r>
    <s v="A1112"/>
    <s v="Data Analytics Course"/>
    <n v="168"/>
    <n v="3349"/>
    <n v="235.6"/>
    <n v="23"/>
    <n v="9"/>
    <n v="5.3999999999999999E-2"/>
    <n v="1894"/>
    <d v="2024-11-09T00:00:00"/>
    <s v="Hyderabad"/>
    <x v="1"/>
    <s v="online data analytic"/>
    <d v="2024-11-09T00:00:00"/>
    <n v="5.0164228127799346E-2"/>
    <n v="1.4023809523809523"/>
    <n v="10.243478260869566"/>
    <n v="26.177777777777777"/>
    <n v="8.0390492359932093"/>
  </r>
  <r>
    <s v="A1113"/>
    <s v="Data Analytics Course"/>
    <n v="173"/>
    <n v="3501"/>
    <n v="223.9"/>
    <n v="28"/>
    <n v="10"/>
    <n v="4.3999999999999997E-2"/>
    <n v="1179"/>
    <d v="2024-11-25T00:00:00"/>
    <s v="Hyderabad"/>
    <x v="1"/>
    <s v="data analytics course"/>
    <d v="2024-11-25T00:00:00"/>
    <n v="4.9414453013424738E-2"/>
    <n v="1.2942196531791907"/>
    <n v="7.9964285714285719"/>
    <n v="22.39"/>
    <n v="5.2657436355515852"/>
  </r>
  <r>
    <s v="A1114"/>
    <s v="Data Analytics Course"/>
    <n v="91"/>
    <n v="4518.5"/>
    <n v="203.52"/>
    <n v="20"/>
    <n v="9"/>
    <n v="9.9000000000000005E-2"/>
    <n v="1838"/>
    <s v="20-11-2024"/>
    <s v="Hyderabad"/>
    <x v="0"/>
    <s v="data analytics course"/>
    <d v="2024-11-20T00:00:00"/>
    <n v="2.0139426800929512E-2"/>
    <n v="2.2364835164835166"/>
    <n v="10.176"/>
    <n v="22.613333333333333"/>
    <n v="9.0310534591194962"/>
  </r>
  <r>
    <s v="A1115"/>
    <s v="Data Analytics Course"/>
    <n v="140"/>
    <n v="5405"/>
    <n v="195.69"/>
    <n v="21"/>
    <n v="8"/>
    <n v="4.5999999999999999E-2"/>
    <n v="1094"/>
    <s v="21-11-2024"/>
    <s v="Hyderabad"/>
    <x v="0"/>
    <s v="data anaytics training"/>
    <d v="2024-11-21T00:00:00"/>
    <n v="2.5901942645698426E-2"/>
    <n v="1.3977857142857142"/>
    <n v="9.3185714285714276"/>
    <n v="24.46125"/>
    <n v="5.5904747304410041"/>
  </r>
  <r>
    <s v="A1116"/>
    <s v="Data Analytics Course"/>
    <n v="93"/>
    <n v="3425"/>
    <n v="229.76"/>
    <n v="26"/>
    <n v="4"/>
    <n v="4.2999999999999997E-2"/>
    <n v="1344"/>
    <s v="24-11-2024"/>
    <s v="Hyderabad"/>
    <x v="1"/>
    <s v="online data analytic"/>
    <d v="2024-11-24T00:00:00"/>
    <n v="2.7153284671532846E-2"/>
    <n v="2.4705376344086019"/>
    <n v="8.8369230769230764"/>
    <n v="57.44"/>
    <n v="5.8495821727019504"/>
  </r>
  <r>
    <s v="A1117"/>
    <s v="Data Analytics Course"/>
    <n v="114"/>
    <n v="5263"/>
    <n v="189.13"/>
    <n v="23"/>
    <n v="5"/>
    <n v="4.3999999999999997E-2"/>
    <n v="1434"/>
    <d v="2024-05-11T00:00:00"/>
    <s v="Hyderabad"/>
    <x v="1"/>
    <s v="data analytics course"/>
    <d v="2024-05-11T00:00:00"/>
    <n v="2.1660649819494584E-2"/>
    <n v="1.6590350877192983"/>
    <n v="8.2230434782608697"/>
    <n v="37.826000000000001"/>
    <n v="7.5820863956009097"/>
  </r>
  <r>
    <s v="A1118"/>
    <s v="Data Analytics Course"/>
    <n v="172"/>
    <n v="3889"/>
    <n v="215.57"/>
    <n v="21"/>
    <n v="10"/>
    <n v="4.5999999999999999E-2"/>
    <n v="1766"/>
    <d v="2024-11-16T00:00:00"/>
    <s v="Hyderabad"/>
    <x v="2"/>
    <s v="online data analytic"/>
    <d v="2024-11-16T00:00:00"/>
    <n v="4.4227307791205962E-2"/>
    <n v="1.2533139534883722"/>
    <n v="10.265238095238095"/>
    <n v="21.556999999999999"/>
    <n v="8.1922345409843675"/>
  </r>
  <r>
    <s v="A1119"/>
    <s v="Data Analytics Course"/>
    <n v="188"/>
    <n v="3327"/>
    <n v="193.76"/>
    <n v="24"/>
    <n v="6"/>
    <n v="4.7E-2"/>
    <n v="1220"/>
    <d v="2024-03-11T00:00:00"/>
    <s v="Hyderabad"/>
    <x v="2"/>
    <s v="online data analytic"/>
    <d v="2024-03-11T00:00:00"/>
    <n v="5.6507363991584007E-2"/>
    <n v="1.0306382978723403"/>
    <n v="8.0733333333333324"/>
    <n v="32.293333333333329"/>
    <n v="6.2964492155243601"/>
  </r>
  <r>
    <s v="A1120"/>
    <s v="Data Analytics Course"/>
    <n v="117"/>
    <n v="4518.5"/>
    <n v="214.18"/>
    <n v="29"/>
    <n v="4"/>
    <n v="3.4000000000000002E-2"/>
    <n v="1348"/>
    <d v="2024-11-23T00:00:00"/>
    <s v="Hyderabad"/>
    <x v="1"/>
    <s v="learn data analytics"/>
    <d v="2024-11-23T00:00:00"/>
    <n v="2.5893548744052228E-2"/>
    <n v="1.8305982905982907"/>
    <n v="7.3855172413793104"/>
    <n v="53.545000000000002"/>
    <n v="6.2937715939863663"/>
  </r>
  <r>
    <s v="A1121"/>
    <s v="Data Analytics Course"/>
    <n v="113"/>
    <n v="5471"/>
    <n v="215.57"/>
    <n v="27"/>
    <n v="9"/>
    <n v="3.7999999999999999E-2"/>
    <n v="1123"/>
    <d v="2024-11-23T00:00:00"/>
    <s v="Hyderabad"/>
    <x v="1"/>
    <s v="analytics for data"/>
    <d v="2024-11-23T00:00:00"/>
    <n v="2.065435934929629E-2"/>
    <n v="1.9076991150442477"/>
    <n v="7.9840740740740737"/>
    <n v="23.952222222222222"/>
    <n v="5.2094447279306024"/>
  </r>
  <r>
    <s v="A1122"/>
    <s v="Data Analytics Course"/>
    <n v="109"/>
    <n v="3550"/>
    <n v="240.33"/>
    <n v="14"/>
    <n v="8"/>
    <n v="7.2999999999999995E-2"/>
    <n v="1982"/>
    <d v="2024-11-24T00:00:00"/>
    <s v="Hyderabad"/>
    <x v="2"/>
    <s v="learn data analytics"/>
    <d v="2024-11-24T00:00:00"/>
    <n v="3.0704225352112677E-2"/>
    <n v="2.2048623853211011"/>
    <n v="17.166428571428572"/>
    <n v="30.041250000000002"/>
    <n v="8.2469937169724954"/>
  </r>
  <r>
    <s v="A1123"/>
    <s v="Data Analytics Course"/>
    <n v="174"/>
    <n v="3178"/>
    <n v="225.67"/>
    <n v="18"/>
    <n v="10"/>
    <n v="5.7000000000000002E-2"/>
    <n v="1140"/>
    <s v="20-11-2024"/>
    <s v="Hyderabad"/>
    <x v="0"/>
    <s v="data analitics online"/>
    <d v="2024-11-20T00:00:00"/>
    <n v="5.4751415984896162E-2"/>
    <n v="1.2969540229885057"/>
    <n v="12.537222222222221"/>
    <n v="22.567"/>
    <n v="5.0516240528204905"/>
  </r>
  <r>
    <s v="A1124"/>
    <s v="Data Analytics Course"/>
    <n v="96"/>
    <n v="4673"/>
    <n v="192.88"/>
    <n v="24"/>
    <n v="5"/>
    <n v="5.1999999999999998E-2"/>
    <n v="1962"/>
    <d v="2024-11-10T00:00:00"/>
    <s v="Hyderabad"/>
    <x v="1"/>
    <s v="learn data analytics"/>
    <d v="2024-11-10T00:00:00"/>
    <n v="2.0543548041943076E-2"/>
    <n v="2.0091666666666668"/>
    <n v="8.0366666666666671"/>
    <n v="38.576000000000001"/>
    <n v="10.172127747822481"/>
  </r>
  <r>
    <s v="A1125"/>
    <s v="Data Analytics Course"/>
    <n v="110"/>
    <n v="4254"/>
    <n v="187.87"/>
    <n v="11"/>
    <n v="4"/>
    <n v="4.5999999999999999E-2"/>
    <n v="1172"/>
    <d v="2024-11-04T00:00:00"/>
    <s v="Hyderabad"/>
    <x v="1"/>
    <s v="data anaytics training"/>
    <d v="2024-11-04T00:00:00"/>
    <n v="2.5858015984955338E-2"/>
    <n v="1.707909090909091"/>
    <n v="17.079090909090908"/>
    <n v="46.967500000000001"/>
    <n v="6.2383563102145096"/>
  </r>
  <r>
    <s v="A1126"/>
    <s v="Data Analytics Course"/>
    <n v="163"/>
    <n v="3658"/>
    <n v="237.63"/>
    <n v="23"/>
    <n v="7"/>
    <n v="4.2999999999999997E-2"/>
    <n v="1699"/>
    <d v="2024-11-23T00:00:00"/>
    <s v="Hyderabad"/>
    <x v="2"/>
    <s v="online data analytic"/>
    <d v="2024-11-23T00:00:00"/>
    <n v="4.4559868780754512E-2"/>
    <n v="1.4578527607361962"/>
    <n v="10.331739130434782"/>
    <n v="33.947142857142858"/>
    <n v="7.1497706518537223"/>
  </r>
  <r>
    <s v="A1127"/>
    <s v="Data Analytics Course"/>
    <n v="161"/>
    <n v="5319"/>
    <n v="235.98"/>
    <n v="13"/>
    <n v="4"/>
    <n v="2.5000000000000001E-2"/>
    <n v="1423"/>
    <d v="2024-11-18T00:00:00"/>
    <s v="Hyderabad"/>
    <x v="1"/>
    <s v="learn data analytics"/>
    <d v="2024-11-18T00:00:00"/>
    <n v="3.0268847527730777E-2"/>
    <n v="1.4657142857142857"/>
    <n v="18.152307692307691"/>
    <n v="58.994999999999997"/>
    <n v="6.0301720484786845"/>
  </r>
  <r>
    <s v="A1128"/>
    <s v="Data Analytics Course"/>
    <n v="195"/>
    <n v="5278"/>
    <n v="193.49"/>
    <n v="30"/>
    <n v="7"/>
    <n v="4.7E-2"/>
    <n v="1456"/>
    <d v="2024-11-04T00:00:00"/>
    <s v="Hyderabad"/>
    <x v="1"/>
    <s v="data analytics course"/>
    <d v="2024-11-04T00:00:00"/>
    <n v="3.6945812807881777E-2"/>
    <n v="0.99225641025641032"/>
    <n v="6.4496666666666673"/>
    <n v="27.641428571428573"/>
    <n v="7.5249366892345853"/>
  </r>
  <r>
    <s v="A1129"/>
    <s v="Data Analytics Course"/>
    <n v="84"/>
    <n v="3755"/>
    <n v="218.88"/>
    <n v="14"/>
    <n v="9"/>
    <n v="4.7E-2"/>
    <n v="1299"/>
    <d v="2024-11-05T00:00:00"/>
    <s v="Hyderabad"/>
    <x v="2"/>
    <s v="analytics for data"/>
    <d v="2024-11-05T00:00:00"/>
    <n v="2.237017310252996E-2"/>
    <n v="2.6057142857142859"/>
    <n v="15.634285714285713"/>
    <n v="24.32"/>
    <n v="5.9347587719298245"/>
  </r>
  <r>
    <s v="A1130"/>
    <s v="Data Analytics Course"/>
    <n v="113"/>
    <n v="4580"/>
    <n v="194.82"/>
    <n v="11"/>
    <n v="6"/>
    <n v="5.8999999999999997E-2"/>
    <n v="1248"/>
    <d v="2024-11-28T00:00:00"/>
    <s v="Hyderabad"/>
    <x v="2"/>
    <s v="data analytics course"/>
    <d v="2024-11-28T00:00:00"/>
    <n v="2.4672489082969432E-2"/>
    <n v="1.7240707964601769"/>
    <n v="17.710909090909091"/>
    <n v="32.47"/>
    <n v="6.4059131506005542"/>
  </r>
  <r>
    <s v="A1131"/>
    <s v="Data Analytics Course"/>
    <n v="117"/>
    <n v="3809"/>
    <n v="225.14"/>
    <n v="12"/>
    <n v="5"/>
    <n v="3.2000000000000001E-2"/>
    <n v="1495"/>
    <d v="2024-11-09T00:00:00"/>
    <s v="Hyderabad"/>
    <x v="0"/>
    <s v="data anaytics training"/>
    <d v="2024-11-09T00:00:00"/>
    <n v="3.0716723549488054E-2"/>
    <n v="1.9242735042735042"/>
    <n v="18.761666666666667"/>
    <n v="45.027999999999999"/>
    <n v="6.6403126943235327"/>
  </r>
  <r>
    <s v="A1132"/>
    <s v="Data Analytics Course"/>
    <n v="135"/>
    <n v="5118"/>
    <n v="219.99"/>
    <n v="27"/>
    <n v="6"/>
    <n v="4.3999999999999997E-2"/>
    <n v="1089"/>
    <d v="2024-11-20T00:00:00"/>
    <s v="Hyderabad"/>
    <x v="1"/>
    <s v="online data analytic"/>
    <d v="2024-11-20T00:00:00"/>
    <n v="2.6377491207502931E-2"/>
    <n v="1.6295555555555556"/>
    <n v="8.1477777777777778"/>
    <n v="36.664999999999999"/>
    <n v="4.9502250102277374"/>
  </r>
  <r>
    <s v="A1133"/>
    <s v="Data Analytics Course"/>
    <n v="92"/>
    <n v="5766"/>
    <n v="186.14"/>
    <n v="28"/>
    <n v="7"/>
    <n v="7.5999999999999998E-2"/>
    <n v="1013"/>
    <s v="27-11-2024"/>
    <s v="Hyderabad"/>
    <x v="2"/>
    <s v="data anaytics training"/>
    <d v="2024-11-27T00:00:00"/>
    <n v="1.5955601803676726E-2"/>
    <n v="2.0232608695652172"/>
    <n v="6.6478571428571422"/>
    <n v="26.591428571428569"/>
    <n v="5.442140324486946"/>
  </r>
  <r>
    <s v="A1134"/>
    <s v="Data Analytics Course"/>
    <n v="188"/>
    <n v="3934"/>
    <n v="206.21"/>
    <n v="16"/>
    <n v="9"/>
    <n v="4.8000000000000001E-2"/>
    <n v="1505"/>
    <d v="2024-04-11T00:00:00"/>
    <s v="Hyderabad"/>
    <x v="0"/>
    <s v="data analytics course"/>
    <d v="2024-04-11T00:00:00"/>
    <n v="4.7788510421962381E-2"/>
    <n v="1.0968617021276597"/>
    <n v="12.888125"/>
    <n v="22.912222222222223"/>
    <n v="7.2983851413607486"/>
  </r>
  <r>
    <s v="A1135"/>
    <s v="Data Analytics Course"/>
    <n v="101"/>
    <n v="4724"/>
    <n v="228.38"/>
    <n v="13"/>
    <n v="7"/>
    <n v="3.4000000000000002E-2"/>
    <n v="1243"/>
    <d v="2024-11-20T00:00:00"/>
    <s v="Hyderabad"/>
    <x v="0"/>
    <s v="learn data analytics"/>
    <d v="2024-11-20T00:00:00"/>
    <n v="2.1380186282811176E-2"/>
    <n v="2.261188118811881"/>
    <n v="17.567692307692308"/>
    <n v="32.625714285714288"/>
    <n v="5.4426832472195468"/>
  </r>
  <r>
    <s v="A1136"/>
    <s v="Data Analytics Course"/>
    <n v="111"/>
    <n v="5895"/>
    <n v="205.25"/>
    <n v="29"/>
    <n v="4"/>
    <n v="3.5999999999999997E-2"/>
    <n v="1693"/>
    <d v="2024-11-04T00:00:00"/>
    <s v="Hyderabad"/>
    <x v="1"/>
    <s v="data analytics course"/>
    <d v="2024-11-04T00:00:00"/>
    <n v="1.8829516539440202E-2"/>
    <n v="1.8490990990990992"/>
    <n v="7.0775862068965516"/>
    <n v="51.3125"/>
    <n v="8.2484774665042639"/>
  </r>
  <r>
    <s v="A1137"/>
    <s v="Data Analytics Course"/>
    <n v="122"/>
    <n v="4048"/>
    <n v="202.23"/>
    <n v="28"/>
    <n v="10"/>
    <n v="8.2000000000000003E-2"/>
    <n v="1505"/>
    <s v="26-11-2024"/>
    <s v="Hyderabad"/>
    <x v="1"/>
    <s v="online data analytic"/>
    <d v="2024-11-26T00:00:00"/>
    <n v="3.0138339920948616E-2"/>
    <n v="1.657622950819672"/>
    <n v="7.2224999999999993"/>
    <n v="20.222999999999999"/>
    <n v="7.4420214607130495"/>
  </r>
  <r>
    <s v="A1138"/>
    <s v="Data Analytics Course"/>
    <n v="99"/>
    <n v="3169"/>
    <n v="237.68"/>
    <n v="21"/>
    <n v="6"/>
    <n v="4.5999999999999999E-2"/>
    <n v="1509"/>
    <d v="2024-11-22T00:00:00"/>
    <s v="Hyderabad"/>
    <x v="1"/>
    <s v="online data analytic"/>
    <d v="2024-11-22T00:00:00"/>
    <n v="3.1240138845061535E-2"/>
    <n v="2.4008080808080807"/>
    <n v="11.318095238095239"/>
    <n v="39.613333333333337"/>
    <n v="6.3488724335240656"/>
  </r>
  <r>
    <s v="A1139"/>
    <s v="Data Analytics Course"/>
    <n v="154"/>
    <n v="4535"/>
    <n v="229.29"/>
    <n v="11"/>
    <n v="3"/>
    <n v="1.9E-2"/>
    <n v="1434"/>
    <d v="2024-11-01T00:00:00"/>
    <s v="Hyderabad"/>
    <x v="2"/>
    <s v="data anaytics training"/>
    <d v="2024-11-01T00:00:00"/>
    <n v="3.3958103638368244E-2"/>
    <n v="1.4888961038961039"/>
    <n v="20.844545454545454"/>
    <n v="76.429999999999993"/>
    <n v="6.2540887086222687"/>
  </r>
  <r>
    <s v="A1140"/>
    <s v="Data Analytics Course"/>
    <n v="129"/>
    <n v="3849"/>
    <n v="249.29"/>
    <n v="22"/>
    <n v="10"/>
    <n v="7.8E-2"/>
    <n v="1767"/>
    <d v="2024-11-11T00:00:00"/>
    <s v="Hyderabad"/>
    <x v="0"/>
    <s v="analytics for data"/>
    <d v="2024-11-11T00:00:00"/>
    <n v="3.3515198752922838E-2"/>
    <n v="1.9324806201550386"/>
    <n v="11.331363636363635"/>
    <n v="24.928999999999998"/>
    <n v="7.0881302900236678"/>
  </r>
  <r>
    <s v="A1141"/>
    <s v="Data Analytics Course"/>
    <n v="139"/>
    <n v="4259"/>
    <n v="182.98"/>
    <n v="10"/>
    <n v="10"/>
    <n v="3.1E-2"/>
    <n v="1048"/>
    <s v="16-11-2024"/>
    <s v="Hyderabad"/>
    <x v="1"/>
    <s v="analytics for data"/>
    <d v="2024-11-16T00:00:00"/>
    <n v="3.2636769194646628E-2"/>
    <n v="1.3164028776978416"/>
    <n v="18.297999999999998"/>
    <n v="18.297999999999998"/>
    <n v="5.7274019018471964"/>
  </r>
  <r>
    <s v="A1142"/>
    <s v="Data Analytics Course"/>
    <n v="143"/>
    <n v="3628"/>
    <n v="215.57"/>
    <n v="18"/>
    <n v="9"/>
    <n v="6.3E-2"/>
    <n v="1566"/>
    <s v="17-11-2024"/>
    <s v="Hyderabad"/>
    <x v="2"/>
    <s v="data analytics course"/>
    <d v="2024-11-17T00:00:00"/>
    <n v="3.9415656008820285E-2"/>
    <n v="1.5074825174825175"/>
    <n v="11.976111111111111"/>
    <n v="23.952222222222222"/>
    <n v="7.2644616597856846"/>
  </r>
  <r>
    <s v="A1143"/>
    <s v="Data Analytics Course"/>
    <n v="80"/>
    <n v="3269"/>
    <n v="215.57"/>
    <n v="12"/>
    <n v="4"/>
    <n v="0.05"/>
    <n v="1753"/>
    <s v="23-11-2024"/>
    <s v="Hyderabad"/>
    <x v="0"/>
    <s v="data analitics online"/>
    <d v="2024-11-23T00:00:00"/>
    <n v="2.4472315692872438E-2"/>
    <n v="2.6946249999999998"/>
    <n v="17.964166666666667"/>
    <n v="53.892499999999998"/>
    <n v="8.1319293037064533"/>
  </r>
  <r>
    <s v="A1144"/>
    <s v="Data Analytics Course"/>
    <n v="134"/>
    <n v="3724"/>
    <n v="188.02"/>
    <n v="26"/>
    <n v="9"/>
    <n v="4.7E-2"/>
    <n v="1891"/>
    <d v="2024-11-07T00:00:00"/>
    <s v="Hyderabad"/>
    <x v="0"/>
    <s v="online data analytic"/>
    <d v="2024-11-07T00:00:00"/>
    <n v="3.5982814178302902E-2"/>
    <n v="1.4031343283582089"/>
    <n v="7.2315384615384621"/>
    <n v="20.891111111111112"/>
    <n v="10.057440697798105"/>
  </r>
  <r>
    <s v="A1145"/>
    <s v="Data Analytics Course"/>
    <n v="174"/>
    <n v="4838"/>
    <n v="242.35"/>
    <n v="21"/>
    <n v="3"/>
    <n v="1.7000000000000001E-2"/>
    <n v="1599"/>
    <d v="2024-11-22T00:00:00"/>
    <s v="Hyderabad"/>
    <x v="0"/>
    <s v="data analitics online"/>
    <d v="2024-11-22T00:00:00"/>
    <n v="3.5965274906986359E-2"/>
    <n v="1.3928160919540229"/>
    <n v="11.540476190476189"/>
    <n v="80.783333333333331"/>
    <n v="6.5978956055291933"/>
  </r>
  <r>
    <s v="A1146"/>
    <s v="Data Analytics Course"/>
    <n v="196"/>
    <n v="4524"/>
    <n v="192.01"/>
    <n v="15"/>
    <n v="8"/>
    <n v="4.1000000000000002E-2"/>
    <n v="1048"/>
    <d v="2024-11-13T00:00:00"/>
    <s v="Hyderabad"/>
    <x v="0"/>
    <s v="data analytics course"/>
    <d v="2024-11-13T00:00:00"/>
    <n v="4.3324491600353669E-2"/>
    <n v="0.97964285714285715"/>
    <n v="12.800666666666666"/>
    <n v="24.001249999999999"/>
    <n v="5.4580490599447948"/>
  </r>
  <r>
    <s v="A1147"/>
    <s v="Data Analytics Course"/>
    <n v="194"/>
    <n v="4694"/>
    <n v="228.15"/>
    <n v="17"/>
    <n v="7"/>
    <n v="3.5999999999999997E-2"/>
    <n v="1874"/>
    <d v="2024-11-14T00:00:00"/>
    <s v="Hyderabad"/>
    <x v="2"/>
    <s v="learn data analytics"/>
    <d v="2024-11-14T00:00:00"/>
    <n v="4.1329356625479333E-2"/>
    <n v="1.1760309278350516"/>
    <n v="13.420588235294119"/>
    <n v="32.592857142857142"/>
    <n v="8.2138943677405205"/>
  </r>
  <r>
    <s v="A1148"/>
    <s v="Data Analytics Course"/>
    <n v="180"/>
    <n v="4326"/>
    <n v="221.67"/>
    <n v="13"/>
    <n v="7"/>
    <n v="4.5999999999999999E-2"/>
    <n v="1427"/>
    <d v="2024-06-11T00:00:00"/>
    <s v="Hyderabad"/>
    <x v="2"/>
    <s v="online data analytic"/>
    <d v="2024-06-11T00:00:00"/>
    <n v="4.1608876560332873E-2"/>
    <n v="1.2315"/>
    <n v="17.05153846153846"/>
    <n v="31.667142857142856"/>
    <n v="6.4374971804935264"/>
  </r>
  <r>
    <s v="A1149"/>
    <s v="Data Analytics Course"/>
    <n v="100"/>
    <n v="4235"/>
    <n v="222.61"/>
    <n v="10"/>
    <n v="8"/>
    <n v="5.0999999999999997E-2"/>
    <n v="1814"/>
    <d v="2024-01-11T00:00:00"/>
    <s v="Hyderabad"/>
    <x v="0"/>
    <s v="data anaytics training"/>
    <d v="2024-01-11T00:00:00"/>
    <n v="2.3612750885478158E-2"/>
    <n v="2.2261000000000002"/>
    <n v="22.261000000000003"/>
    <n v="27.826250000000002"/>
    <n v="8.1487803782399713"/>
  </r>
  <r>
    <s v="A1150"/>
    <s v="Data Analytics Course"/>
    <n v="153"/>
    <n v="4367"/>
    <n v="184.51"/>
    <n v="29"/>
    <n v="9"/>
    <n v="5.8999999999999997E-2"/>
    <n v="1507"/>
    <d v="2024-11-13T00:00:00"/>
    <s v="Hyderabad"/>
    <x v="1"/>
    <s v="analytics for data"/>
    <d v="2024-11-13T00:00:00"/>
    <n v="3.5035493473780627E-2"/>
    <n v="1.2059477124183007"/>
    <n v="6.3624137931034479"/>
    <n v="20.501111111111111"/>
    <n v="8.1675789930085099"/>
  </r>
  <r>
    <s v="A1151"/>
    <s v="Data Analytics Course"/>
    <n v="110"/>
    <n v="3748"/>
    <n v="198.68"/>
    <n v="24"/>
    <n v="9"/>
    <n v="8.2000000000000003E-2"/>
    <n v="1041"/>
    <d v="2024-05-11T00:00:00"/>
    <s v="Hyderabad"/>
    <x v="2"/>
    <s v="data anaytics training"/>
    <d v="2024-05-11T00:00:00"/>
    <n v="2.934898612593383E-2"/>
    <n v="1.8061818181818183"/>
    <n v="8.2783333333333342"/>
    <n v="22.075555555555557"/>
    <n v="5.2395812361586467"/>
  </r>
  <r>
    <s v="A1152"/>
    <s v="Data Analytics Course"/>
    <n v="116"/>
    <n v="3901"/>
    <n v="215.57"/>
    <n v="21"/>
    <n v="4"/>
    <n v="3.4000000000000002E-2"/>
    <n v="1483"/>
    <d v="2024-11-13T00:00:00"/>
    <s v="Hyderabad"/>
    <x v="2"/>
    <s v="online data analytic"/>
    <d v="2024-11-13T00:00:00"/>
    <n v="2.9735965137144323E-2"/>
    <n v="1.8583620689655171"/>
    <n v="10.265238095238095"/>
    <n v="53.892499999999998"/>
    <n v="6.8794359140882317"/>
  </r>
  <r>
    <s v="A1153"/>
    <s v="Data Analytics Course"/>
    <n v="156"/>
    <n v="3335"/>
    <n v="236.98"/>
    <n v="29"/>
    <n v="7"/>
    <n v="4.4999999999999998E-2"/>
    <n v="1143"/>
    <d v="2024-11-14T00:00:00"/>
    <s v="Hyderabad"/>
    <x v="0"/>
    <s v="data analytics course"/>
    <d v="2024-11-14T00:00:00"/>
    <n v="4.6776611694152925E-2"/>
    <n v="1.5191025641025639"/>
    <n v="8.1717241379310348"/>
    <n v="33.854285714285716"/>
    <n v="4.8231918305342223"/>
  </r>
  <r>
    <s v="A1154"/>
    <s v="Data Analytics Course"/>
    <n v="177"/>
    <n v="5671"/>
    <n v="210.74"/>
    <n v="19"/>
    <n v="6"/>
    <n v="5.8000000000000003E-2"/>
    <n v="1172"/>
    <s v="25-11-2024"/>
    <s v="Hyderabad"/>
    <x v="2"/>
    <s v="data analytics course"/>
    <d v="2024-11-25T00:00:00"/>
    <n v="3.1211426556162936E-2"/>
    <n v="1.1906214689265537"/>
    <n v="11.091578947368422"/>
    <n v="35.123333333333335"/>
    <n v="5.561355224447186"/>
  </r>
  <r>
    <s v="A1155"/>
    <s v="Data Analytics Course"/>
    <n v="89"/>
    <n v="3408"/>
    <n v="214.78"/>
    <n v="25"/>
    <n v="9"/>
    <n v="0.10100000000000001"/>
    <n v="1898"/>
    <d v="2024-11-15T00:00:00"/>
    <s v="Hyderabad"/>
    <x v="1"/>
    <s v="data analytics course"/>
    <d v="2024-11-15T00:00:00"/>
    <n v="2.6115023474178403E-2"/>
    <n v="2.413258426966292"/>
    <n v="8.5912000000000006"/>
    <n v="23.864444444444445"/>
    <n v="8.8369494366328336"/>
  </r>
  <r>
    <s v="A1156"/>
    <s v="Data Analytics Course"/>
    <n v="155"/>
    <n v="4422"/>
    <n v="183.96"/>
    <n v="14"/>
    <n v="8"/>
    <n v="3.6999999999999998E-2"/>
    <n v="1143"/>
    <d v="2024-11-15T00:00:00"/>
    <s v="Hyderabad"/>
    <x v="1"/>
    <s v="analytics for data"/>
    <d v="2024-11-15T00:00:00"/>
    <n v="3.5052012663952963E-2"/>
    <n v="1.1868387096774193"/>
    <n v="13.14"/>
    <n v="22.995000000000001"/>
    <n v="6.2133072407045011"/>
  </r>
  <r>
    <s v="A1157"/>
    <s v="Data Analytics Course"/>
    <n v="123"/>
    <n v="3097"/>
    <n v="190.55"/>
    <n v="20"/>
    <n v="8"/>
    <n v="6.5000000000000002E-2"/>
    <n v="1640"/>
    <d v="2024-11-22T00:00:00"/>
    <s v="Hyderabad"/>
    <x v="2"/>
    <s v="data analytics course"/>
    <d v="2024-11-22T00:00:00"/>
    <n v="3.9715854052308687E-2"/>
    <n v="1.5491869918699188"/>
    <n v="9.5274999999999999"/>
    <n v="23.818750000000001"/>
    <n v="8.6066649173445278"/>
  </r>
  <r>
    <s v="A1158"/>
    <s v="Data Analytics Course"/>
    <n v="102"/>
    <n v="3621"/>
    <n v="244.82"/>
    <n v="10"/>
    <n v="5"/>
    <n v="4.9000000000000002E-2"/>
    <n v="1375"/>
    <d v="2024-11-12T00:00:00"/>
    <s v="Hyderabad"/>
    <x v="1"/>
    <s v="learn data analytics"/>
    <d v="2024-11-12T00:00:00"/>
    <n v="2.8169014084507043E-2"/>
    <n v="2.4001960784313723"/>
    <n v="24.481999999999999"/>
    <n v="48.963999999999999"/>
    <n v="5.6163712115023285"/>
  </r>
  <r>
    <s v="A1159"/>
    <s v="Data Analytics Course"/>
    <n v="150"/>
    <n v="4806"/>
    <n v="244.53"/>
    <n v="15"/>
    <n v="9"/>
    <n v="4.5999999999999999E-2"/>
    <n v="1602"/>
    <d v="2024-07-11T00:00:00"/>
    <s v="Hyderabad"/>
    <x v="1"/>
    <s v="data analitics online"/>
    <d v="2024-07-11T00:00:00"/>
    <n v="3.1210986267166042E-2"/>
    <n v="1.6302000000000001"/>
    <n v="16.302"/>
    <n v="27.17"/>
    <n v="6.5513433934486569"/>
  </r>
  <r>
    <s v="A1160"/>
    <s v="Data Analytics Course"/>
    <n v="160"/>
    <n v="4518.5"/>
    <n v="245.87"/>
    <n v="11"/>
    <n v="6"/>
    <n v="3.6999999999999998E-2"/>
    <n v="1505"/>
    <d v="2024-11-05T00:00:00"/>
    <s v="Hyderabad"/>
    <x v="0"/>
    <s v="analytics for data"/>
    <d v="2024-11-05T00:00:00"/>
    <n v="3.5409981188447494E-2"/>
    <n v="1.5366875"/>
    <n v="22.351818181818182"/>
    <n v="40.978333333333332"/>
    <n v="6.1211209175580592"/>
  </r>
  <r>
    <s v="A1161"/>
    <s v="Data Analytics Course"/>
    <n v="143"/>
    <n v="3901"/>
    <n v="191.38"/>
    <n v="29"/>
    <n v="4"/>
    <n v="5.2999999999999999E-2"/>
    <n v="1786"/>
    <d v="2024-11-24T00:00:00"/>
    <s v="Hyderabad"/>
    <x v="1"/>
    <s v="learn data analytics"/>
    <d v="2024-11-24T00:00:00"/>
    <n v="3.6657267367341706E-2"/>
    <n v="1.3383216783216783"/>
    <n v="6.5993103448275861"/>
    <n v="47.844999999999999"/>
    <n v="9.3322186226355939"/>
  </r>
  <r>
    <s v="A1162"/>
    <s v="Data Analytics Course"/>
    <n v="178"/>
    <n v="4673"/>
    <n v="222.46"/>
    <n v="29"/>
    <n v="6"/>
    <n v="5.0999999999999997E-2"/>
    <n v="1219"/>
    <d v="2024-11-04T00:00:00"/>
    <s v="Hyderabad"/>
    <x v="2"/>
    <s v="online data analytic"/>
    <d v="2024-11-04T00:00:00"/>
    <n v="3.8091161994436122E-2"/>
    <n v="1.2497752808988765"/>
    <n v="7.6710344827586212"/>
    <n v="37.076666666666668"/>
    <n v="5.4796367886361592"/>
  </r>
  <r>
    <s v="A1163"/>
    <s v="Data Analytics Course"/>
    <n v="152"/>
    <n v="3542"/>
    <n v="208.96"/>
    <n v="13"/>
    <n v="9"/>
    <n v="4.5999999999999999E-2"/>
    <n v="1735"/>
    <d v="2024-11-13T00:00:00"/>
    <s v="Hyderabad"/>
    <x v="0"/>
    <s v="data analytics course"/>
    <d v="2024-11-13T00:00:00"/>
    <n v="4.2913608130999432E-2"/>
    <n v="1.3747368421052633"/>
    <n v="16.073846153846155"/>
    <n v="23.21777777777778"/>
    <n v="8.3030245022970899"/>
  </r>
  <r>
    <s v="A1164"/>
    <s v="Data Analytics Course"/>
    <n v="139"/>
    <n v="4347"/>
    <n v="238.19"/>
    <n v="26"/>
    <n v="5"/>
    <n v="4.5999999999999999E-2"/>
    <n v="1384"/>
    <s v="13-11-2024"/>
    <s v="Hyderabad"/>
    <x v="2"/>
    <s v="analytics for data"/>
    <d v="2024-11-13T00:00:00"/>
    <n v="3.1976075454336325E-2"/>
    <n v="1.7135971223021582"/>
    <n v="9.1611538461538462"/>
    <n v="47.637999999999998"/>
    <n v="5.8104874260044506"/>
  </r>
  <r>
    <s v="A1165"/>
    <s v="Data Analytics Course"/>
    <n v="175"/>
    <n v="5014"/>
    <n v="247.24"/>
    <n v="25"/>
    <n v="7"/>
    <n v="0.04"/>
    <n v="1499"/>
    <s v="15-11-2024"/>
    <s v="Hyderabad"/>
    <x v="1"/>
    <s v="learn data analytics"/>
    <d v="2024-11-15T00:00:00"/>
    <n v="3.4902273633825288E-2"/>
    <n v="1.4128000000000001"/>
    <n v="9.8895999999999997"/>
    <n v="35.32"/>
    <n v="6.0629348001941432"/>
  </r>
  <r>
    <s v="A1166"/>
    <s v="Data Analytics Course"/>
    <n v="92"/>
    <n v="4185"/>
    <n v="218.46"/>
    <n v="21"/>
    <n v="9"/>
    <n v="3.5000000000000003E-2"/>
    <n v="1567"/>
    <d v="2024-11-03T00:00:00"/>
    <s v="Hyderabad"/>
    <x v="1"/>
    <s v="data analitics online"/>
    <d v="2024-11-03T00:00:00"/>
    <n v="2.1983273596176821E-2"/>
    <n v="2.3745652173913046"/>
    <n v="10.402857142857144"/>
    <n v="24.273333333333333"/>
    <n v="7.1729378375904052"/>
  </r>
  <r>
    <s v="A1167"/>
    <s v="Data Analytics Course"/>
    <n v="123"/>
    <n v="5964"/>
    <n v="215.57"/>
    <n v="17"/>
    <n v="6"/>
    <n v="4.5999999999999999E-2"/>
    <n v="1363"/>
    <d v="2024-11-03T00:00:00"/>
    <s v="Hyderabad"/>
    <x v="0"/>
    <s v="data anaytics training"/>
    <d v="2024-11-03T00:00:00"/>
    <n v="2.062374245472837E-2"/>
    <n v="1.75260162601626"/>
    <n v="12.680588235294117"/>
    <n v="35.928333333333335"/>
    <n v="6.322772185369022"/>
  </r>
  <r>
    <s v="A1168"/>
    <s v="Data Analytics Course"/>
    <n v="86"/>
    <n v="5124"/>
    <n v="183.71"/>
    <n v="13"/>
    <n v="10"/>
    <n v="0.11600000000000001"/>
    <n v="1137"/>
    <s v="20-11-2024"/>
    <s v="Hyderabad"/>
    <x v="1"/>
    <s v="data anaytics training"/>
    <d v="2024-11-20T00:00:00"/>
    <n v="1.6783762685402031E-2"/>
    <n v="2.1361627906976746"/>
    <n v="14.131538461538462"/>
    <n v="18.371000000000002"/>
    <n v="6.1891023896358393"/>
  </r>
  <r>
    <s v="A1169"/>
    <s v="Data Analytics Course"/>
    <n v="117"/>
    <n v="4162"/>
    <n v="238.08"/>
    <n v="28"/>
    <n v="10"/>
    <n v="8.5000000000000006E-2"/>
    <n v="1186"/>
    <d v="2024-11-22T00:00:00"/>
    <s v="Hyderabad"/>
    <x v="1"/>
    <s v="online data analytic"/>
    <d v="2024-11-22T00:00:00"/>
    <n v="2.8111484863046612E-2"/>
    <n v="2.0348717948717949"/>
    <n v="8.5028571428571436"/>
    <n v="23.808"/>
    <n v="4.981518817204301"/>
  </r>
  <r>
    <s v="A1170"/>
    <s v="Data Analytics Course"/>
    <n v="146"/>
    <n v="4330"/>
    <n v="191.9"/>
    <n v="20"/>
    <n v="3"/>
    <n v="2.1000000000000001E-2"/>
    <n v="1748"/>
    <d v="2024-11-09T00:00:00"/>
    <s v="Hyderabad"/>
    <x v="1"/>
    <s v="online data analytic"/>
    <d v="2024-11-09T00:00:00"/>
    <n v="3.3718244803695153E-2"/>
    <n v="1.3143835616438357"/>
    <n v="9.5950000000000006"/>
    <n v="63.966666666666669"/>
    <n v="9.1089108910891081"/>
  </r>
  <r>
    <s v="A1171"/>
    <s v="Data Analytics Course"/>
    <n v="89"/>
    <n v="3268"/>
    <n v="215.57"/>
    <n v="17"/>
    <n v="4"/>
    <n v="4.4999999999999998E-2"/>
    <n v="1233"/>
    <d v="2024-11-13T00:00:00"/>
    <s v="Hyderabad"/>
    <x v="0"/>
    <s v="online data analytic"/>
    <d v="2024-11-13T00:00:00"/>
    <n v="2.7233782129742961E-2"/>
    <n v="2.4221348314606739"/>
    <n v="12.680588235294117"/>
    <n v="53.892499999999998"/>
    <n v="5.7197198125898785"/>
  </r>
  <r>
    <s v="A1172"/>
    <s v="Data Analytics Course"/>
    <n v="195"/>
    <n v="3483"/>
    <n v="213.99"/>
    <n v="27"/>
    <n v="7"/>
    <n v="3.5999999999999997E-2"/>
    <n v="1796"/>
    <s v="23-11-2024"/>
    <s v="Hyderabad"/>
    <x v="0"/>
    <s v="learn data analytics"/>
    <d v="2024-11-23T00:00:00"/>
    <n v="5.5986218776916452E-2"/>
    <n v="1.0973846153846154"/>
    <n v="7.9255555555555555"/>
    <n v="30.57"/>
    <n v="8.3929155568017197"/>
  </r>
  <r>
    <s v="A1173"/>
    <s v="Data Analytics Course"/>
    <n v="170"/>
    <n v="4519"/>
    <n v="240.63"/>
    <n v="22"/>
    <n v="7"/>
    <n v="4.1000000000000002E-2"/>
    <n v="1012"/>
    <s v="27-11-2024"/>
    <s v="Hyderabad"/>
    <x v="1"/>
    <s v="analytics for data"/>
    <d v="2024-11-27T00:00:00"/>
    <n v="3.7618942243859262E-2"/>
    <n v="1.415470588235294"/>
    <n v="10.937727272727273"/>
    <n v="34.375714285714288"/>
    <n v="4.2056268960644978"/>
  </r>
  <r>
    <s v="A1174"/>
    <s v="Data Analytics Course"/>
    <n v="97"/>
    <n v="3605"/>
    <n v="240.29"/>
    <n v="21"/>
    <n v="7"/>
    <n v="4.4999999999999998E-2"/>
    <n v="1682"/>
    <d v="2024-11-10T00:00:00"/>
    <s v="Hyderabad"/>
    <x v="0"/>
    <s v="data analitics online"/>
    <d v="2024-11-10T00:00:00"/>
    <n v="2.6907073509015257E-2"/>
    <n v="2.4772164948453606"/>
    <n v="11.442380952380953"/>
    <n v="34.327142857142853"/>
    <n v="6.9998751508593786"/>
  </r>
  <r>
    <s v="A1175"/>
    <s v="Data Analytics Course"/>
    <n v="159"/>
    <n v="5076"/>
    <n v="204.97"/>
    <n v="15"/>
    <n v="10"/>
    <n v="6.3E-2"/>
    <n v="1638"/>
    <s v="17-11-2024"/>
    <s v="Hyderabad"/>
    <x v="2"/>
    <s v="data analytics course"/>
    <d v="2024-11-17T00:00:00"/>
    <n v="3.1323877068557916E-2"/>
    <n v="1.2891194968553459"/>
    <n v="13.664666666666667"/>
    <n v="20.497"/>
    <n v="7.991413377567449"/>
  </r>
  <r>
    <s v="A1176"/>
    <s v="Data Analytics Course"/>
    <n v="131"/>
    <n v="5352"/>
    <n v="225.86"/>
    <n v="24"/>
    <n v="10"/>
    <n v="4.5999999999999999E-2"/>
    <n v="1961"/>
    <d v="2024-11-20T00:00:00"/>
    <s v="Hyderabad"/>
    <x v="1"/>
    <s v="online data analytic"/>
    <d v="2024-11-20T00:00:00"/>
    <n v="2.4476831091180866E-2"/>
    <n v="1.7241221374045803"/>
    <n v="9.4108333333333345"/>
    <n v="22.586000000000002"/>
    <n v="8.6823696094926053"/>
  </r>
  <r>
    <s v="A1177"/>
    <s v="Data Analytics Course"/>
    <n v="108"/>
    <n v="5503"/>
    <n v="185.26"/>
    <n v="11"/>
    <n v="7"/>
    <n v="6.5000000000000002E-2"/>
    <n v="1921"/>
    <d v="2024-06-11T00:00:00"/>
    <s v="Hyderabad"/>
    <x v="1"/>
    <s v="data analitics online"/>
    <d v="2024-06-11T00:00:00"/>
    <n v="1.9625658731600944E-2"/>
    <n v="1.7153703703703702"/>
    <n v="16.84181818181818"/>
    <n v="26.465714285714284"/>
    <n v="10.369210838821116"/>
  </r>
  <r>
    <s v="A1178"/>
    <s v="Data Analytics Course"/>
    <n v="93"/>
    <n v="4308"/>
    <n v="209.83"/>
    <n v="19"/>
    <n v="9"/>
    <n v="9.7000000000000003E-2"/>
    <n v="1694"/>
    <d v="2024-11-20T00:00:00"/>
    <s v="Hyderabad"/>
    <x v="1"/>
    <s v="data analytics course"/>
    <d v="2024-11-20T00:00:00"/>
    <n v="2.1587743732590529E-2"/>
    <n v="2.256236559139785"/>
    <n v="11.043684210526317"/>
    <n v="23.314444444444447"/>
    <n v="8.0732021159986651"/>
  </r>
  <r>
    <s v="A1179"/>
    <s v="Data Analytics Course"/>
    <n v="137"/>
    <n v="3555"/>
    <n v="213.5"/>
    <n v="29"/>
    <n v="3"/>
    <n v="4.5999999999999999E-2"/>
    <n v="1505"/>
    <d v="2024-11-06T00:00:00"/>
    <s v="Hyderabad"/>
    <x v="0"/>
    <s v="data analytics course"/>
    <d v="2024-11-06T00:00:00"/>
    <n v="3.8537271448663854E-2"/>
    <n v="1.5583941605839415"/>
    <n v="7.3620689655172411"/>
    <n v="71.166666666666671"/>
    <n v="7.0491803278688527"/>
  </r>
  <r>
    <s v="A1180"/>
    <s v="Data Analytics Course"/>
    <n v="81"/>
    <n v="5615"/>
    <n v="193.14"/>
    <n v="30"/>
    <n v="6"/>
    <n v="7.3999999999999996E-2"/>
    <n v="1255"/>
    <d v="2024-11-28T00:00:00"/>
    <s v="Hyderabad"/>
    <x v="1"/>
    <s v="analytics for data"/>
    <d v="2024-11-28T00:00:00"/>
    <n v="1.4425645592163847E-2"/>
    <n v="2.3844444444444441"/>
    <n v="6.4379999999999997"/>
    <n v="32.19"/>
    <n v="6.4978771875323602"/>
  </r>
  <r>
    <s v="A1181"/>
    <s v="Data Analytics Course"/>
    <n v="160"/>
    <n v="4743"/>
    <n v="206.22"/>
    <n v="23"/>
    <n v="10"/>
    <n v="6.2E-2"/>
    <n v="1825"/>
    <d v="2024-11-20T00:00:00"/>
    <s v="Hyderabad"/>
    <x v="1"/>
    <s v="learn data analytics"/>
    <d v="2024-11-20T00:00:00"/>
    <n v="3.3733923676997679E-2"/>
    <n v="1.288875"/>
    <n v="8.9660869565217389"/>
    <n v="20.622"/>
    <n v="8.8497720880612931"/>
  </r>
  <r>
    <s v="A1182"/>
    <s v="Data Analytics Course"/>
    <n v="186"/>
    <n v="3337"/>
    <n v="183.58"/>
    <n v="16"/>
    <n v="8"/>
    <n v="4.2999999999999997E-2"/>
    <n v="1045"/>
    <d v="2024-11-30T00:00:00"/>
    <s v="Hyderabad"/>
    <x v="0"/>
    <s v="online data analytic"/>
    <d v="2024-11-30T00:00:00"/>
    <n v="5.5738687443811809E-2"/>
    <n v="0.98698924731182802"/>
    <n v="11.473750000000001"/>
    <n v="22.947500000000002"/>
    <n v="5.6923412136398293"/>
  </r>
  <r>
    <s v="A1183"/>
    <s v="Data Analytics Course"/>
    <n v="105"/>
    <n v="3234"/>
    <n v="238.8"/>
    <n v="27"/>
    <n v="10"/>
    <n v="9.5000000000000001E-2"/>
    <n v="1248"/>
    <d v="2024-11-06T00:00:00"/>
    <s v="Hyderabad"/>
    <x v="0"/>
    <s v="online data analytic"/>
    <d v="2024-11-06T00:00:00"/>
    <n v="3.2467532467532464E-2"/>
    <n v="2.2742857142857145"/>
    <n v="8.844444444444445"/>
    <n v="23.880000000000003"/>
    <n v="5.2261306532663312"/>
  </r>
  <r>
    <s v="A1184"/>
    <s v="Data Analytics Course"/>
    <n v="131"/>
    <n v="3913"/>
    <n v="203.69"/>
    <n v="14"/>
    <n v="10"/>
    <n v="4.5999999999999999E-2"/>
    <n v="1079"/>
    <d v="2024-11-25T00:00:00"/>
    <s v="Hyderabad"/>
    <x v="0"/>
    <s v="data anaytics training"/>
    <d v="2024-11-25T00:00:00"/>
    <n v="3.3478149757219522E-2"/>
    <n v="1.5548854961832062"/>
    <n v="14.549285714285714"/>
    <n v="20.369"/>
    <n v="5.2972654524031615"/>
  </r>
  <r>
    <s v="A1185"/>
    <s v="Data Analytics Course"/>
    <n v="129"/>
    <n v="3208"/>
    <n v="204.2"/>
    <n v="18"/>
    <n v="8"/>
    <n v="3.2000000000000001E-2"/>
    <n v="1456"/>
    <d v="2024-11-29T00:00:00"/>
    <s v="Hyderabad"/>
    <x v="0"/>
    <s v="learn data analytics"/>
    <d v="2024-11-29T00:00:00"/>
    <n v="4.0211970074812968E-2"/>
    <n v="1.5829457364341084"/>
    <n v="11.344444444444443"/>
    <n v="25.524999999999999"/>
    <n v="7.1302644466209602"/>
  </r>
  <r>
    <s v="A1186"/>
    <s v="Data Analytics Course"/>
    <n v="187"/>
    <n v="5972"/>
    <n v="220.64"/>
    <n v="30"/>
    <n v="7"/>
    <n v="3.6999999999999998E-2"/>
    <n v="1980"/>
    <d v="2024-11-14T00:00:00"/>
    <s v="Hyderabad"/>
    <x v="0"/>
    <s v="data analytics course"/>
    <d v="2024-11-14T00:00:00"/>
    <n v="3.131279303415941E-2"/>
    <n v="1.1798930481283423"/>
    <n v="7.3546666666666658"/>
    <n v="31.52"/>
    <n v="8.97389412617839"/>
  </r>
  <r>
    <s v="A1187"/>
    <s v="Data Analytics Course"/>
    <n v="167"/>
    <n v="3662"/>
    <n v="235.43"/>
    <n v="10"/>
    <n v="7"/>
    <n v="4.2000000000000003E-2"/>
    <n v="1684"/>
    <d v="2024-11-25T00:00:00"/>
    <s v="Hyderabad"/>
    <x v="1"/>
    <s v="data anaytics training"/>
    <d v="2024-11-25T00:00:00"/>
    <n v="4.5603495357728015E-2"/>
    <n v="1.4097604790419163"/>
    <n v="23.542999999999999"/>
    <n v="33.632857142857141"/>
    <n v="7.1528692180265896"/>
  </r>
  <r>
    <s v="A1188"/>
    <s v="Data Analytics Course"/>
    <n v="140"/>
    <n v="3359"/>
    <n v="182.13"/>
    <n v="29"/>
    <n v="7"/>
    <n v="4.4999999999999998E-2"/>
    <n v="1973"/>
    <d v="2024-11-28T00:00:00"/>
    <s v="Hyderabad"/>
    <x v="0"/>
    <s v="data analitics online"/>
    <d v="2024-11-28T00:00:00"/>
    <n v="4.1679071152128606E-2"/>
    <n v="1.3009285714285714"/>
    <n v="6.280344827586207"/>
    <n v="26.018571428571427"/>
    <n v="10.832921539559656"/>
  </r>
  <r>
    <s v="A1189"/>
    <s v="Data Analytics Course"/>
    <n v="198"/>
    <n v="3700"/>
    <n v="220.67"/>
    <n v="14"/>
    <n v="5"/>
    <n v="4.5999999999999999E-2"/>
    <n v="1531"/>
    <d v="2024-11-10T00:00:00"/>
    <s v="Hyderabad"/>
    <x v="1"/>
    <s v="analytics for data"/>
    <d v="2024-11-10T00:00:00"/>
    <n v="5.3513513513513515E-2"/>
    <n v="1.1144949494949494"/>
    <n v="15.762142857142857"/>
    <n v="44.134"/>
    <n v="6.9379616622105411"/>
  </r>
  <r>
    <s v="A1190"/>
    <s v="Data Analytics Course"/>
    <n v="196"/>
    <n v="3835"/>
    <n v="218.07"/>
    <n v="10"/>
    <n v="9"/>
    <n v="4.1000000000000002E-2"/>
    <n v="1871"/>
    <d v="2024-04-11T00:00:00"/>
    <s v="Hyderabad"/>
    <x v="2"/>
    <s v="online data analytic"/>
    <d v="2024-04-11T00:00:00"/>
    <n v="5.1108213820078227E-2"/>
    <n v="1.1126020408163264"/>
    <n v="21.806999999999999"/>
    <n v="24.23"/>
    <n v="8.5798138212500579"/>
  </r>
  <r>
    <s v="A1191"/>
    <s v="Data Analytics Course"/>
    <n v="140"/>
    <n v="5638"/>
    <n v="208.02"/>
    <n v="22"/>
    <n v="5"/>
    <n v="4.5999999999999999E-2"/>
    <n v="1652"/>
    <d v="2024-11-18T00:00:00"/>
    <s v="Hyderabad"/>
    <x v="0"/>
    <s v="data anaytics training"/>
    <d v="2024-11-18T00:00:00"/>
    <n v="2.4831500532103583E-2"/>
    <n v="1.485857142857143"/>
    <n v="9.4554545454545451"/>
    <n v="41.603999999999999"/>
    <n v="7.941544082299778"/>
  </r>
  <r>
    <s v="A1192"/>
    <s v="Data Analytics Course"/>
    <n v="157"/>
    <n v="5825"/>
    <n v="230.6"/>
    <n v="16"/>
    <n v="3"/>
    <n v="1.9E-2"/>
    <n v="1041"/>
    <d v="2024-11-16T00:00:00"/>
    <s v="Hyderabad"/>
    <x v="0"/>
    <s v="data anaytics training"/>
    <d v="2024-11-16T00:00:00"/>
    <n v="2.6952789699570816E-2"/>
    <n v="1.4687898089171973"/>
    <n v="14.4125"/>
    <n v="76.86666666666666"/>
    <n v="4.5143104943625323"/>
  </r>
  <r>
    <s v="A1193"/>
    <s v="Data Analytics Course"/>
    <n v="91"/>
    <n v="5428"/>
    <n v="248.38"/>
    <n v="11"/>
    <n v="3"/>
    <n v="3.3000000000000002E-2"/>
    <n v="1835"/>
    <s v="22-11-2024"/>
    <s v="Hyderabad"/>
    <x v="2"/>
    <s v="learn data analytics"/>
    <d v="2024-11-22T00:00:00"/>
    <n v="1.6764922623434046E-2"/>
    <n v="2.7294505494505494"/>
    <n v="22.58"/>
    <n v="82.793333333333337"/>
    <n v="7.3878734197600453"/>
  </r>
  <r>
    <s v="A1194"/>
    <s v="Data Analytics Course"/>
    <n v="140"/>
    <n v="3571"/>
    <n v="238.12"/>
    <n v="21"/>
    <n v="9"/>
    <n v="6.4000000000000001E-2"/>
    <n v="1762"/>
    <d v="2024-11-16T00:00:00"/>
    <s v="Hyderabad"/>
    <x v="0"/>
    <s v="learn data analytics"/>
    <d v="2024-11-16T00:00:00"/>
    <n v="3.9204704564547749E-2"/>
    <n v="1.7008571428571428"/>
    <n v="11.339047619047619"/>
    <n v="26.457777777777778"/>
    <n v="7.3996304384344027"/>
  </r>
  <r>
    <s v="A1195"/>
    <s v="Data Analytics Course"/>
    <n v="154"/>
    <n v="3638"/>
    <n v="182.17"/>
    <n v="11"/>
    <n v="8"/>
    <n v="5.6000000000000001E-2"/>
    <n v="1413"/>
    <d v="2024-11-04T00:00:00"/>
    <s v="Hyderabad"/>
    <x v="1"/>
    <s v="online data analytic"/>
    <d v="2024-11-04T00:00:00"/>
    <n v="4.2330951072017592E-2"/>
    <n v="1.1829220779220779"/>
    <n v="16.560909090909089"/>
    <n v="22.771249999999998"/>
    <n v="7.7564911895482247"/>
  </r>
  <r>
    <s v="A1196"/>
    <s v="Data Analytics Course"/>
    <n v="133"/>
    <n v="4505"/>
    <n v="200.52"/>
    <n v="23"/>
    <n v="3"/>
    <n v="3.9E-2"/>
    <n v="1562"/>
    <s v="26-11-2024"/>
    <s v="Hyderabad"/>
    <x v="2"/>
    <s v="analytics for data"/>
    <d v="2024-11-26T00:00:00"/>
    <n v="2.9522752497225305E-2"/>
    <n v="1.5076691729323308"/>
    <n v="8.7182608695652171"/>
    <n v="66.84"/>
    <n v="7.7897466586874122"/>
  </r>
  <r>
    <s v="A1197"/>
    <s v="Data Analytics Course"/>
    <n v="139"/>
    <n v="5016"/>
    <n v="238.59"/>
    <n v="26"/>
    <n v="9"/>
    <n v="4.5999999999999999E-2"/>
    <n v="1620"/>
    <d v="2024-11-20T00:00:00"/>
    <s v="Hyderabad"/>
    <x v="1"/>
    <s v="data analitics online"/>
    <d v="2024-11-20T00:00:00"/>
    <n v="2.7711323763955343E-2"/>
    <n v="1.7164748201438849"/>
    <n v="9.1765384615384615"/>
    <n v="26.51"/>
    <n v="6.789890607317993"/>
  </r>
  <r>
    <s v="A1198"/>
    <s v="Data Analytics Course"/>
    <n v="141"/>
    <n v="3071"/>
    <n v="208.2"/>
    <n v="10"/>
    <n v="6"/>
    <n v="4.2999999999999997E-2"/>
    <n v="1647"/>
    <s v="18-11-2024"/>
    <s v="Hyderabad"/>
    <x v="2"/>
    <s v="data analitics online"/>
    <d v="2024-11-18T00:00:00"/>
    <n v="4.5913383262780855E-2"/>
    <n v="1.4765957446808511"/>
    <n v="20.82"/>
    <n v="34.699999999999996"/>
    <n v="7.9106628242074937"/>
  </r>
  <r>
    <s v="A1199"/>
    <s v="Data Analytics Course"/>
    <n v="135"/>
    <n v="5682"/>
    <n v="215.57"/>
    <n v="30"/>
    <n v="3"/>
    <n v="4.5999999999999999E-2"/>
    <n v="1445"/>
    <d v="2024-11-15T00:00:00"/>
    <s v="Hyderabad"/>
    <x v="2"/>
    <s v="data anaytics training"/>
    <d v="2024-11-15T00:00:00"/>
    <n v="2.3759239704329461E-2"/>
    <n v="1.5968148148148147"/>
    <n v="7.1856666666666662"/>
    <n v="71.856666666666669"/>
    <n v="6.7031590666604819"/>
  </r>
  <r>
    <s v="A1200"/>
    <s v="Data Analytics Course"/>
    <n v="199"/>
    <n v="5067"/>
    <n v="247.38"/>
    <n v="24"/>
    <n v="8"/>
    <n v="5.8999999999999997E-2"/>
    <n v="1365"/>
    <d v="2024-11-19T00:00:00"/>
    <s v="Hyderabad"/>
    <x v="1"/>
    <s v="analytics for data"/>
    <d v="2024-11-19T00:00:00"/>
    <n v="3.9273731991316362E-2"/>
    <n v="1.2431155778894472"/>
    <n v="10.307499999999999"/>
    <n v="30.922499999999999"/>
    <n v="5.5178268251273348"/>
  </r>
  <r>
    <s v="A1201"/>
    <s v="Data Analytics Course"/>
    <n v="138"/>
    <n v="3971"/>
    <n v="184.87"/>
    <n v="28"/>
    <n v="3"/>
    <n v="2.1999999999999999E-2"/>
    <n v="1718"/>
    <d v="2024-11-07T00:00:00"/>
    <s v="Hyderabad"/>
    <x v="2"/>
    <s v="learn data analytics"/>
    <d v="2024-11-07T00:00:00"/>
    <n v="3.4751951649458573E-2"/>
    <n v="1.3396376811594204"/>
    <n v="6.6025"/>
    <n v="61.623333333333335"/>
    <n v="9.2930167144479903"/>
  </r>
  <r>
    <s v="A1202"/>
    <s v="Data Analytics Course"/>
    <n v="175"/>
    <n v="4481"/>
    <n v="236.38"/>
    <n v="21"/>
    <n v="10"/>
    <n v="5.7000000000000002E-2"/>
    <n v="1257"/>
    <s v="20-11-2024"/>
    <s v="Hyderabad"/>
    <x v="0"/>
    <s v="data analytics course"/>
    <d v="2024-11-20T00:00:00"/>
    <n v="3.9053782637804062E-2"/>
    <n v="1.350742857142857"/>
    <n v="11.256190476190476"/>
    <n v="23.637999999999998"/>
    <n v="5.3177087740079534"/>
  </r>
  <r>
    <s v="A1203"/>
    <s v="Data Analytics Course"/>
    <n v="170"/>
    <n v="5476"/>
    <n v="186.29"/>
    <n v="25"/>
    <n v="4"/>
    <n v="2.4E-2"/>
    <n v="1731"/>
    <d v="2024-08-11T00:00:00"/>
    <s v="Hyderabad"/>
    <x v="1"/>
    <s v="analytics for data"/>
    <d v="2024-08-11T00:00:00"/>
    <n v="3.1044558071585099E-2"/>
    <n v="1.0958235294117646"/>
    <n v="7.4516"/>
    <n v="46.572499999999998"/>
    <n v="9.2919641419292507"/>
  </r>
  <r>
    <s v="A1204"/>
    <s v="Data Analytics Course"/>
    <n v="138"/>
    <n v="4426"/>
    <n v="203.75"/>
    <n v="24"/>
    <n v="10"/>
    <n v="7.1999999999999995E-2"/>
    <n v="1838"/>
    <d v="2024-11-05T00:00:00"/>
    <s v="Hyderabad"/>
    <x v="1"/>
    <s v="data analytics course"/>
    <d v="2024-11-05T00:00:00"/>
    <n v="3.1179394487121554E-2"/>
    <n v="1.4764492753623188"/>
    <n v="8.4895833333333339"/>
    <n v="20.375"/>
    <n v="9.0208588957055209"/>
  </r>
  <r>
    <s v="A1205"/>
    <s v="Data Analytics Course"/>
    <n v="108"/>
    <n v="4080"/>
    <n v="247.8"/>
    <n v="18"/>
    <n v="4"/>
    <n v="3.6999999999999998E-2"/>
    <n v="1363"/>
    <d v="2024-11-30T00:00:00"/>
    <s v="Hyderabad"/>
    <x v="2"/>
    <s v="online data analytic"/>
    <d v="2024-11-30T00:00:00"/>
    <n v="2.6470588235294117E-2"/>
    <n v="2.2944444444444447"/>
    <n v="13.766666666666667"/>
    <n v="61.95"/>
    <n v="5.5004035512510088"/>
  </r>
  <r>
    <s v="A1206"/>
    <s v="Data Analytics Course"/>
    <n v="150"/>
    <n v="4113"/>
    <n v="219.67"/>
    <n v="12"/>
    <n v="7"/>
    <n v="4.7E-2"/>
    <n v="1196"/>
    <d v="2024-11-22T00:00:00"/>
    <s v="Hyderabad"/>
    <x v="1"/>
    <s v="learn data analytics"/>
    <d v="2024-11-22T00:00:00"/>
    <n v="3.6469730123997082E-2"/>
    <n v="1.4644666666666666"/>
    <n v="18.305833333333332"/>
    <n v="31.381428571428568"/>
    <n v="5.4445304320116543"/>
  </r>
  <r>
    <s v="A1207"/>
    <s v="Data Analytics Course"/>
    <n v="90"/>
    <n v="5119"/>
    <n v="226.58"/>
    <n v="14"/>
    <n v="10"/>
    <n v="0.111"/>
    <n v="1348"/>
    <d v="2024-11-07T00:00:00"/>
    <s v="Hyderabad"/>
    <x v="0"/>
    <s v="analytics for data"/>
    <d v="2024-11-07T00:00:00"/>
    <n v="1.758155889822231E-2"/>
    <n v="2.5175555555555555"/>
    <n v="16.184285714285714"/>
    <n v="22.658000000000001"/>
    <n v="5.9493335687174502"/>
  </r>
  <r>
    <s v="A1208"/>
    <s v="Data Analytics Course"/>
    <n v="98"/>
    <n v="3422"/>
    <n v="223.55"/>
    <n v="17"/>
    <n v="7"/>
    <n v="4.5999999999999999E-2"/>
    <n v="1414"/>
    <d v="2024-11-19T00:00:00"/>
    <s v="Hyderabad"/>
    <x v="2"/>
    <s v="online data analytic"/>
    <d v="2024-11-19T00:00:00"/>
    <n v="2.863822326125073E-2"/>
    <n v="2.281122448979592"/>
    <n v="13.15"/>
    <n v="31.935714285714287"/>
    <n v="6.3252068888391859"/>
  </r>
  <r>
    <s v="A1209"/>
    <s v="Data Analytics Course"/>
    <n v="130"/>
    <n v="3327"/>
    <n v="224.83"/>
    <n v="13"/>
    <n v="3"/>
    <n v="2.3E-2"/>
    <n v="1668"/>
    <s v="16-11-2024"/>
    <s v="Hyderabad"/>
    <x v="1"/>
    <s v="online data analytic"/>
    <d v="2024-11-16T00:00:00"/>
    <n v="3.9074241058010217E-2"/>
    <n v="1.7294615384615386"/>
    <n v="17.294615384615387"/>
    <n v="74.943333333333342"/>
    <n v="7.418938753725036"/>
  </r>
  <r>
    <s v="A1210"/>
    <s v="Data Analytics Course"/>
    <n v="199"/>
    <n v="4518.5"/>
    <n v="199.98"/>
    <n v="15"/>
    <n v="8"/>
    <n v="0.04"/>
    <n v="1467"/>
    <d v="2024-11-08T00:00:00"/>
    <s v="Hyderabad"/>
    <x v="2"/>
    <s v="data anaytics training"/>
    <d v="2024-11-08T00:00:00"/>
    <n v="4.4041164103131573E-2"/>
    <n v="1.0049246231155777"/>
    <n v="13.331999999999999"/>
    <n v="24.997499999999999"/>
    <n v="7.3357335733573361"/>
  </r>
  <r>
    <s v="A1211"/>
    <s v="Data Analytics Course"/>
    <n v="101"/>
    <n v="3241"/>
    <n v="183.34"/>
    <n v="24"/>
    <n v="7"/>
    <n v="4.5999999999999999E-2"/>
    <n v="1483"/>
    <d v="2024-10-11T00:00:00"/>
    <s v="Hyderabad"/>
    <x v="2"/>
    <s v="data anaytics training"/>
    <d v="2024-10-11T00:00:00"/>
    <n v="3.1163221228016045E-2"/>
    <n v="1.8152475247524753"/>
    <n v="7.6391666666666671"/>
    <n v="26.19142857142857"/>
    <n v="8.0887967710265087"/>
  </r>
  <r>
    <s v="A1212"/>
    <s v="Data Analytics Course"/>
    <n v="118"/>
    <n v="3970"/>
    <n v="215.57"/>
    <n v="27"/>
    <n v="9"/>
    <n v="7.5999999999999998E-2"/>
    <n v="1036"/>
    <d v="2024-11-19T00:00:00"/>
    <s v="Hyderabad"/>
    <x v="0"/>
    <s v="data analytics course"/>
    <d v="2024-11-19T00:00:00"/>
    <n v="2.9722921914357683E-2"/>
    <n v="1.8268644067796609"/>
    <n v="7.9840740740740737"/>
    <n v="23.952222222222222"/>
    <n v="4.8058635246091761"/>
  </r>
  <r>
    <s v="A1213"/>
    <s v="Data Analytics Course"/>
    <n v="199"/>
    <n v="5734"/>
    <n v="247.99"/>
    <n v="18"/>
    <n v="7"/>
    <n v="4.5999999999999999E-2"/>
    <n v="1455"/>
    <d v="2024-11-11T00:00:00"/>
    <s v="Hyderabad"/>
    <x v="0"/>
    <s v="data analitics online"/>
    <d v="2024-11-11T00:00:00"/>
    <n v="3.470526682943844E-2"/>
    <n v="1.2461809045226131"/>
    <n v="13.777222222222223"/>
    <n v="35.427142857142861"/>
    <n v="5.8671720633896527"/>
  </r>
  <r>
    <s v="A1214"/>
    <s v="Data Analytics Course"/>
    <n v="183"/>
    <n v="4001"/>
    <n v="237.85"/>
    <n v="23"/>
    <n v="4"/>
    <n v="2.1999999999999999E-2"/>
    <n v="1430"/>
    <d v="2024-11-21T00:00:00"/>
    <s v="Hyderabad"/>
    <x v="1"/>
    <s v="online data analytic"/>
    <d v="2024-11-21T00:00:00"/>
    <n v="4.5738565358660332E-2"/>
    <n v="1.2997267759562841"/>
    <n v="10.341304347826087"/>
    <n v="59.462499999999999"/>
    <n v="6.0121925583350855"/>
  </r>
  <r>
    <s v="A1215"/>
    <s v="Data Analytics Course"/>
    <n v="126"/>
    <n v="4206"/>
    <n v="233.76"/>
    <n v="29"/>
    <n v="10"/>
    <n v="4.1000000000000002E-2"/>
    <n v="1998"/>
    <d v="2024-11-06T00:00:00"/>
    <s v="Hyderabad"/>
    <x v="2"/>
    <s v="online data analytic"/>
    <d v="2024-11-06T00:00:00"/>
    <n v="2.9957203994293864E-2"/>
    <n v="1.8552380952380951"/>
    <n v="8.0606896551724141"/>
    <n v="23.375999999999998"/>
    <n v="8.5472279260780297"/>
  </r>
  <r>
    <s v="A1216"/>
    <s v="Data Analytics Course"/>
    <n v="199"/>
    <n v="4745"/>
    <n v="215.57"/>
    <n v="13"/>
    <n v="9"/>
    <n v="4.5999999999999999E-2"/>
    <n v="1800"/>
    <d v="2024-11-28T00:00:00"/>
    <s v="Hyderabad"/>
    <x v="2"/>
    <s v="analytics for data"/>
    <d v="2024-11-28T00:00:00"/>
    <n v="4.1938883034773444E-2"/>
    <n v="1.0832663316582913"/>
    <n v="16.58230769230769"/>
    <n v="23.952222222222222"/>
    <n v="8.349955930788143"/>
  </r>
  <r>
    <s v="A1217"/>
    <s v="Data Analytics Course"/>
    <n v="92"/>
    <n v="4042"/>
    <n v="200.75"/>
    <n v="15"/>
    <n v="7"/>
    <n v="7.5999999999999998E-2"/>
    <n v="1234"/>
    <d v="2024-11-24T00:00:00"/>
    <s v="Hyderabad"/>
    <x v="2"/>
    <s v="learn data analytics"/>
    <d v="2024-11-24T00:00:00"/>
    <n v="2.2761009401286492E-2"/>
    <n v="2.1820652173913042"/>
    <n v="13.383333333333333"/>
    <n v="28.678571428571427"/>
    <n v="6.1469489414694891"/>
  </r>
  <r>
    <s v="A1218"/>
    <s v="Data Analytics Course"/>
    <n v="139"/>
    <n v="4883"/>
    <n v="249.61"/>
    <n v="10"/>
    <n v="3"/>
    <n v="4.5999999999999999E-2"/>
    <n v="1464"/>
    <d v="2024-11-12T00:00:00"/>
    <s v="Hyderabad"/>
    <x v="2"/>
    <s v="online data analytic"/>
    <d v="2024-11-12T00:00:00"/>
    <n v="2.8466106901494984E-2"/>
    <n v="1.7957553956834533"/>
    <n v="24.961000000000002"/>
    <n v="83.203333333333333"/>
    <n v="5.8651496334281479"/>
  </r>
  <r>
    <s v="A1219"/>
    <s v="Data Analytics Course"/>
    <n v="92"/>
    <n v="3748"/>
    <n v="208.15"/>
    <n v="14"/>
    <n v="8"/>
    <n v="8.6999999999999994E-2"/>
    <n v="1297"/>
    <d v="2024-11-02T00:00:00"/>
    <s v="Hyderabad"/>
    <x v="0"/>
    <s v="analytics for data"/>
    <d v="2024-11-02T00:00:00"/>
    <n v="2.454642475987193E-2"/>
    <n v="2.2625000000000002"/>
    <n v="14.867857142857144"/>
    <n v="26.018750000000001"/>
    <n v="6.2310833533509484"/>
  </r>
  <r>
    <s v="A1220"/>
    <s v="Data Analytics Course"/>
    <n v="135"/>
    <n v="3480"/>
    <n v="224.94"/>
    <n v="11"/>
    <n v="4"/>
    <n v="0.03"/>
    <n v="1398"/>
    <d v="2024-11-23T00:00:00"/>
    <s v="Hyderabad"/>
    <x v="2"/>
    <s v="data analitics online"/>
    <d v="2024-11-23T00:00:00"/>
    <n v="3.8793103448275863E-2"/>
    <n v="1.6662222222222223"/>
    <n v="20.449090909090909"/>
    <n v="56.234999999999999"/>
    <n v="6.2149906641771135"/>
  </r>
  <r>
    <s v="A1221"/>
    <s v="Data Analytics Course"/>
    <n v="177"/>
    <n v="3007"/>
    <n v="223.22"/>
    <n v="30"/>
    <n v="8"/>
    <n v="4.4999999999999998E-2"/>
    <n v="1766"/>
    <d v="2024-11-02T00:00:00"/>
    <s v="Hyderabad"/>
    <x v="1"/>
    <s v="data analitics online"/>
    <d v="2024-11-02T00:00:00"/>
    <n v="5.8862653807781842E-2"/>
    <n v="1.2611299435028249"/>
    <n v="7.440666666666667"/>
    <n v="27.9025"/>
    <n v="7.9114774661768656"/>
  </r>
  <r>
    <s v="A1222"/>
    <s v="Data Analytics Course"/>
    <n v="117"/>
    <n v="3380"/>
    <n v="186.73"/>
    <n v="21"/>
    <n v="10"/>
    <n v="5.5E-2"/>
    <n v="1958"/>
    <d v="2024-11-19T00:00:00"/>
    <s v="Hyderabad"/>
    <x v="0"/>
    <s v="data anaytics training"/>
    <d v="2024-11-19T00:00:00"/>
    <n v="3.4615384615384617E-2"/>
    <n v="1.5959829059829058"/>
    <n v="8.8919047619047618"/>
    <n v="18.672999999999998"/>
    <n v="10.485728056552242"/>
  </r>
  <r>
    <s v="A1223"/>
    <s v="Data Analytics Course"/>
    <n v="127"/>
    <n v="4823"/>
    <n v="194.69"/>
    <n v="11"/>
    <n v="10"/>
    <n v="5.7000000000000002E-2"/>
    <n v="1496"/>
    <s v="15-11-2024"/>
    <s v="Hyderabad"/>
    <x v="0"/>
    <s v="data analytics course"/>
    <d v="2024-11-15T00:00:00"/>
    <n v="2.6332158407630105E-2"/>
    <n v="1.5329921259842521"/>
    <n v="17.699090909090909"/>
    <n v="19.469000000000001"/>
    <n v="7.6840104781961065"/>
  </r>
  <r>
    <s v="A1224"/>
    <s v="Data Analytics Course"/>
    <n v="132"/>
    <n v="4490"/>
    <n v="202.45"/>
    <n v="10"/>
    <n v="7"/>
    <n v="5.2999999999999999E-2"/>
    <n v="1441"/>
    <d v="2024-11-10T00:00:00"/>
    <s v="Hyderabad"/>
    <x v="1"/>
    <s v="data analitics online"/>
    <d v="2024-11-10T00:00:00"/>
    <n v="2.9398663697104678E-2"/>
    <n v="1.5337121212121212"/>
    <n v="20.244999999999997"/>
    <n v="28.921428571428571"/>
    <n v="7.1178068658928133"/>
  </r>
  <r>
    <s v="A1225"/>
    <s v="Data Analytics Course"/>
    <n v="102"/>
    <n v="5149"/>
    <n v="229.48"/>
    <n v="27"/>
    <n v="9"/>
    <n v="8.7999999999999995E-2"/>
    <n v="1137"/>
    <s v="26-11-2024"/>
    <s v="Hyderabad"/>
    <x v="0"/>
    <s v="learn data analytics"/>
    <d v="2024-11-26T00:00:00"/>
    <n v="1.9809671780928337E-2"/>
    <n v="2.2498039215686272"/>
    <n v="8.4992592592592597"/>
    <n v="25.497777777777777"/>
    <n v="4.9546801464179886"/>
  </r>
  <r>
    <s v="A1226"/>
    <s v="Data Analytics Course"/>
    <n v="91"/>
    <n v="4290"/>
    <n v="213.74"/>
    <n v="20"/>
    <n v="10"/>
    <n v="4.5999999999999999E-2"/>
    <n v="1797"/>
    <d v="2024-11-16T00:00:00"/>
    <s v="Hyderabad"/>
    <x v="1"/>
    <s v="online data analytic"/>
    <d v="2024-11-16T00:00:00"/>
    <n v="2.1212121212121213E-2"/>
    <n v="2.3487912087912091"/>
    <n v="10.687000000000001"/>
    <n v="21.374000000000002"/>
    <n v="8.4074108730232986"/>
  </r>
  <r>
    <s v="A1227"/>
    <s v="Data Analytics Course"/>
    <n v="163"/>
    <n v="5643"/>
    <n v="217.4"/>
    <n v="30"/>
    <n v="6"/>
    <n v="4.5999999999999999E-2"/>
    <n v="1678"/>
    <d v="2024-11-01T00:00:00"/>
    <s v="Hyderabad"/>
    <x v="0"/>
    <s v="data analitics online"/>
    <d v="2024-11-01T00:00:00"/>
    <n v="2.8885344674818358E-2"/>
    <n v="1.3337423312883436"/>
    <n v="7.246666666666667"/>
    <n v="36.233333333333334"/>
    <n v="7.7184912603495857"/>
  </r>
  <r>
    <s v="A1228"/>
    <s v="Data Analytics Course"/>
    <n v="92"/>
    <n v="3916"/>
    <n v="188.1"/>
    <n v="20"/>
    <n v="6"/>
    <n v="6.5000000000000002E-2"/>
    <n v="1005"/>
    <d v="2024-11-14T00:00:00"/>
    <s v="Hyderabad"/>
    <x v="0"/>
    <s v="online data analytic"/>
    <d v="2024-11-14T00:00:00"/>
    <n v="2.3493360572012258E-2"/>
    <n v="2.0445652173913045"/>
    <n v="9.4049999999999994"/>
    <n v="31.349999999999998"/>
    <n v="5.3429027113237639"/>
  </r>
  <r>
    <s v="A1229"/>
    <s v="Data Analytics Course"/>
    <n v="165"/>
    <n v="4551"/>
    <n v="185.35"/>
    <n v="30"/>
    <n v="7"/>
    <n v="4.5999999999999999E-2"/>
    <n v="1662"/>
    <d v="2024-11-06T00:00:00"/>
    <s v="Hyderabad"/>
    <x v="0"/>
    <s v="data analitics online"/>
    <d v="2024-11-06T00:00:00"/>
    <n v="3.6255767963085037E-2"/>
    <n v="1.1233333333333333"/>
    <n v="6.1783333333333328"/>
    <n v="26.478571428571428"/>
    <n v="8.9668195306177498"/>
  </r>
  <r>
    <s v="A1230"/>
    <s v="Data Analytics Course"/>
    <n v="127"/>
    <n v="3344"/>
    <n v="201.7"/>
    <n v="10"/>
    <n v="8"/>
    <n v="4.5999999999999999E-2"/>
    <n v="1190"/>
    <d v="2024-11-11T00:00:00"/>
    <s v="Hyderabad"/>
    <x v="0"/>
    <s v="analytics for data"/>
    <d v="2024-11-11T00:00:00"/>
    <n v="3.7978468899521528E-2"/>
    <n v="1.5881889763779526"/>
    <n v="20.169999999999998"/>
    <n v="25.212499999999999"/>
    <n v="5.8998512642538428"/>
  </r>
  <r>
    <s v="A1231"/>
    <s v="Data Analytics Course"/>
    <n v="178"/>
    <n v="4441"/>
    <n v="231.97"/>
    <n v="22"/>
    <n v="4"/>
    <n v="2.1999999999999999E-2"/>
    <n v="1886"/>
    <d v="2024-11-24T00:00:00"/>
    <s v="Hyderabad"/>
    <x v="1"/>
    <s v="analytics for data"/>
    <d v="2024-11-24T00:00:00"/>
    <n v="4.0081062823688361E-2"/>
    <n v="1.3032022471910112"/>
    <n v="10.54409090909091"/>
    <n v="57.9925"/>
    <n v="8.1303616847006079"/>
  </r>
  <r>
    <s v="A1232"/>
    <s v="Data Analytics Course"/>
    <n v="101"/>
    <n v="4518.5"/>
    <n v="234.17"/>
    <n v="29"/>
    <n v="5"/>
    <n v="0.05"/>
    <n v="1568"/>
    <d v="2024-11-27T00:00:00"/>
    <s v="Hyderabad"/>
    <x v="1"/>
    <s v="data anaytics training"/>
    <d v="2024-11-27T00:00:00"/>
    <n v="2.2352550625207482E-2"/>
    <n v="2.3185148514851486"/>
    <n v="8.0748275862068954"/>
    <n v="46.833999999999996"/>
    <n v="6.6959900926677207"/>
  </r>
  <r>
    <s v="A1233"/>
    <s v="Data Analytics Course"/>
    <n v="161"/>
    <n v="5977"/>
    <n v="193.27"/>
    <n v="24"/>
    <n v="7"/>
    <n v="4.5999999999999999E-2"/>
    <n v="1366"/>
    <s v="13-11-2024"/>
    <s v="Hyderabad"/>
    <x v="0"/>
    <s v="online data analytic"/>
    <d v="2024-11-13T00:00:00"/>
    <n v="2.6936590262673581E-2"/>
    <n v="1.2004347826086956"/>
    <n v="8.0529166666666665"/>
    <n v="27.610000000000003"/>
    <n v="7.0678325658405337"/>
  </r>
  <r>
    <s v="A1234"/>
    <s v="Data Analytics Course"/>
    <n v="95"/>
    <n v="4562"/>
    <n v="187.62"/>
    <n v="24"/>
    <n v="9"/>
    <n v="9.5000000000000001E-2"/>
    <n v="1239"/>
    <d v="2024-11-26T00:00:00"/>
    <s v="Hyderabad"/>
    <x v="0"/>
    <s v="data anaytics training"/>
    <d v="2024-11-26T00:00:00"/>
    <n v="2.0824199912319159E-2"/>
    <n v="1.9749473684210528"/>
    <n v="7.8174999999999999"/>
    <n v="20.846666666666668"/>
    <n v="6.6037735849056602"/>
  </r>
  <r>
    <s v="A1235"/>
    <s v="Data Analytics Course"/>
    <n v="85"/>
    <n v="5099"/>
    <n v="232.56"/>
    <n v="28"/>
    <n v="9"/>
    <n v="4.5999999999999999E-2"/>
    <n v="1526"/>
    <d v="2024-02-11T00:00:00"/>
    <s v="Hyderabad"/>
    <x v="1"/>
    <s v="data anaytics training"/>
    <d v="2024-02-11T00:00:00"/>
    <n v="1.6669935281427732E-2"/>
    <n v="2.7360000000000002"/>
    <n v="8.305714285714286"/>
    <n v="25.84"/>
    <n v="6.5617475060199517"/>
  </r>
  <r>
    <s v="A1236"/>
    <s v="Data Analytics Course"/>
    <n v="192"/>
    <n v="5852"/>
    <n v="181.05"/>
    <n v="16"/>
    <n v="8"/>
    <n v="4.2000000000000003E-2"/>
    <n v="1600"/>
    <d v="2024-11-21T00:00:00"/>
    <s v="Hyderabad"/>
    <x v="0"/>
    <s v="analytics for data"/>
    <d v="2024-11-21T00:00:00"/>
    <n v="3.2809295967190705E-2"/>
    <n v="0.94296875000000002"/>
    <n v="11.315625000000001"/>
    <n v="22.631250000000001"/>
    <n v="8.8373377520022096"/>
  </r>
  <r>
    <s v="A1237"/>
    <s v="Data Analytics Course"/>
    <n v="80"/>
    <n v="3823"/>
    <n v="181.57"/>
    <n v="13"/>
    <n v="4"/>
    <n v="4.5999999999999999E-2"/>
    <n v="1564"/>
    <d v="2024-11-13T00:00:00"/>
    <s v="Hyderabad"/>
    <x v="0"/>
    <s v="online data analytic"/>
    <d v="2024-11-13T00:00:00"/>
    <n v="2.0925974365681402E-2"/>
    <n v="2.269625"/>
    <n v="13.966923076923077"/>
    <n v="45.392499999999998"/>
    <n v="8.6137577793688394"/>
  </r>
  <r>
    <s v="A1238"/>
    <s v="Data Analytics Course"/>
    <n v="191"/>
    <n v="4612"/>
    <n v="238.23"/>
    <n v="20"/>
    <n v="10"/>
    <n v="5.1999999999999998E-2"/>
    <n v="1531"/>
    <d v="2024-01-11T00:00:00"/>
    <s v="Hyderabad"/>
    <x v="1"/>
    <s v="learn data analytics"/>
    <d v="2024-01-11T00:00:00"/>
    <n v="4.1413703382480488E-2"/>
    <n v="1.2472774869109946"/>
    <n v="11.9115"/>
    <n v="23.823"/>
    <n v="6.4265625655878775"/>
  </r>
  <r>
    <s v="A1239"/>
    <s v="Data Analytics Course"/>
    <n v="147"/>
    <n v="5881"/>
    <n v="196.34"/>
    <n v="23"/>
    <n v="7"/>
    <n v="4.8000000000000001E-2"/>
    <n v="1614"/>
    <d v="2024-11-18T00:00:00"/>
    <s v="Hyderabad"/>
    <x v="0"/>
    <s v="data anaytics training"/>
    <d v="2024-11-18T00:00:00"/>
    <n v="2.4995749022275124E-2"/>
    <n v="1.3356462585034015"/>
    <n v="8.5365217391304355"/>
    <n v="28.048571428571428"/>
    <n v="8.2204339411225416"/>
  </r>
  <r>
    <s v="A1240"/>
    <s v="Data Analytics Course"/>
    <n v="100"/>
    <n v="5204"/>
    <n v="197.53"/>
    <n v="26"/>
    <n v="4"/>
    <n v="0.04"/>
    <n v="1675"/>
    <s v="24-11-2024"/>
    <s v="Hyderabad"/>
    <x v="2"/>
    <s v="data analytics course"/>
    <d v="2024-11-24T00:00:00"/>
    <n v="1.921598770176787E-2"/>
    <n v="1.9753000000000001"/>
    <n v="7.5973076923076928"/>
    <n v="49.3825"/>
    <n v="8.4797245987951193"/>
  </r>
  <r>
    <s v="A1241"/>
    <s v="Data Analytics Course"/>
    <n v="82"/>
    <n v="5130"/>
    <n v="233.75"/>
    <n v="20"/>
    <n v="9"/>
    <n v="0.11"/>
    <n v="1505"/>
    <s v="15-11-2024"/>
    <s v="Hyderabad"/>
    <x v="1"/>
    <s v="data analitics online"/>
    <d v="2024-11-15T00:00:00"/>
    <n v="1.5984405458089667E-2"/>
    <n v="2.850609756097561"/>
    <n v="11.6875"/>
    <n v="25.972222222222221"/>
    <n v="6.4385026737967914"/>
  </r>
  <r>
    <s v="A1242"/>
    <s v="Data Analytics Course"/>
    <n v="123"/>
    <n v="5231"/>
    <n v="202.93"/>
    <n v="30"/>
    <n v="10"/>
    <n v="8.1000000000000003E-2"/>
    <n v="1551"/>
    <d v="2024-11-23T00:00:00"/>
    <s v="Hyderabad"/>
    <x v="0"/>
    <s v="online data analytic"/>
    <d v="2024-11-23T00:00:00"/>
    <n v="2.3513668514624355E-2"/>
    <n v="1.6498373983739838"/>
    <n v="6.764333333333334"/>
    <n v="20.292999999999999"/>
    <n v="7.6430296161237861"/>
  </r>
  <r>
    <s v="A1243"/>
    <s v="Data Analytics Course"/>
    <n v="165"/>
    <n v="5980"/>
    <n v="248.41"/>
    <n v="17"/>
    <n v="3"/>
    <n v="1.7999999999999999E-2"/>
    <n v="1803"/>
    <d v="2024-06-11T00:00:00"/>
    <s v="Hyderabad"/>
    <x v="2"/>
    <s v="online data analytic"/>
    <d v="2024-06-11T00:00:00"/>
    <n v="2.7591973244147156E-2"/>
    <n v="1.5055151515151515"/>
    <n v="14.61235294117647"/>
    <n v="82.803333333333327"/>
    <n v="7.2581619097459846"/>
  </r>
  <r>
    <s v="A1244"/>
    <s v="Data Analytics Course"/>
    <n v="167"/>
    <n v="3202"/>
    <n v="214.87"/>
    <n v="26"/>
    <n v="6"/>
    <n v="3.5999999999999997E-2"/>
    <n v="1571"/>
    <d v="2024-12-11T00:00:00"/>
    <s v="Hyderabad"/>
    <x v="0"/>
    <s v="data analitics online"/>
    <d v="2024-12-11T00:00:00"/>
    <n v="5.2154903185509055E-2"/>
    <n v="1.2866467065868263"/>
    <n v="8.2642307692307693"/>
    <n v="35.811666666666667"/>
    <n v="7.3113975892400056"/>
  </r>
  <r>
    <s v="A1245"/>
    <s v="Data Analytics Course"/>
    <n v="111"/>
    <n v="5847"/>
    <n v="196.71"/>
    <n v="21"/>
    <n v="9"/>
    <n v="8.1000000000000003E-2"/>
    <n v="1445"/>
    <d v="2024-11-30T00:00:00"/>
    <s v="Hyderabad"/>
    <x v="1"/>
    <s v="online data analytic"/>
    <d v="2024-11-30T00:00:00"/>
    <n v="1.8984094407388404E-2"/>
    <n v="1.7721621621621622"/>
    <n v="9.3671428571428574"/>
    <n v="21.856666666666669"/>
    <n v="7.3458390524121802"/>
  </r>
  <r>
    <s v="A1246"/>
    <s v="Data Analytics Course"/>
    <n v="94"/>
    <n v="4359"/>
    <n v="215.57"/>
    <n v="28"/>
    <n v="5"/>
    <n v="4.4999999999999998E-2"/>
    <n v="1920"/>
    <d v="2024-11-07T00:00:00"/>
    <s v="Hyderabad"/>
    <x v="2"/>
    <s v="learn data analytics"/>
    <d v="2024-11-07T00:00:00"/>
    <n v="2.1564579031888048E-2"/>
    <n v="2.2932978723404256"/>
    <n v="7.6989285714285716"/>
    <n v="43.113999999999997"/>
    <n v="8.9066196595073528"/>
  </r>
  <r>
    <s v="A1247"/>
    <s v="Data Analytics Course"/>
    <n v="179"/>
    <n v="3185"/>
    <n v="236.74"/>
    <n v="29"/>
    <n v="5"/>
    <n v="4.5999999999999999E-2"/>
    <n v="1156"/>
    <d v="2024-11-11T00:00:00"/>
    <s v="Hyderabad"/>
    <x v="0"/>
    <s v="data analytics course"/>
    <d v="2024-11-11T00:00:00"/>
    <n v="5.6200941915227627E-2"/>
    <n v="1.3225698324022346"/>
    <n v="8.1634482758620699"/>
    <n v="47.347999999999999"/>
    <n v="4.8829940018585791"/>
  </r>
  <r>
    <s v="A1248"/>
    <s v="Data Analytics Course"/>
    <n v="166"/>
    <n v="5592"/>
    <n v="183.03"/>
    <n v="22"/>
    <n v="4"/>
    <n v="2.4E-2"/>
    <n v="1636"/>
    <d v="2024-11-22T00:00:00"/>
    <s v="Hyderabad"/>
    <x v="2"/>
    <s v="online data analytic"/>
    <d v="2024-11-22T00:00:00"/>
    <n v="2.9685264663805437E-2"/>
    <n v="1.102590361445783"/>
    <n v="8.3195454545454552"/>
    <n v="45.7575"/>
    <n v="8.9384253947440317"/>
  </r>
  <r>
    <s v="A1249"/>
    <s v="Data Analytics Course"/>
    <n v="90"/>
    <n v="5062"/>
    <n v="191.4"/>
    <n v="23"/>
    <n v="6"/>
    <n v="4.5999999999999999E-2"/>
    <n v="1775"/>
    <d v="2024-11-19T00:00:00"/>
    <s v="Hyderabad"/>
    <x v="2"/>
    <s v="data analytics course"/>
    <d v="2024-11-19T00:00:00"/>
    <n v="1.7779533781114184E-2"/>
    <n v="2.1266666666666669"/>
    <n v="8.3217391304347821"/>
    <n v="31.900000000000002"/>
    <n v="9.2737722048066864"/>
  </r>
  <r>
    <s v="A1250"/>
    <s v="Data Analytics Course"/>
    <n v="106"/>
    <n v="5830"/>
    <n v="241.9"/>
    <n v="29"/>
    <n v="10"/>
    <n v="3.5000000000000003E-2"/>
    <n v="1897"/>
    <d v="2024-11-02T00:00:00"/>
    <s v="Hyderabad"/>
    <x v="0"/>
    <s v="data anaytics training"/>
    <d v="2024-11-02T00:00:00"/>
    <n v="1.8181818181818181E-2"/>
    <n v="2.2820754716981133"/>
    <n v="8.341379310344827"/>
    <n v="24.19"/>
    <n v="7.8420835055808187"/>
  </r>
  <r>
    <s v="A1251"/>
    <s v="Data Analytics Course"/>
    <n v="139"/>
    <n v="4629"/>
    <n v="236.96"/>
    <n v="10"/>
    <n v="6"/>
    <n v="4.5999999999999999E-2"/>
    <n v="1183"/>
    <d v="2024-06-11T00:00:00"/>
    <s v="Hyderabad"/>
    <x v="0"/>
    <s v="data anaytics training"/>
    <d v="2024-06-11T00:00:00"/>
    <n v="3.0028083819399438E-2"/>
    <n v="1.7047482014388491"/>
    <n v="23.696000000000002"/>
    <n v="39.493333333333332"/>
    <n v="4.9924037812288988"/>
  </r>
  <r>
    <s v="A1252"/>
    <s v="Data Analytics Course"/>
    <n v="158"/>
    <n v="4780"/>
    <n v="247.2"/>
    <n v="23"/>
    <n v="9"/>
    <n v="4.5999999999999999E-2"/>
    <n v="1005"/>
    <d v="2024-11-24T00:00:00"/>
    <s v="Hyderabad"/>
    <x v="0"/>
    <s v="learn data analytics"/>
    <d v="2024-11-24T00:00:00"/>
    <n v="3.3054393305439328E-2"/>
    <n v="1.5645569620253164"/>
    <n v="10.747826086956522"/>
    <n v="27.466666666666665"/>
    <n v="4.0655339805825248"/>
  </r>
  <r>
    <s v="A1253"/>
    <s v="Data Analytics Course"/>
    <n v="187"/>
    <n v="3800"/>
    <n v="241"/>
    <n v="16"/>
    <n v="8"/>
    <n v="4.2999999999999997E-2"/>
    <n v="1842"/>
    <d v="2024-11-09T00:00:00"/>
    <s v="Hyderabad"/>
    <x v="1"/>
    <s v="analytics for data"/>
    <d v="2024-11-09T00:00:00"/>
    <n v="4.9210526315789475E-2"/>
    <n v="1.2887700534759359"/>
    <n v="15.0625"/>
    <n v="30.125"/>
    <n v="7.6431535269709547"/>
  </r>
  <r>
    <s v="A1254"/>
    <s v="Data Analytics Course"/>
    <n v="95"/>
    <n v="4096"/>
    <n v="242.69"/>
    <n v="26"/>
    <n v="9"/>
    <n v="9.5000000000000001E-2"/>
    <n v="1550"/>
    <s v="22-11-2024"/>
    <s v="Hyderabad"/>
    <x v="2"/>
    <s v="online data analytic"/>
    <d v="2024-11-22T00:00:00"/>
    <n v="2.3193359375E-2"/>
    <n v="2.5546315789473684"/>
    <n v="9.3342307692307696"/>
    <n v="26.965555555555554"/>
    <n v="6.3867485269273558"/>
  </r>
  <r>
    <s v="A1255"/>
    <s v="Data Analytics Course"/>
    <n v="118"/>
    <n v="3562"/>
    <n v="231.5"/>
    <n v="12"/>
    <n v="3"/>
    <n v="2.5000000000000001E-2"/>
    <n v="1856"/>
    <d v="2024-11-19T00:00:00"/>
    <s v="Hyderabad"/>
    <x v="0"/>
    <s v="data analytics course"/>
    <d v="2024-11-19T00:00:00"/>
    <n v="3.3127456485120721E-2"/>
    <n v="1.9618644067796611"/>
    <n v="19.291666666666668"/>
    <n v="77.166666666666671"/>
    <n v="8.0172786177105824"/>
  </r>
  <r>
    <s v="A1256"/>
    <s v="Data Analytics Course"/>
    <n v="166"/>
    <n v="3910"/>
    <n v="191.32"/>
    <n v="27"/>
    <n v="7"/>
    <n v="4.2000000000000003E-2"/>
    <n v="1505"/>
    <d v="2024-11-15T00:00:00"/>
    <s v="Hyderabad"/>
    <x v="1"/>
    <s v="analytics for data"/>
    <d v="2024-11-15T00:00:00"/>
    <n v="4.2455242966751919E-2"/>
    <n v="1.1525301204819276"/>
    <n v="7.0859259259259257"/>
    <n v="27.331428571428571"/>
    <n v="7.8664018398494671"/>
  </r>
  <r>
    <s v="A1257"/>
    <s v="Data Analytics Course"/>
    <n v="146"/>
    <n v="5411"/>
    <n v="201.76"/>
    <n v="28"/>
    <n v="7"/>
    <n v="4.8000000000000001E-2"/>
    <n v="1393"/>
    <s v="14-11-2024"/>
    <s v="Hyderabad"/>
    <x v="0"/>
    <s v="data analitics online"/>
    <d v="2024-11-14T00:00:00"/>
    <n v="2.6982073553871742E-2"/>
    <n v="1.3819178082191781"/>
    <n v="7.2057142857142855"/>
    <n v="28.822857142857142"/>
    <n v="6.9042426645519432"/>
  </r>
  <r>
    <s v="A1258"/>
    <s v="Data Analytics Course"/>
    <n v="101"/>
    <n v="4026"/>
    <n v="219.68"/>
    <n v="22"/>
    <n v="9"/>
    <n v="8.8999999999999996E-2"/>
    <n v="1149"/>
    <s v="15-11-2024"/>
    <s v="Hyderabad"/>
    <x v="0"/>
    <s v="analytics for data"/>
    <d v="2024-11-15T00:00:00"/>
    <n v="2.5086934923000497E-2"/>
    <n v="2.1750495049504952"/>
    <n v="9.9854545454545462"/>
    <n v="24.408888888888889"/>
    <n v="5.2303350327749456"/>
  </r>
  <r>
    <s v="A1259"/>
    <s v="Data Analytics Course"/>
    <n v="185"/>
    <n v="3716"/>
    <n v="218.23"/>
    <n v="27"/>
    <n v="7"/>
    <n v="5.6000000000000001E-2"/>
    <n v="1015"/>
    <d v="2024-11-03T00:00:00"/>
    <s v="Hyderabad"/>
    <x v="0"/>
    <s v="online data analytic"/>
    <d v="2024-11-03T00:00:00"/>
    <n v="4.9784714747039827E-2"/>
    <n v="1.1796216216216215"/>
    <n v="8.0825925925925919"/>
    <n v="31.175714285714285"/>
    <n v="4.6510562250836278"/>
  </r>
  <r>
    <s v="A1260"/>
    <s v="Data Analytics Course"/>
    <n v="147"/>
    <n v="5162"/>
    <n v="186.79"/>
    <n v="30"/>
    <n v="7"/>
    <n v="4.8000000000000001E-2"/>
    <n v="1733"/>
    <d v="2024-11-25T00:00:00"/>
    <s v="Hyderabad"/>
    <x v="0"/>
    <s v="analytics for data"/>
    <d v="2024-11-25T00:00:00"/>
    <n v="2.8477334366524602E-2"/>
    <n v="1.2706802721088435"/>
    <n v="6.2263333333333328"/>
    <n v="26.684285714285714"/>
    <n v="9.2777985973553196"/>
  </r>
  <r>
    <s v="A1261"/>
    <s v="Data Analytics Course"/>
    <n v="188"/>
    <n v="3859"/>
    <n v="211.83"/>
    <n v="30"/>
    <n v="9"/>
    <n v="4.8000000000000001E-2"/>
    <n v="1719"/>
    <d v="2024-11-28T00:00:00"/>
    <s v="Hyderabad"/>
    <x v="1"/>
    <s v="online data analytic"/>
    <d v="2024-11-28T00:00:00"/>
    <n v="4.8717284270536405E-2"/>
    <n v="1.1267553191489363"/>
    <n v="7.0610000000000008"/>
    <n v="23.536666666666669"/>
    <n v="8.1149978756550052"/>
  </r>
  <r>
    <s v="A1262"/>
    <s v="Data Analytics Course"/>
    <n v="122"/>
    <n v="3350"/>
    <n v="225.89"/>
    <n v="28"/>
    <n v="3"/>
    <n v="4.5999999999999999E-2"/>
    <n v="1509"/>
    <d v="2024-11-24T00:00:00"/>
    <s v="Hyderabad"/>
    <x v="0"/>
    <s v="data analitics online"/>
    <d v="2024-11-24T00:00:00"/>
    <n v="3.6417910447761194E-2"/>
    <n v="1.8515573770491802"/>
    <n v="8.067499999999999"/>
    <n v="75.296666666666667"/>
    <n v="6.680242595953783"/>
  </r>
  <r>
    <s v="A1263"/>
    <s v="Data Analytics Course"/>
    <n v="143"/>
    <n v="5340"/>
    <n v="215.57"/>
    <n v="20"/>
    <n v="9"/>
    <n v="6.3E-2"/>
    <n v="1223"/>
    <d v="2024-11-05T00:00:00"/>
    <s v="Hyderabad"/>
    <x v="2"/>
    <s v="online data analytic"/>
    <d v="2024-11-05T00:00:00"/>
    <n v="2.6779026217228465E-2"/>
    <n v="1.5074825174825175"/>
    <n v="10.778499999999999"/>
    <n v="23.952222222222222"/>
    <n v="5.6733311685299439"/>
  </r>
  <r>
    <s v="A1264"/>
    <s v="Data Analytics Course"/>
    <n v="170"/>
    <n v="3124"/>
    <n v="234.92"/>
    <n v="17"/>
    <n v="3"/>
    <n v="1.7999999999999999E-2"/>
    <n v="1232"/>
    <d v="2024-11-11T00:00:00"/>
    <s v="Hyderabad"/>
    <x v="0"/>
    <s v="data anaytics training"/>
    <d v="2024-11-11T00:00:00"/>
    <n v="5.441741357234315E-2"/>
    <n v="1.3818823529411763"/>
    <n v="13.818823529411764"/>
    <n v="78.306666666666658"/>
    <n v="5.2443384982121577"/>
  </r>
  <r>
    <s v="A1265"/>
    <s v="Data Analytics Course"/>
    <n v="114"/>
    <n v="5017"/>
    <n v="242.62"/>
    <n v="11"/>
    <n v="6"/>
    <n v="5.2999999999999999E-2"/>
    <n v="1303"/>
    <d v="2024-11-17T00:00:00"/>
    <s v="Hyderabad"/>
    <x v="1"/>
    <s v="data analitics online"/>
    <d v="2024-11-17T00:00:00"/>
    <n v="2.2722742674905323E-2"/>
    <n v="2.1282456140350878"/>
    <n v="22.056363636363638"/>
    <n v="40.436666666666667"/>
    <n v="5.3705382903305576"/>
  </r>
  <r>
    <s v="A1266"/>
    <s v="Data Analytics Course"/>
    <n v="186"/>
    <n v="3424"/>
    <n v="201.81"/>
    <n v="27"/>
    <n v="3"/>
    <n v="1.6E-2"/>
    <n v="1337"/>
    <d v="2024-11-26T00:00:00"/>
    <s v="Hyderabad"/>
    <x v="0"/>
    <s v="data anaytics training"/>
    <d v="2024-11-26T00:00:00"/>
    <n v="5.4322429906542055E-2"/>
    <n v="1.085"/>
    <n v="7.4744444444444449"/>
    <n v="67.27"/>
    <n v="6.6250433576135972"/>
  </r>
  <r>
    <s v="A1267"/>
    <s v="Data Analytics Course"/>
    <n v="120"/>
    <n v="4060"/>
    <n v="210.95"/>
    <n v="24"/>
    <n v="9"/>
    <n v="7.4999999999999997E-2"/>
    <n v="1376"/>
    <d v="2024-11-05T00:00:00"/>
    <s v="Hyderabad"/>
    <x v="2"/>
    <s v="data analitics online"/>
    <d v="2024-11-05T00:00:00"/>
    <n v="2.9556650246305417E-2"/>
    <n v="1.7579166666666666"/>
    <n v="8.7895833333333329"/>
    <n v="23.438888888888886"/>
    <n v="6.5228727186537094"/>
  </r>
  <r>
    <s v="A1268"/>
    <s v="Data Analytics Course"/>
    <n v="130"/>
    <n v="5688"/>
    <n v="212.05"/>
    <n v="21"/>
    <n v="5"/>
    <n v="3.7999999999999999E-2"/>
    <n v="1454"/>
    <s v="17-11-2024"/>
    <s v="Hyderabad"/>
    <x v="0"/>
    <s v="learn data analytics"/>
    <d v="2024-11-17T00:00:00"/>
    <n v="2.2855133614627286E-2"/>
    <n v="1.6311538461538462"/>
    <n v="10.097619047619048"/>
    <n v="42.410000000000004"/>
    <n v="6.8568733789200653"/>
  </r>
  <r>
    <s v="A1269"/>
    <s v="Data Analytics Course"/>
    <n v="178"/>
    <n v="5029"/>
    <n v="189.79"/>
    <n v="25"/>
    <n v="8"/>
    <n v="4.4999999999999998E-2"/>
    <n v="1510"/>
    <d v="2024-09-11T00:00:00"/>
    <s v="Hyderabad"/>
    <x v="0"/>
    <s v="data anaytics training"/>
    <d v="2024-09-11T00:00:00"/>
    <n v="3.5394710678067209E-2"/>
    <n v="1.0662359550561797"/>
    <n v="7.5915999999999997"/>
    <n v="23.723749999999999"/>
    <n v="7.9561620738711207"/>
  </r>
  <r>
    <s v="A1270"/>
    <s v="Data Analytics Course"/>
    <n v="196"/>
    <n v="5476"/>
    <n v="204.63"/>
    <n v="19"/>
    <n v="4"/>
    <n v="0.02"/>
    <n v="1288"/>
    <s v="26-11-2024"/>
    <s v="Hyderabad"/>
    <x v="0"/>
    <s v="data anaytics training"/>
    <d v="2024-11-26T00:00:00"/>
    <n v="3.5792549306062821E-2"/>
    <n v="1.0440306122448979"/>
    <n v="10.77"/>
    <n v="51.157499999999999"/>
    <n v="6.2942872501588232"/>
  </r>
  <r>
    <s v="A1271"/>
    <s v="Data Analytics Course"/>
    <n v="110"/>
    <n v="5000"/>
    <n v="197.89"/>
    <n v="18"/>
    <n v="3"/>
    <n v="2.7E-2"/>
    <n v="1110"/>
    <d v="2024-11-12T00:00:00"/>
    <s v="Hyderabad"/>
    <x v="0"/>
    <s v="online data analytic"/>
    <d v="2024-11-12T00:00:00"/>
    <n v="2.1999999999999999E-2"/>
    <n v="1.7989999999999999"/>
    <n v="10.993888888888888"/>
    <n v="65.963333333333324"/>
    <n v="5.6091768154024964"/>
  </r>
  <r>
    <s v="A1272"/>
    <s v="Data Analytics Course"/>
    <n v="95"/>
    <n v="4141"/>
    <n v="207.14"/>
    <n v="22"/>
    <n v="3"/>
    <n v="5.3999999999999999E-2"/>
    <n v="1929"/>
    <d v="2024-11-11T00:00:00"/>
    <s v="Hyderabad"/>
    <x v="2"/>
    <s v="learn data analytics"/>
    <d v="2024-11-11T00:00:00"/>
    <n v="2.2941318522096112E-2"/>
    <n v="2.1804210526315786"/>
    <n v="9.4154545454545442"/>
    <n v="69.046666666666667"/>
    <n v="9.3125422419619586"/>
  </r>
  <r>
    <s v="A1273"/>
    <s v="Data Analytics Course"/>
    <n v="183"/>
    <n v="4791"/>
    <n v="232.97"/>
    <n v="27"/>
    <n v="5"/>
    <n v="4.5999999999999999E-2"/>
    <n v="1476"/>
    <d v="2024-11-21T00:00:00"/>
    <s v="Hyderabad"/>
    <x v="0"/>
    <s v="data analitics online"/>
    <d v="2024-11-21T00:00:00"/>
    <n v="3.8196618659987476E-2"/>
    <n v="1.2730601092896174"/>
    <n v="8.6285185185185185"/>
    <n v="46.594000000000001"/>
    <n v="6.3355796883718938"/>
  </r>
  <r>
    <s v="A1274"/>
    <s v="Data Analytics Course"/>
    <n v="100"/>
    <n v="4168"/>
    <n v="193.6"/>
    <n v="30"/>
    <n v="3"/>
    <n v="0.03"/>
    <n v="1692"/>
    <d v="2024-11-25T00:00:00"/>
    <s v="Hyderabad"/>
    <x v="0"/>
    <s v="online data analytic"/>
    <d v="2024-11-25T00:00:00"/>
    <n v="2.3992322456813819E-2"/>
    <n v="1.9359999999999999"/>
    <n v="6.4533333333333331"/>
    <n v="64.533333333333331"/>
    <n v="8.7396694214876032"/>
  </r>
  <r>
    <s v="A1275"/>
    <s v="Data Analytics Course"/>
    <n v="187"/>
    <n v="3741"/>
    <n v="226.11"/>
    <n v="27"/>
    <n v="10"/>
    <n v="5.2999999999999999E-2"/>
    <n v="1342"/>
    <s v="14-11-2024"/>
    <s v="Hyderabad"/>
    <x v="2"/>
    <s v="learn data analytics"/>
    <d v="2024-11-14T00:00:00"/>
    <n v="4.9986634589681903E-2"/>
    <n v="1.209144385026738"/>
    <n v="8.3744444444444444"/>
    <n v="22.611000000000001"/>
    <n v="5.9351643005616728"/>
  </r>
  <r>
    <s v="A1276"/>
    <s v="Data Analytics Course"/>
    <n v="90"/>
    <n v="3577"/>
    <n v="233.54"/>
    <n v="24"/>
    <n v="5"/>
    <n v="5.1999999999999998E-2"/>
    <n v="1175"/>
    <d v="2024-11-14T00:00:00"/>
    <s v="Hyderabad"/>
    <x v="2"/>
    <s v="analytics for data"/>
    <d v="2024-11-14T00:00:00"/>
    <n v="2.516074923119933E-2"/>
    <n v="2.5948888888888888"/>
    <n v="9.730833333333333"/>
    <n v="46.707999999999998"/>
    <n v="5.0312580286032373"/>
  </r>
  <r>
    <s v="A1277"/>
    <s v="Data Analytics Course"/>
    <n v="148"/>
    <n v="4469"/>
    <n v="209.76"/>
    <n v="25"/>
    <n v="8"/>
    <n v="5.3999999999999999E-2"/>
    <n v="1505"/>
    <d v="2024-11-25T00:00:00"/>
    <s v="Hyderabad"/>
    <x v="2"/>
    <s v="data analytics course"/>
    <d v="2024-11-25T00:00:00"/>
    <n v="3.31170284179906E-2"/>
    <n v="1.4172972972972973"/>
    <n v="8.3903999999999996"/>
    <n v="26.22"/>
    <n v="7.1748665141113657"/>
  </r>
  <r>
    <s v="A1278"/>
    <s v="Data Analytics Course"/>
    <n v="129"/>
    <n v="3611"/>
    <n v="227.82"/>
    <n v="11"/>
    <n v="7"/>
    <n v="5.3999999999999999E-2"/>
    <n v="1250"/>
    <d v="2024-11-22T00:00:00"/>
    <s v="Hyderabad"/>
    <x v="2"/>
    <s v="data anaytics training"/>
    <d v="2024-11-22T00:00:00"/>
    <n v="3.5724176128496259E-2"/>
    <n v="1.7660465116279069"/>
    <n v="20.710909090909091"/>
    <n v="32.545714285714283"/>
    <n v="5.4867878149416205"/>
  </r>
  <r>
    <s v="A1279"/>
    <s v="Data Analytics Course"/>
    <n v="120"/>
    <n v="3947"/>
    <n v="193.49"/>
    <n v="15"/>
    <n v="6"/>
    <n v="0.05"/>
    <n v="1305"/>
    <d v="2024-11-12T00:00:00"/>
    <s v="Hyderabad"/>
    <x v="1"/>
    <s v="data anaytics training"/>
    <d v="2024-11-12T00:00:00"/>
    <n v="3.040283759817583E-2"/>
    <n v="1.6124166666666668"/>
    <n v="12.899333333333335"/>
    <n v="32.248333333333335"/>
    <n v="6.7445346012713836"/>
  </r>
  <r>
    <s v="A1280"/>
    <s v="Data Analytics Course"/>
    <n v="82"/>
    <n v="4239"/>
    <n v="191.75"/>
    <n v="23"/>
    <n v="8"/>
    <n v="4.5999999999999999E-2"/>
    <n v="1062"/>
    <d v="2024-11-22T00:00:00"/>
    <s v="Hyderabad"/>
    <x v="1"/>
    <s v="learn data analytics"/>
    <d v="2024-11-22T00:00:00"/>
    <n v="1.9344184949280491E-2"/>
    <n v="2.3384146341463414"/>
    <n v="8.3369565217391308"/>
    <n v="23.96875"/>
    <n v="5.5384615384615383"/>
  </r>
  <r>
    <s v="A1281"/>
    <s v="Data Analytics Course"/>
    <n v="145"/>
    <n v="5973"/>
    <n v="242.16"/>
    <n v="12"/>
    <n v="7"/>
    <n v="4.8000000000000001E-2"/>
    <n v="1508"/>
    <d v="2024-11-14T00:00:00"/>
    <s v="Hyderabad"/>
    <x v="2"/>
    <s v="online data analytic"/>
    <d v="2024-11-14T00:00:00"/>
    <n v="2.4275908253808806E-2"/>
    <n v="1.6700689655172414"/>
    <n v="20.18"/>
    <n v="34.594285714285711"/>
    <n v="6.2272877436405683"/>
  </r>
  <r>
    <s v="A1282"/>
    <s v="Data Analytics Course"/>
    <n v="190"/>
    <n v="4525"/>
    <n v="188.85"/>
    <n v="10"/>
    <n v="5"/>
    <n v="2.5999999999999999E-2"/>
    <n v="1875"/>
    <d v="2024-11-01T00:00:00"/>
    <s v="Hyderabad"/>
    <x v="2"/>
    <s v="data anaytics training"/>
    <d v="2024-11-01T00:00:00"/>
    <n v="4.1988950276243095E-2"/>
    <n v="0.99394736842105258"/>
    <n v="18.884999999999998"/>
    <n v="37.769999999999996"/>
    <n v="9.9285146942017484"/>
  </r>
  <r>
    <s v="A1283"/>
    <s v="Data Analytics Course"/>
    <n v="137"/>
    <n v="4395"/>
    <n v="241.58"/>
    <n v="24"/>
    <n v="4"/>
    <n v="4.2999999999999997E-2"/>
    <n v="1512"/>
    <d v="2024-11-06T00:00:00"/>
    <s v="Hyderabad"/>
    <x v="0"/>
    <s v="online data analytic"/>
    <d v="2024-11-06T00:00:00"/>
    <n v="3.1171786120591582E-2"/>
    <n v="1.7633576642335766"/>
    <n v="10.065833333333334"/>
    <n v="60.395000000000003"/>
    <n v="6.2587962579683749"/>
  </r>
  <r>
    <s v="A1284"/>
    <s v="Data Analytics Course"/>
    <n v="157"/>
    <n v="3047"/>
    <n v="222.66"/>
    <n v="19"/>
    <n v="3"/>
    <n v="1.9E-2"/>
    <n v="1964"/>
    <d v="2024-01-11T00:00:00"/>
    <s v="Hyderabad"/>
    <x v="1"/>
    <s v="data analitics online"/>
    <d v="2024-01-11T00:00:00"/>
    <n v="5.1526091237282572E-2"/>
    <n v="1.418216560509554"/>
    <n v="11.718947368421052"/>
    <n v="74.22"/>
    <n v="8.8206233719572449"/>
  </r>
  <r>
    <s v="A1285"/>
    <s v="Data Analytics Course"/>
    <n v="105"/>
    <n v="5348"/>
    <n v="226.1"/>
    <n v="27"/>
    <n v="5"/>
    <n v="4.8000000000000001E-2"/>
    <n v="1003"/>
    <d v="2024-12-11T00:00:00"/>
    <s v="Hyderabad"/>
    <x v="2"/>
    <s v="learn data analytics"/>
    <d v="2024-12-11T00:00:00"/>
    <n v="1.9633507853403141E-2"/>
    <n v="2.1533333333333333"/>
    <n v="8.3740740740740733"/>
    <n v="45.22"/>
    <n v="4.4360902255639099"/>
  </r>
  <r>
    <s v="A1286"/>
    <s v="Data Analytics Course"/>
    <n v="149"/>
    <n v="3101"/>
    <n v="231.44"/>
    <n v="15"/>
    <n v="9"/>
    <n v="0.06"/>
    <n v="1126"/>
    <d v="2024-11-06T00:00:00"/>
    <s v="Hyderabad"/>
    <x v="2"/>
    <s v="data anaytics training"/>
    <d v="2024-11-06T00:00:00"/>
    <n v="4.8049016446307644E-2"/>
    <n v="1.5532885906040268"/>
    <n v="15.429333333333334"/>
    <n v="25.715555555555554"/>
    <n v="4.8651918423781542"/>
  </r>
  <r>
    <s v="A1287"/>
    <s v="Data Analytics Course"/>
    <n v="159"/>
    <n v="3693"/>
    <n v="187.09"/>
    <n v="24"/>
    <n v="6"/>
    <n v="3.7999999999999999E-2"/>
    <n v="1256"/>
    <s v="24-11-2024"/>
    <s v="Hyderabad"/>
    <x v="0"/>
    <s v="learn data analytics"/>
    <d v="2024-11-24T00:00:00"/>
    <n v="4.3054427294882208E-2"/>
    <n v="1.1766666666666667"/>
    <n v="7.7954166666666671"/>
    <n v="31.181666666666668"/>
    <n v="6.7133465177187448"/>
  </r>
  <r>
    <s v="A1288"/>
    <s v="Data Analytics Course"/>
    <n v="150"/>
    <n v="5590"/>
    <n v="215.57"/>
    <n v="20"/>
    <n v="8"/>
    <n v="4.5999999999999999E-2"/>
    <n v="1286"/>
    <d v="2024-02-11T00:00:00"/>
    <s v="Hyderabad"/>
    <x v="1"/>
    <s v="data analytics course"/>
    <d v="2024-02-11T00:00:00"/>
    <n v="2.6833631484794274E-2"/>
    <n v="1.4371333333333334"/>
    <n v="10.778499999999999"/>
    <n v="26.946249999999999"/>
    <n v="5.9655796261075293"/>
  </r>
  <r>
    <s v="A1289"/>
    <s v="Data Analytics Course"/>
    <n v="139"/>
    <n v="5277"/>
    <n v="227.46"/>
    <n v="10"/>
    <n v="5"/>
    <n v="4.5999999999999999E-2"/>
    <n v="1541"/>
    <d v="2024-11-15T00:00:00"/>
    <s v="Hyderabad"/>
    <x v="2"/>
    <s v="data analitics online"/>
    <d v="2024-11-15T00:00:00"/>
    <n v="2.6340723896153117E-2"/>
    <n v="1.6364028776978419"/>
    <n v="22.746000000000002"/>
    <n v="45.492000000000004"/>
    <n v="6.7748175503385211"/>
  </r>
  <r>
    <s v="A1290"/>
    <s v="Data Analytics Course"/>
    <n v="98"/>
    <n v="4653"/>
    <n v="205.84"/>
    <n v="29"/>
    <n v="5"/>
    <n v="5.0999999999999997E-2"/>
    <n v="1866"/>
    <d v="2024-02-11T00:00:00"/>
    <s v="Hyderabad"/>
    <x v="1"/>
    <s v="data analitics online"/>
    <d v="2024-02-11T00:00:00"/>
    <n v="2.106168063614872E-2"/>
    <n v="2.100408163265306"/>
    <n v="7.0979310344827589"/>
    <n v="41.167999999999999"/>
    <n v="9.065293431791682"/>
  </r>
  <r>
    <s v="A1291"/>
    <s v="Data Analytics Course"/>
    <n v="86"/>
    <n v="3513"/>
    <n v="211.16"/>
    <n v="22"/>
    <n v="7"/>
    <n v="4.5999999999999999E-2"/>
    <n v="1917"/>
    <d v="2024-10-11T00:00:00"/>
    <s v="Hyderabad"/>
    <x v="0"/>
    <s v="data analytics course"/>
    <d v="2024-10-11T00:00:00"/>
    <n v="2.4480500996299458E-2"/>
    <n v="2.4553488372093022"/>
    <n v="9.5981818181818177"/>
    <n v="30.165714285714284"/>
    <n v="9.0784239439287742"/>
  </r>
  <r>
    <s v="A1292"/>
    <s v="Data Analytics Course"/>
    <n v="128"/>
    <n v="5772"/>
    <n v="235.54"/>
    <n v="20"/>
    <n v="10"/>
    <n v="7.8E-2"/>
    <n v="1215"/>
    <d v="2024-04-11T00:00:00"/>
    <s v="Hyderabad"/>
    <x v="0"/>
    <s v="data anaytics training"/>
    <d v="2024-04-11T00:00:00"/>
    <n v="2.2176022176022176E-2"/>
    <n v="1.8401562499999999"/>
    <n v="11.776999999999999"/>
    <n v="23.553999999999998"/>
    <n v="5.1583595143075485"/>
  </r>
  <r>
    <s v="A1293"/>
    <s v="Data Analytics Course"/>
    <n v="105"/>
    <n v="5840"/>
    <n v="236.56"/>
    <n v="22"/>
    <n v="8"/>
    <n v="4.7E-2"/>
    <n v="1811"/>
    <s v="24-11-2024"/>
    <s v="Hyderabad"/>
    <x v="2"/>
    <s v="data analytics course"/>
    <d v="2024-11-24T00:00:00"/>
    <n v="1.797945205479452E-2"/>
    <n v="2.2529523809523808"/>
    <n v="10.752727272727272"/>
    <n v="29.57"/>
    <n v="7.6555630706797428"/>
  </r>
  <r>
    <s v="A1294"/>
    <s v="Data Analytics Course"/>
    <n v="90"/>
    <n v="4518.5"/>
    <n v="249"/>
    <n v="21"/>
    <n v="10"/>
    <n v="4.5999999999999999E-2"/>
    <n v="1245"/>
    <s v="19-11-2024"/>
    <s v="Hyderabad"/>
    <x v="1"/>
    <s v="data analytics course"/>
    <d v="2024-11-19T00:00:00"/>
    <n v="1.9918114418501717E-2"/>
    <n v="2.7666666666666666"/>
    <n v="11.857142857142858"/>
    <n v="24.9"/>
    <n v="5"/>
  </r>
  <r>
    <s v="A1295"/>
    <s v="Data Analytics Course"/>
    <n v="89"/>
    <n v="5158"/>
    <n v="211.76"/>
    <n v="20"/>
    <n v="5"/>
    <n v="5.6000000000000001E-2"/>
    <n v="1119"/>
    <d v="2024-11-21T00:00:00"/>
    <s v="Hyderabad"/>
    <x v="0"/>
    <s v="online data analytic"/>
    <d v="2024-11-21T00:00:00"/>
    <n v="1.7254749903063204E-2"/>
    <n v="2.3793258426966291"/>
    <n v="10.587999999999999"/>
    <n v="42.351999999999997"/>
    <n v="5.2842840952021159"/>
  </r>
  <r>
    <s v="A1296"/>
    <s v="Data Analytics Course"/>
    <n v="119"/>
    <n v="3489"/>
    <n v="194.36"/>
    <n v="14"/>
    <n v="3"/>
    <n v="5.5E-2"/>
    <n v="1633"/>
    <d v="2024-11-10T00:00:00"/>
    <s v="Hyderabad"/>
    <x v="1"/>
    <s v="data analytics course"/>
    <d v="2024-11-10T00:00:00"/>
    <n v="3.4107194038406417E-2"/>
    <n v="1.6332773109243699"/>
    <n v="13.882857142857144"/>
    <n v="64.786666666666676"/>
    <n v="8.4019345544350692"/>
  </r>
  <r>
    <s v="A1297"/>
    <s v="Data Analytics Course"/>
    <n v="173"/>
    <n v="3977"/>
    <n v="229.82"/>
    <n v="30"/>
    <n v="5"/>
    <n v="3.6999999999999998E-2"/>
    <n v="1584"/>
    <d v="2024-11-22T00:00:00"/>
    <s v="Hyderabad"/>
    <x v="0"/>
    <s v="learn data analytics"/>
    <d v="2024-11-22T00:00:00"/>
    <n v="4.3500125722906714E-2"/>
    <n v="1.3284393063583815"/>
    <n v="7.6606666666666667"/>
    <n v="45.963999999999999"/>
    <n v="6.8923505352014622"/>
  </r>
  <r>
    <s v="A1298"/>
    <s v="Data Analytics Course"/>
    <n v="95"/>
    <n v="3397"/>
    <n v="181.89"/>
    <n v="20"/>
    <n v="7"/>
    <n v="7.3999999999999996E-2"/>
    <n v="1560"/>
    <d v="2024-11-27T00:00:00"/>
    <s v="Hyderabad"/>
    <x v="2"/>
    <s v="data analytics course"/>
    <d v="2024-11-27T00:00:00"/>
    <n v="2.7965852222549308E-2"/>
    <n v="1.9146315789473682"/>
    <n v="9.0945"/>
    <n v="25.984285714285711"/>
    <n v="8.5766122381659251"/>
  </r>
  <r>
    <s v="A1299"/>
    <s v="Data Analytics Course"/>
    <n v="112"/>
    <n v="5194"/>
    <n v="245.97"/>
    <n v="10"/>
    <n v="5"/>
    <n v="4.4999999999999998E-2"/>
    <n v="1016"/>
    <s v="21-11-2024"/>
    <s v="Hyderabad"/>
    <x v="2"/>
    <s v="data anaytics training"/>
    <d v="2024-11-21T00:00:00"/>
    <n v="2.15633423180593E-2"/>
    <n v="2.1961607142857145"/>
    <n v="24.597000000000001"/>
    <n v="49.194000000000003"/>
    <n v="4.1305850306948004"/>
  </r>
  <r>
    <s v="A1300"/>
    <s v="Data Analytics Course"/>
    <n v="134"/>
    <n v="3007"/>
    <n v="217.53"/>
    <n v="10"/>
    <n v="5"/>
    <n v="3.6999999999999998E-2"/>
    <n v="1371"/>
    <s v="30-11-2024"/>
    <s v="Hyderabad"/>
    <x v="1"/>
    <s v="data anaytics training"/>
    <d v="2024-11-30T00:00:00"/>
    <n v="4.4562687063518458E-2"/>
    <n v="1.6233582089552239"/>
    <n v="21.753"/>
    <n v="43.506"/>
    <n v="6.3025789546269477"/>
  </r>
  <r>
    <s v="A1301"/>
    <s v="Data Analytics Course"/>
    <n v="113"/>
    <n v="5721"/>
    <n v="216.7"/>
    <n v="11"/>
    <n v="6"/>
    <n v="5.2999999999999999E-2"/>
    <n v="1743"/>
    <d v="2024-11-17T00:00:00"/>
    <s v="Hyderabad"/>
    <x v="0"/>
    <s v="data anaytics training"/>
    <d v="2024-11-17T00:00:00"/>
    <n v="1.975179164481734E-2"/>
    <n v="1.9176991150442477"/>
    <n v="19.7"/>
    <n v="36.116666666666667"/>
    <n v="8.0433779418551001"/>
  </r>
  <r>
    <s v="A1302"/>
    <s v="Data Analytics Course"/>
    <n v="157"/>
    <n v="3546"/>
    <n v="189.11"/>
    <n v="16"/>
    <n v="5"/>
    <n v="3.2000000000000001E-2"/>
    <n v="1333"/>
    <s v="28-11-2024"/>
    <s v="Hyderabad"/>
    <x v="1"/>
    <s v="data analitics online"/>
    <d v="2024-11-28T00:00:00"/>
    <n v="4.4275239706711787E-2"/>
    <n v="1.2045222929936306"/>
    <n v="11.819375000000001"/>
    <n v="37.822000000000003"/>
    <n v="7.04880757231241"/>
  </r>
  <r>
    <s v="A1303"/>
    <s v="Data Analytics Course"/>
    <n v="105"/>
    <n v="3670"/>
    <n v="245.85"/>
    <n v="24"/>
    <n v="9"/>
    <n v="4.5999999999999999E-2"/>
    <n v="1653"/>
    <d v="2024-11-24T00:00:00"/>
    <s v="Hyderabad"/>
    <x v="2"/>
    <s v="data analytics course"/>
    <d v="2024-11-24T00:00:00"/>
    <n v="2.8610354223433242E-2"/>
    <n v="2.3414285714285712"/>
    <n v="10.24375"/>
    <n v="27.316666666666666"/>
    <n v="6.7236119585112872"/>
  </r>
  <r>
    <s v="A1304"/>
    <s v="Data Analytics Course"/>
    <n v="162"/>
    <n v="5915"/>
    <n v="211.96"/>
    <n v="11"/>
    <n v="7"/>
    <n v="4.5999999999999999E-2"/>
    <n v="1394"/>
    <d v="2024-11-20T00:00:00"/>
    <s v="Hyderabad"/>
    <x v="2"/>
    <s v="analytics for data"/>
    <d v="2024-11-20T00:00:00"/>
    <n v="2.7387996618765849E-2"/>
    <n v="1.308395061728395"/>
    <n v="19.269090909090909"/>
    <n v="30.28"/>
    <n v="6.5767125872806185"/>
  </r>
  <r>
    <s v="A1305"/>
    <s v="Data Analytics Course"/>
    <n v="139"/>
    <n v="4450"/>
    <n v="219.21"/>
    <n v="16"/>
    <n v="10"/>
    <n v="5.6000000000000001E-2"/>
    <n v="1917"/>
    <d v="2024-11-10T00:00:00"/>
    <s v="Hyderabad"/>
    <x v="1"/>
    <s v="learn data analytics"/>
    <d v="2024-11-10T00:00:00"/>
    <n v="3.1235955056179775E-2"/>
    <n v="1.5770503597122303"/>
    <n v="13.700625"/>
    <n v="21.920999999999999"/>
    <n v="8.7450390036950871"/>
  </r>
  <r>
    <s v="A1306"/>
    <s v="Data Analytics Course"/>
    <n v="136"/>
    <n v="5782"/>
    <n v="189.65"/>
    <n v="23"/>
    <n v="6"/>
    <n v="4.3999999999999997E-2"/>
    <n v="1951"/>
    <d v="2024-11-11T00:00:00"/>
    <s v="Hyderabad"/>
    <x v="2"/>
    <s v="data anaytics training"/>
    <d v="2024-11-11T00:00:00"/>
    <n v="2.3521272915946041E-2"/>
    <n v="1.3944852941176471"/>
    <n v="8.2456521739130437"/>
    <n v="31.608333333333334"/>
    <n v="10.287371473767466"/>
  </r>
  <r>
    <s v="A1307"/>
    <s v="Data Analytics Course"/>
    <n v="192"/>
    <n v="4339"/>
    <n v="245.57"/>
    <n v="24"/>
    <n v="8"/>
    <n v="4.7E-2"/>
    <n v="1284"/>
    <d v="2024-11-18T00:00:00"/>
    <s v="Hyderabad"/>
    <x v="1"/>
    <s v="learn data analytics"/>
    <d v="2024-11-18T00:00:00"/>
    <n v="4.42498271491127E-2"/>
    <n v="1.2790104166666667"/>
    <n v="10.232083333333334"/>
    <n v="30.696249999999999"/>
    <n v="5.2286517082705544"/>
  </r>
  <r>
    <s v="A1308"/>
    <s v="Data Analytics Course"/>
    <n v="147"/>
    <n v="5870"/>
    <n v="215.57"/>
    <n v="14"/>
    <n v="8"/>
    <n v="5.3999999999999999E-2"/>
    <n v="1748"/>
    <d v="2024-11-02T00:00:00"/>
    <s v="Hyderabad"/>
    <x v="1"/>
    <s v="data anaytics training"/>
    <d v="2024-11-02T00:00:00"/>
    <n v="2.504258943781942E-2"/>
    <n v="1.4664625850340136"/>
    <n v="15.397857142857143"/>
    <n v="26.946249999999999"/>
    <n v="8.108734981676486"/>
  </r>
  <r>
    <s v="A1309"/>
    <s v="Data Analytics Course"/>
    <n v="164"/>
    <n v="5662"/>
    <n v="186.41"/>
    <n v="11"/>
    <n v="9"/>
    <n v="5.5E-2"/>
    <n v="1020"/>
    <s v="17-11-2024"/>
    <s v="Hyderabad"/>
    <x v="2"/>
    <s v="data analytics course"/>
    <d v="2024-11-17T00:00:00"/>
    <n v="2.8965030024726245E-2"/>
    <n v="1.1366463414634147"/>
    <n v="16.946363636363635"/>
    <n v="20.712222222222223"/>
    <n v="5.4718094522826028"/>
  </r>
  <r>
    <s v="A1310"/>
    <s v="Data Analytics Course"/>
    <n v="192"/>
    <n v="5130"/>
    <n v="184.63"/>
    <n v="19"/>
    <n v="4"/>
    <n v="4.5999999999999999E-2"/>
    <n v="1087"/>
    <d v="2024-11-07T00:00:00"/>
    <s v="Hyderabad"/>
    <x v="0"/>
    <s v="data analytics course"/>
    <d v="2024-11-07T00:00:00"/>
    <n v="3.7426900584795322E-2"/>
    <n v="0.96161458333333327"/>
    <n v="9.7173684210526314"/>
    <n v="46.157499999999999"/>
    <n v="5.8874505768293348"/>
  </r>
  <r>
    <s v="A1311"/>
    <s v="Data Analytics Course"/>
    <n v="139"/>
    <n v="4608"/>
    <n v="224.99"/>
    <n v="12"/>
    <n v="8"/>
    <n v="4.5999999999999999E-2"/>
    <n v="1095"/>
    <d v="2024-11-12T00:00:00"/>
    <s v="Hyderabad"/>
    <x v="0"/>
    <s v="data anaytics training"/>
    <d v="2024-11-12T00:00:00"/>
    <n v="3.0164930555555556E-2"/>
    <n v="1.6186330935251798"/>
    <n v="18.749166666666667"/>
    <n v="28.123750000000001"/>
    <n v="4.8668829725765583"/>
  </r>
  <r>
    <s v="A1312"/>
    <s v="Data Analytics Course"/>
    <n v="199"/>
    <n v="5290"/>
    <n v="218.55"/>
    <n v="20"/>
    <n v="7"/>
    <n v="3.5000000000000003E-2"/>
    <n v="1234"/>
    <d v="2024-11-30T00:00:00"/>
    <s v="Hyderabad"/>
    <x v="2"/>
    <s v="learn data analytics"/>
    <d v="2024-11-30T00:00:00"/>
    <n v="3.7618147448015123E-2"/>
    <n v="1.0982412060301507"/>
    <n v="10.9275"/>
    <n v="31.221428571428572"/>
    <n v="5.6463051933196065"/>
  </r>
  <r>
    <s v="A1313"/>
    <s v="Data Analytics Course"/>
    <n v="82"/>
    <n v="4961"/>
    <n v="220.29"/>
    <n v="27"/>
    <n v="7"/>
    <n v="5.8999999999999997E-2"/>
    <n v="1149"/>
    <d v="2024-02-11T00:00:00"/>
    <s v="Hyderabad"/>
    <x v="2"/>
    <s v="data analytics course"/>
    <d v="2024-02-11T00:00:00"/>
    <n v="1.6528925619834711E-2"/>
    <n v="2.6864634146341464"/>
    <n v="8.1588888888888889"/>
    <n v="31.47"/>
    <n v="5.2158518316764271"/>
  </r>
  <r>
    <s v="A1314"/>
    <s v="Data Analytics Course"/>
    <n v="175"/>
    <n v="4347"/>
    <n v="242.06"/>
    <n v="17"/>
    <n v="3"/>
    <n v="1.7000000000000001E-2"/>
    <n v="1617"/>
    <d v="2024-11-22T00:00:00"/>
    <s v="Hyderabad"/>
    <x v="0"/>
    <s v="data anaytics training"/>
    <d v="2024-11-22T00:00:00"/>
    <n v="4.0257648953301126E-2"/>
    <n v="1.3832"/>
    <n v="14.238823529411764"/>
    <n v="80.686666666666667"/>
    <n v="6.6801619433198383"/>
  </r>
  <r>
    <s v="A1315"/>
    <s v="Data Analytics Course"/>
    <n v="181"/>
    <n v="5664"/>
    <n v="204.74"/>
    <n v="22"/>
    <n v="5"/>
    <n v="2.8000000000000001E-2"/>
    <n v="1719"/>
    <s v="22-11-2024"/>
    <s v="Hyderabad"/>
    <x v="0"/>
    <s v="data analytics course"/>
    <d v="2024-11-22T00:00:00"/>
    <n v="3.1956214689265537E-2"/>
    <n v="1.1311602209944751"/>
    <n v="9.3063636363636366"/>
    <n v="40.948"/>
    <n v="8.396014457360554"/>
  </r>
  <r>
    <s v="A1316"/>
    <s v="Data Analytics Course"/>
    <n v="146"/>
    <n v="3757"/>
    <n v="192.59"/>
    <n v="25"/>
    <n v="9"/>
    <n v="4.5999999999999999E-2"/>
    <n v="1169"/>
    <d v="2024-11-09T00:00:00"/>
    <s v="Hyderabad"/>
    <x v="0"/>
    <s v="online data analytic"/>
    <d v="2024-11-09T00:00:00"/>
    <n v="3.8860793186052699E-2"/>
    <n v="1.319109589041096"/>
    <n v="7.7035999999999998"/>
    <n v="21.398888888888891"/>
    <n v="6.0698894023573393"/>
  </r>
  <r>
    <s v="A1317"/>
    <s v="Data Analytics Course"/>
    <n v="192"/>
    <n v="4225"/>
    <n v="242"/>
    <n v="24"/>
    <n v="6"/>
    <n v="3.1E-2"/>
    <n v="1032"/>
    <d v="2024-11-01T00:00:00"/>
    <s v="Hyderabad"/>
    <x v="1"/>
    <s v="data analitics online"/>
    <d v="2024-11-01T00:00:00"/>
    <n v="4.5443786982248519E-2"/>
    <n v="1.2604166666666667"/>
    <n v="10.083333333333334"/>
    <n v="40.333333333333336"/>
    <n v="4.2644628099173554"/>
  </r>
  <r>
    <s v="A1318"/>
    <s v="Data Analytics Course"/>
    <n v="149"/>
    <n v="3410"/>
    <n v="181.12"/>
    <n v="20"/>
    <n v="4"/>
    <n v="3.3000000000000002E-2"/>
    <n v="1806"/>
    <d v="2024-11-17T00:00:00"/>
    <s v="Hyderabad"/>
    <x v="0"/>
    <s v="learn data analytics"/>
    <d v="2024-11-17T00:00:00"/>
    <n v="4.3695014662756597E-2"/>
    <n v="1.2155704697986578"/>
    <n v="9.0560000000000009"/>
    <n v="45.28"/>
    <n v="9.9712897526501756"/>
  </r>
  <r>
    <s v="A1319"/>
    <s v="Data Analytics Course"/>
    <n v="93"/>
    <n v="3934"/>
    <n v="226.84"/>
    <n v="20"/>
    <n v="6"/>
    <n v="6.5000000000000002E-2"/>
    <n v="1964"/>
    <d v="2024-11-18T00:00:00"/>
    <s v="Hyderabad"/>
    <x v="1"/>
    <s v="data analitics online"/>
    <d v="2024-11-18T00:00:00"/>
    <n v="2.3640061006609051E-2"/>
    <n v="2.4391397849462364"/>
    <n v="11.342000000000001"/>
    <n v="37.806666666666665"/>
    <n v="8.6580849938282487"/>
  </r>
  <r>
    <s v="A1320"/>
    <s v="Data Analytics Course"/>
    <n v="182"/>
    <n v="3384"/>
    <n v="187.67"/>
    <n v="18"/>
    <n v="8"/>
    <n v="4.3999999999999997E-2"/>
    <n v="1769"/>
    <d v="2024-11-01T00:00:00"/>
    <s v="Hyderabad"/>
    <x v="0"/>
    <s v="analytics for data"/>
    <d v="2024-11-01T00:00:00"/>
    <n v="5.3782505910165486E-2"/>
    <n v="1.0311538461538461"/>
    <n v="10.42611111111111"/>
    <n v="23.458749999999998"/>
    <n v="9.4261203175787287"/>
  </r>
  <r>
    <s v="A1321"/>
    <s v="Data Analytics Course"/>
    <n v="99"/>
    <n v="3842"/>
    <n v="246.3"/>
    <n v="23"/>
    <n v="8"/>
    <n v="8.1000000000000003E-2"/>
    <n v="1452"/>
    <d v="2024-10-11T00:00:00"/>
    <s v="Hyderabad"/>
    <x v="2"/>
    <s v="online data analytic"/>
    <d v="2024-10-11T00:00:00"/>
    <n v="2.5767829255596043E-2"/>
    <n v="2.4878787878787878"/>
    <n v="10.708695652173914"/>
    <n v="30.787500000000001"/>
    <n v="5.8952496954933009"/>
  </r>
  <r>
    <s v="A1322"/>
    <s v="Data Analytics Course"/>
    <n v="188"/>
    <n v="4022"/>
    <n v="238.61"/>
    <n v="20"/>
    <n v="8"/>
    <n v="4.2999999999999997E-2"/>
    <n v="1505"/>
    <d v="2024-11-06T00:00:00"/>
    <s v="Hyderabad"/>
    <x v="1"/>
    <s v="data analitics online"/>
    <d v="2024-11-06T00:00:00"/>
    <n v="4.6742913973147684E-2"/>
    <n v="1.2692021276595746"/>
    <n v="11.9305"/>
    <n v="29.826250000000002"/>
    <n v="6.3073634801559022"/>
  </r>
  <r>
    <s v="A1323"/>
    <s v="Data Analytics Course"/>
    <n v="193"/>
    <n v="5786"/>
    <n v="201.51"/>
    <n v="16"/>
    <n v="10"/>
    <n v="5.1999999999999998E-2"/>
    <n v="1617"/>
    <d v="2024-11-05T00:00:00"/>
    <s v="Hyderabad"/>
    <x v="2"/>
    <s v="data anaytics training"/>
    <d v="2024-11-05T00:00:00"/>
    <n v="3.3356377462841341E-2"/>
    <n v="1.0440932642487046"/>
    <n v="12.594374999999999"/>
    <n v="20.151"/>
    <n v="8.0244156617537588"/>
  </r>
  <r>
    <s v="A1324"/>
    <s v="Data Analytics Course"/>
    <n v="107"/>
    <n v="4423"/>
    <n v="239.47"/>
    <n v="25"/>
    <n v="9"/>
    <n v="8.4000000000000005E-2"/>
    <n v="1370"/>
    <d v="2024-11-23T00:00:00"/>
    <s v="Hyderabad"/>
    <x v="0"/>
    <s v="analytics for data"/>
    <d v="2024-11-23T00:00:00"/>
    <n v="2.4191725073479539E-2"/>
    <n v="2.23803738317757"/>
    <n v="9.5787999999999993"/>
    <n v="26.607777777777777"/>
    <n v="5.7209671357581326"/>
  </r>
  <r>
    <s v="A1325"/>
    <s v="Data Analytics Course"/>
    <n v="131"/>
    <n v="4228"/>
    <n v="230.18"/>
    <n v="16"/>
    <n v="9"/>
    <n v="6.9000000000000006E-2"/>
    <n v="1393"/>
    <d v="2024-11-07T00:00:00"/>
    <s v="Hyderabad"/>
    <x v="0"/>
    <s v="data anaytics training"/>
    <d v="2024-11-07T00:00:00"/>
    <n v="3.098391674550615E-2"/>
    <n v="1.7570992366412215"/>
    <n v="14.38625"/>
    <n v="25.575555555555557"/>
    <n v="6.051785559127639"/>
  </r>
  <r>
    <s v="A1326"/>
    <s v="Data Analytics Course"/>
    <n v="139"/>
    <n v="5120"/>
    <n v="199.3"/>
    <n v="24"/>
    <n v="5"/>
    <n v="3.5999999999999997E-2"/>
    <n v="1835"/>
    <d v="2024-11-23T00:00:00"/>
    <s v="Hyderabad"/>
    <x v="1"/>
    <s v="data analytics course"/>
    <d v="2024-11-23T00:00:00"/>
    <n v="2.7148437500000001E-2"/>
    <n v="1.4338129496402878"/>
    <n v="8.3041666666666671"/>
    <n v="39.86"/>
    <n v="9.2072252885097843"/>
  </r>
  <r>
    <s v="A1327"/>
    <s v="Data Analytics Course"/>
    <n v="141"/>
    <n v="3600"/>
    <n v="227.54"/>
    <n v="20"/>
    <n v="6"/>
    <n v="4.2999999999999997E-2"/>
    <n v="1367"/>
    <d v="2024-11-07T00:00:00"/>
    <s v="Hyderabad"/>
    <x v="0"/>
    <s v="learn data analytics"/>
    <d v="2024-11-07T00:00:00"/>
    <n v="3.9166666666666669E-2"/>
    <n v="1.6137588652482269"/>
    <n v="11.376999999999999"/>
    <n v="37.923333333333332"/>
    <n v="6.0077349037531862"/>
  </r>
  <r>
    <s v="A1328"/>
    <s v="Data Analytics Course"/>
    <n v="175"/>
    <n v="5016"/>
    <n v="215.57"/>
    <n v="16"/>
    <n v="3"/>
    <n v="1.7000000000000001E-2"/>
    <n v="1836"/>
    <d v="2024-11-07T00:00:00"/>
    <s v="Hyderabad"/>
    <x v="2"/>
    <s v="learn data analytics"/>
    <d v="2024-11-07T00:00:00"/>
    <n v="3.4888357256778309E-2"/>
    <n v="1.2318285714285715"/>
    <n v="13.473125"/>
    <n v="71.856666666666669"/>
    <n v="8.5169550494039061"/>
  </r>
  <r>
    <s v="A1329"/>
    <s v="Data Analytics Course"/>
    <n v="96"/>
    <n v="5771"/>
    <n v="213.98"/>
    <n v="30"/>
    <n v="3"/>
    <n v="3.1E-2"/>
    <n v="1130"/>
    <s v="30-11-2024"/>
    <s v="Hyderabad"/>
    <x v="1"/>
    <s v="analytics for data"/>
    <d v="2024-11-30T00:00:00"/>
    <n v="1.6634898631086466E-2"/>
    <n v="2.2289583333333334"/>
    <n v="7.1326666666666663"/>
    <n v="71.326666666666668"/>
    <n v="5.2808673707823166"/>
  </r>
  <r>
    <s v="A1330"/>
    <s v="Data Analytics Course"/>
    <n v="139"/>
    <n v="4615"/>
    <n v="194.89"/>
    <n v="12"/>
    <n v="6"/>
    <n v="4.5999999999999999E-2"/>
    <n v="1923"/>
    <d v="2024-11-25T00:00:00"/>
    <s v="Hyderabad"/>
    <x v="2"/>
    <s v="data anaytics training"/>
    <d v="2024-11-25T00:00:00"/>
    <n v="3.0119176598049836E-2"/>
    <n v="1.4020863309352516"/>
    <n v="16.240833333333331"/>
    <n v="32.481666666666662"/>
    <n v="9.867104520498744"/>
  </r>
  <r>
    <s v="A1331"/>
    <s v="Data Analytics Course"/>
    <n v="187"/>
    <n v="3115"/>
    <n v="184.61"/>
    <n v="12"/>
    <n v="3"/>
    <n v="1.6E-2"/>
    <n v="1324"/>
    <d v="2024-11-30T00:00:00"/>
    <s v="Hyderabad"/>
    <x v="1"/>
    <s v="learn data analytics"/>
    <d v="2024-11-30T00:00:00"/>
    <n v="6.003210272873194E-2"/>
    <n v="0.98721925133689847"/>
    <n v="15.384166666666667"/>
    <n v="61.536666666666669"/>
    <n v="7.1718758463788523"/>
  </r>
  <r>
    <s v="A1332"/>
    <s v="Data Analytics Course"/>
    <n v="153"/>
    <n v="5886"/>
    <n v="218.33"/>
    <n v="29"/>
    <n v="3"/>
    <n v="0.02"/>
    <n v="1424"/>
    <d v="2024-11-20T00:00:00"/>
    <s v="Hyderabad"/>
    <x v="1"/>
    <s v="analytics for data"/>
    <d v="2024-11-20T00:00:00"/>
    <n v="2.5993883792048929E-2"/>
    <n v="1.4269934640522877"/>
    <n v="7.5286206896551731"/>
    <n v="72.776666666666671"/>
    <n v="6.5222369807172624"/>
  </r>
  <r>
    <s v="A1333"/>
    <s v="Data Analytics Course"/>
    <n v="122"/>
    <n v="4929"/>
    <n v="192.72"/>
    <n v="10"/>
    <n v="10"/>
    <n v="8.2000000000000003E-2"/>
    <n v="1505"/>
    <d v="2024-11-12T00:00:00"/>
    <s v="Hyderabad"/>
    <x v="0"/>
    <s v="data anaytics training"/>
    <d v="2024-11-12T00:00:00"/>
    <n v="2.475147088658957E-2"/>
    <n v="1.579672131147541"/>
    <n v="19.271999999999998"/>
    <n v="19.271999999999998"/>
    <n v="7.8092569530925697"/>
  </r>
  <r>
    <s v="A1334"/>
    <s v="Data Analytics Course"/>
    <n v="151"/>
    <n v="4357"/>
    <n v="238.69"/>
    <n v="28"/>
    <n v="9"/>
    <n v="0.06"/>
    <n v="1447"/>
    <d v="2024-11-13T00:00:00"/>
    <s v="Hyderabad"/>
    <x v="2"/>
    <s v="analytics for data"/>
    <d v="2024-11-13T00:00:00"/>
    <n v="3.4656873995868719E-2"/>
    <n v="1.580728476821192"/>
    <n v="8.5246428571428563"/>
    <n v="26.521111111111111"/>
    <n v="6.0622564833047052"/>
  </r>
  <r>
    <s v="A1335"/>
    <s v="Data Analytics Course"/>
    <n v="116"/>
    <n v="4519"/>
    <n v="184.29"/>
    <n v="23"/>
    <n v="7"/>
    <n v="4.5999999999999999E-2"/>
    <n v="1070"/>
    <d v="2024-11-12T00:00:00"/>
    <s v="Hyderabad"/>
    <x v="0"/>
    <s v="data anaytics training"/>
    <d v="2024-11-12T00:00:00"/>
    <n v="2.5669395884045144E-2"/>
    <n v="1.5887068965517241"/>
    <n v="8.0126086956521743"/>
    <n v="26.327142857142857"/>
    <n v="5.8060665255846766"/>
  </r>
  <r>
    <s v="A1336"/>
    <s v="Data Analytics Course"/>
    <n v="145"/>
    <n v="5612"/>
    <n v="207.34"/>
    <n v="22"/>
    <n v="4"/>
    <n v="2.8000000000000001E-2"/>
    <n v="1689"/>
    <d v="2024-12-11T00:00:00"/>
    <s v="Hyderabad"/>
    <x v="0"/>
    <s v="learn data analytics"/>
    <d v="2024-12-11T00:00:00"/>
    <n v="2.5837491090520314E-2"/>
    <n v="1.4299310344827587"/>
    <n v="9.4245454545454539"/>
    <n v="51.835000000000001"/>
    <n v="8.1460403202469376"/>
  </r>
  <r>
    <s v="A1337"/>
    <s v="Data Analytics Course"/>
    <n v="90"/>
    <n v="3251"/>
    <n v="198.69"/>
    <n v="12"/>
    <n v="7"/>
    <n v="7.8E-2"/>
    <n v="1044"/>
    <s v="30-11-2024"/>
    <s v="Hyderabad"/>
    <x v="1"/>
    <s v="learn data analytics"/>
    <d v="2024-11-30T00:00:00"/>
    <n v="2.7683789603199015E-2"/>
    <n v="2.2076666666666664"/>
    <n v="16.557500000000001"/>
    <n v="28.384285714285713"/>
    <n v="5.254416427600785"/>
  </r>
  <r>
    <s v="A1338"/>
    <s v="Data Analytics Course"/>
    <n v="133"/>
    <n v="3360"/>
    <n v="203.78"/>
    <n v="13"/>
    <n v="9"/>
    <n v="6.8000000000000005E-2"/>
    <n v="1654"/>
    <d v="2024-11-14T00:00:00"/>
    <s v="Hyderabad"/>
    <x v="1"/>
    <s v="online data analytic"/>
    <d v="2024-11-14T00:00:00"/>
    <n v="3.9583333333333331E-2"/>
    <n v="1.5321804511278196"/>
    <n v="15.675384615384615"/>
    <n v="22.642222222222223"/>
    <n v="8.1165963293748167"/>
  </r>
  <r>
    <s v="A1339"/>
    <s v="Data Analytics Course"/>
    <n v="135"/>
    <n v="5891"/>
    <n v="245.69"/>
    <n v="21"/>
    <n v="6"/>
    <n v="4.3999999999999997E-2"/>
    <n v="1947"/>
    <d v="2024-11-05T00:00:00"/>
    <s v="Hyderabad"/>
    <x v="1"/>
    <s v="learn data analytics"/>
    <d v="2024-11-05T00:00:00"/>
    <n v="2.2916313019860805E-2"/>
    <n v="1.8199259259259259"/>
    <n v="11.699523809523809"/>
    <n v="40.948333333333331"/>
    <n v="7.9246204566730434"/>
  </r>
  <r>
    <s v="A1340"/>
    <s v="Data Analytics Course"/>
    <n v="155"/>
    <n v="5835"/>
    <n v="239.52"/>
    <n v="10"/>
    <n v="4"/>
    <n v="4.1000000000000002E-2"/>
    <n v="1505"/>
    <d v="2024-11-13T00:00:00"/>
    <s v="Hyderabad"/>
    <x v="1"/>
    <s v="analytics for data"/>
    <d v="2024-11-13T00:00:00"/>
    <n v="2.6563838903170524E-2"/>
    <n v="1.5452903225806451"/>
    <n v="23.952000000000002"/>
    <n v="59.88"/>
    <n v="6.2834001336005345"/>
  </r>
  <r>
    <s v="A1341"/>
    <s v="Data Analytics Course"/>
    <n v="100"/>
    <n v="4928"/>
    <n v="186.68"/>
    <n v="22"/>
    <n v="10"/>
    <n v="0.1"/>
    <n v="1071"/>
    <d v="2024-11-23T00:00:00"/>
    <s v="Hyderabad"/>
    <x v="1"/>
    <s v="analytics for data"/>
    <d v="2024-11-23T00:00:00"/>
    <n v="2.0292207792207792E-2"/>
    <n v="1.8668"/>
    <n v="8.4854545454545462"/>
    <n v="18.667999999999999"/>
    <n v="5.7370902078422965"/>
  </r>
  <r>
    <s v="A1342"/>
    <s v="Data Analytics Course"/>
    <n v="138"/>
    <n v="4049"/>
    <n v="182.66"/>
    <n v="20"/>
    <n v="7"/>
    <n v="5.0999999999999997E-2"/>
    <n v="1292"/>
    <d v="2024-11-20T00:00:00"/>
    <s v="Hyderabad"/>
    <x v="1"/>
    <s v="online data analytic"/>
    <d v="2024-11-20T00:00:00"/>
    <n v="3.4082489503581129E-2"/>
    <n v="1.3236231884057972"/>
    <n v="9.1329999999999991"/>
    <n v="26.094285714285714"/>
    <n v="7.0732508485711163"/>
  </r>
  <r>
    <s v="A1343"/>
    <s v="Data Analytics Course"/>
    <n v="109"/>
    <n v="4114"/>
    <n v="243.33"/>
    <n v="18"/>
    <n v="6"/>
    <n v="4.3999999999999997E-2"/>
    <n v="1456"/>
    <d v="2024-11-25T00:00:00"/>
    <s v="Hyderabad"/>
    <x v="2"/>
    <s v="learn data analytics"/>
    <d v="2024-11-25T00:00:00"/>
    <n v="2.6494895478852698E-2"/>
    <n v="2.2323853211009177"/>
    <n v="13.518333333333334"/>
    <n v="40.555"/>
    <n v="5.9836436115563227"/>
  </r>
  <r>
    <s v="A1344"/>
    <s v="Data Analytics Course"/>
    <n v="124"/>
    <n v="3947"/>
    <n v="198.11"/>
    <n v="11"/>
    <n v="4"/>
    <n v="3.2000000000000001E-2"/>
    <n v="1308"/>
    <s v="26-11-2024"/>
    <s v="Hyderabad"/>
    <x v="1"/>
    <s v="data analytics course"/>
    <d v="2024-11-26T00:00:00"/>
    <n v="3.1416265518115022E-2"/>
    <n v="1.5976612903225809"/>
    <n v="18.010000000000002"/>
    <n v="49.527500000000003"/>
    <n v="6.6023926101660688"/>
  </r>
  <r>
    <s v="A1345"/>
    <s v="Data Analytics Course"/>
    <n v="139"/>
    <n v="3705"/>
    <n v="239.26"/>
    <n v="25"/>
    <n v="7"/>
    <n v="4.5999999999999999E-2"/>
    <n v="1506"/>
    <d v="2024-02-11T00:00:00"/>
    <s v="Hyderabad"/>
    <x v="2"/>
    <s v="online data analytic"/>
    <d v="2024-02-11T00:00:00"/>
    <n v="3.7516869095816467E-2"/>
    <n v="1.7212949640287769"/>
    <n v="9.5703999999999994"/>
    <n v="34.18"/>
    <n v="6.294407757251526"/>
  </r>
  <r>
    <s v="A1346"/>
    <s v="Data Analytics Course"/>
    <n v="197"/>
    <n v="5365"/>
    <n v="208.86"/>
    <n v="14"/>
    <n v="4"/>
    <n v="3.1E-2"/>
    <n v="1106"/>
    <d v="2024-11-01T00:00:00"/>
    <s v="Hyderabad"/>
    <x v="2"/>
    <s v="data anaytics training"/>
    <d v="2024-11-01T00:00:00"/>
    <n v="3.6719478098788443E-2"/>
    <n v="1.0602030456852793"/>
    <n v="14.918571428571429"/>
    <n v="52.215000000000003"/>
    <n v="5.2954131954419221"/>
  </r>
  <r>
    <s v="A1347"/>
    <s v="Data Analytics Course"/>
    <n v="114"/>
    <n v="5213"/>
    <n v="224.65"/>
    <n v="26"/>
    <n v="4"/>
    <n v="3.5000000000000003E-2"/>
    <n v="1218"/>
    <d v="2024-11-29T00:00:00"/>
    <s v="Hyderabad"/>
    <x v="2"/>
    <s v="online data analytic"/>
    <d v="2024-11-29T00:00:00"/>
    <n v="2.1868405908306156E-2"/>
    <n v="1.9706140350877193"/>
    <n v="8.6403846153846153"/>
    <n v="56.162500000000001"/>
    <n v="5.4217671934119744"/>
  </r>
  <r>
    <s v="A1348"/>
    <s v="Data Analytics Course"/>
    <n v="117"/>
    <n v="3951"/>
    <n v="212.02"/>
    <n v="16"/>
    <n v="5"/>
    <n v="5.1999999999999998E-2"/>
    <n v="1949"/>
    <d v="2024-11-10T00:00:00"/>
    <s v="Hyderabad"/>
    <x v="0"/>
    <s v="data anaytics training"/>
    <d v="2024-11-10T00:00:00"/>
    <n v="2.9612756264236904E-2"/>
    <n v="1.8121367521367522"/>
    <n v="13.251250000000001"/>
    <n v="42.404000000000003"/>
    <n v="9.1925290066974803"/>
  </r>
  <r>
    <s v="A1349"/>
    <s v="Data Analytics Course"/>
    <n v="198"/>
    <n v="3405"/>
    <n v="224.9"/>
    <n v="13"/>
    <n v="10"/>
    <n v="5.0999999999999997E-2"/>
    <n v="1631"/>
    <d v="2024-11-14T00:00:00"/>
    <s v="Hyderabad"/>
    <x v="2"/>
    <s v="online data analytic"/>
    <d v="2024-11-14T00:00:00"/>
    <n v="5.8149779735682819E-2"/>
    <n v="1.1358585858585859"/>
    <n v="17.3"/>
    <n v="22.490000000000002"/>
    <n v="7.2521120497999112"/>
  </r>
  <r>
    <s v="A1350"/>
    <s v="Data Analytics Course"/>
    <n v="160"/>
    <n v="5367"/>
    <n v="208.47"/>
    <n v="20"/>
    <n v="8"/>
    <n v="4.5999999999999999E-2"/>
    <n v="1853"/>
    <s v="15-11-2024"/>
    <s v="Hyderabad"/>
    <x v="2"/>
    <s v="data analytics course"/>
    <d v="2024-11-15T00:00:00"/>
    <n v="2.9811812930873857E-2"/>
    <n v="1.3029375000000001"/>
    <n v="10.423500000000001"/>
    <n v="26.05875"/>
    <n v="8.8885690986712724"/>
  </r>
  <r>
    <s v="A1351"/>
    <s v="Data Analytics Course"/>
    <n v="137"/>
    <n v="3602"/>
    <n v="194.55"/>
    <n v="23"/>
    <n v="5"/>
    <n v="3.5999999999999997E-2"/>
    <n v="1580"/>
    <d v="2024-11-02T00:00:00"/>
    <s v="Hyderabad"/>
    <x v="2"/>
    <s v="data analytics course"/>
    <d v="2024-11-02T00:00:00"/>
    <n v="3.8034425319267075E-2"/>
    <n v="1.4200729927007301"/>
    <n v="8.4586956521739136"/>
    <n v="38.910000000000004"/>
    <n v="8.1213055769724996"/>
  </r>
  <r>
    <s v="A1352"/>
    <s v="Data Analytics Course"/>
    <n v="163"/>
    <n v="3917"/>
    <n v="209.01"/>
    <n v="10"/>
    <n v="3"/>
    <n v="4.5999999999999999E-2"/>
    <n v="1823"/>
    <d v="2024-11-17T00:00:00"/>
    <s v="Hyderabad"/>
    <x v="2"/>
    <s v="data anaytics training"/>
    <d v="2024-11-17T00:00:00"/>
    <n v="4.161347970385499E-2"/>
    <n v="1.2822699386503067"/>
    <n v="20.901"/>
    <n v="69.67"/>
    <n v="8.722070714319889"/>
  </r>
  <r>
    <s v="A1353"/>
    <s v="Data Analytics Course"/>
    <n v="138"/>
    <n v="5671"/>
    <n v="244.12"/>
    <n v="26"/>
    <n v="3"/>
    <n v="4.5999999999999999E-2"/>
    <n v="1505"/>
    <s v="13-11-2024"/>
    <s v="Hyderabad"/>
    <x v="2"/>
    <s v="analytics for data"/>
    <d v="2024-11-13T00:00:00"/>
    <n v="2.4334332569211779E-2"/>
    <n v="1.7689855072463769"/>
    <n v="9.3892307692307693"/>
    <n v="81.373333333333335"/>
    <n v="6.1650008192692116"/>
  </r>
  <r>
    <s v="A1354"/>
    <s v="Data Analytics Course"/>
    <n v="194"/>
    <n v="5019"/>
    <n v="227.67"/>
    <n v="28"/>
    <n v="7"/>
    <n v="3.5999999999999997E-2"/>
    <n v="1019"/>
    <s v="22-11-2024"/>
    <s v="Hyderabad"/>
    <x v="1"/>
    <s v="learn data analytics"/>
    <d v="2024-11-22T00:00:00"/>
    <n v="3.8653118151026102E-2"/>
    <n v="1.1735567010309278"/>
    <n v="8.1310714285714276"/>
    <n v="32.52428571428571"/>
    <n v="4.4757763429525195"/>
  </r>
  <r>
    <s v="A1355"/>
    <s v="Data Analytics Course"/>
    <n v="177"/>
    <n v="3569"/>
    <n v="190.31"/>
    <n v="13"/>
    <n v="8"/>
    <n v="3.5000000000000003E-2"/>
    <n v="1403"/>
    <d v="2024-11-25T00:00:00"/>
    <s v="Hyderabad"/>
    <x v="1"/>
    <s v="online data analytic"/>
    <d v="2024-11-25T00:00:00"/>
    <n v="4.9593723732137857E-2"/>
    <n v="1.0751977401129944"/>
    <n v="14.639230769230769"/>
    <n v="23.78875"/>
    <n v="7.3721822289947978"/>
  </r>
  <r>
    <s v="A1356"/>
    <s v="Data Analytics Course"/>
    <n v="113"/>
    <n v="3420"/>
    <n v="223.48"/>
    <n v="22"/>
    <n v="10"/>
    <n v="5.8000000000000003E-2"/>
    <n v="1138"/>
    <d v="2024-11-23T00:00:00"/>
    <s v="Hyderabad"/>
    <x v="1"/>
    <s v="online data analytic"/>
    <d v="2024-11-23T00:00:00"/>
    <n v="3.3040935672514621E-2"/>
    <n v="1.9776991150442478"/>
    <n v="10.158181818181818"/>
    <n v="22.347999999999999"/>
    <n v="5.092178270986218"/>
  </r>
  <r>
    <s v="A1357"/>
    <s v="Data Analytics Course"/>
    <n v="133"/>
    <n v="3064"/>
    <n v="221.8"/>
    <n v="22"/>
    <n v="5"/>
    <n v="3.7999999999999999E-2"/>
    <n v="1538"/>
    <d v="2024-11-11T00:00:00"/>
    <s v="Hyderabad"/>
    <x v="1"/>
    <s v="learn data analytics"/>
    <d v="2024-11-11T00:00:00"/>
    <n v="4.3407310704960837E-2"/>
    <n v="1.667669172932331"/>
    <n v="10.081818181818182"/>
    <n v="44.36"/>
    <n v="6.9341749323715058"/>
  </r>
  <r>
    <s v="A1358"/>
    <s v="Data Analytics Course"/>
    <n v="118"/>
    <n v="3730"/>
    <n v="207.5"/>
    <n v="25"/>
    <n v="8"/>
    <n v="3.9E-2"/>
    <n v="1011"/>
    <d v="2024-11-12T00:00:00"/>
    <s v="Hyderabad"/>
    <x v="1"/>
    <s v="data anaytics training"/>
    <d v="2024-11-12T00:00:00"/>
    <n v="3.1635388739946382E-2"/>
    <n v="1.7584745762711864"/>
    <n v="8.3000000000000007"/>
    <n v="25.9375"/>
    <n v="4.8722891566265059"/>
  </r>
  <r>
    <s v="A1359"/>
    <s v="Data Analytics Course"/>
    <n v="109"/>
    <n v="5852"/>
    <n v="235.44"/>
    <n v="20"/>
    <n v="5"/>
    <n v="4.5999999999999999E-2"/>
    <n v="1946"/>
    <s v="14-11-2024"/>
    <s v="Hyderabad"/>
    <x v="0"/>
    <s v="analytics for data"/>
    <d v="2024-11-14T00:00:00"/>
    <n v="1.862611073137389E-2"/>
    <n v="2.16"/>
    <n v="11.772"/>
    <n v="47.088000000000001"/>
    <n v="8.2653754672103297"/>
  </r>
  <r>
    <s v="A1360"/>
    <s v="Data Analytics Course"/>
    <n v="109"/>
    <n v="4011"/>
    <n v="184.51"/>
    <n v="13"/>
    <n v="6"/>
    <n v="5.2999999999999999E-2"/>
    <n v="1375"/>
    <d v="2024-11-23T00:00:00"/>
    <s v="Hyderabad"/>
    <x v="0"/>
    <s v="data analitics online"/>
    <d v="2024-11-23T00:00:00"/>
    <n v="2.7175268012964347E-2"/>
    <n v="1.6927522935779815"/>
    <n v="14.193076923076923"/>
    <n v="30.751666666666665"/>
    <n v="7.4521706140588586"/>
  </r>
  <r>
    <s v="A1361"/>
    <s v="Data Analytics Course"/>
    <n v="128"/>
    <n v="4636"/>
    <n v="243.83"/>
    <n v="20"/>
    <n v="10"/>
    <n v="5.8999999999999997E-2"/>
    <n v="1941"/>
    <d v="2024-02-11T00:00:00"/>
    <s v="Hyderabad"/>
    <x v="1"/>
    <s v="data anaytics training"/>
    <d v="2024-02-11T00:00:00"/>
    <n v="2.7610008628127698E-2"/>
    <n v="1.9049218750000001"/>
    <n v="12.191500000000001"/>
    <n v="24.383000000000003"/>
    <n v="7.960464257884591"/>
  </r>
  <r>
    <s v="A1362"/>
    <s v="Data Analytics Course"/>
    <n v="181"/>
    <n v="3087"/>
    <n v="201.29"/>
    <n v="19"/>
    <n v="10"/>
    <n v="4.5999999999999999E-2"/>
    <n v="1505"/>
    <s v="20-11-2024"/>
    <s v="Hyderabad"/>
    <x v="1"/>
    <s v="data analitics online"/>
    <d v="2024-11-20T00:00:00"/>
    <n v="5.8632977000323938E-2"/>
    <n v="1.1120994475138122"/>
    <n v="10.59421052631579"/>
    <n v="20.128999999999998"/>
    <n v="7.476774802523722"/>
  </r>
  <r>
    <s v="A1363"/>
    <s v="Data Analytics Course"/>
    <n v="89"/>
    <n v="5872"/>
    <n v="198.32"/>
    <n v="14"/>
    <n v="6"/>
    <n v="6.7000000000000004E-2"/>
    <n v="1553"/>
    <d v="2024-11-20T00:00:00"/>
    <s v="Hyderabad"/>
    <x v="1"/>
    <s v="online data analytic"/>
    <d v="2024-11-20T00:00:00"/>
    <n v="1.5156675749318801E-2"/>
    <n v="2.2283146067415731"/>
    <n v="14.165714285714285"/>
    <n v="33.053333333333335"/>
    <n v="7.8307785397337639"/>
  </r>
  <r>
    <s v="A1364"/>
    <s v="Data Analytics Course"/>
    <n v="157"/>
    <n v="5762"/>
    <n v="248.1"/>
    <n v="26"/>
    <n v="4"/>
    <n v="2.5000000000000001E-2"/>
    <n v="1999"/>
    <d v="2024-11-05T00:00:00"/>
    <s v="Hyderabad"/>
    <x v="2"/>
    <s v="data analitics online"/>
    <d v="2024-11-05T00:00:00"/>
    <n v="2.7247483512669212E-2"/>
    <n v="1.5802547770700637"/>
    <n v="9.5423076923076913"/>
    <n v="62.024999999999999"/>
    <n v="8.0572349858927854"/>
  </r>
  <r>
    <s v="A1365"/>
    <s v="Data Analytics Course"/>
    <n v="88"/>
    <n v="3396"/>
    <n v="193.79"/>
    <n v="19"/>
    <n v="5"/>
    <n v="5.7000000000000002E-2"/>
    <n v="1860"/>
    <d v="2024-11-18T00:00:00"/>
    <s v="Hyderabad"/>
    <x v="1"/>
    <s v="online data analytic"/>
    <d v="2024-11-18T00:00:00"/>
    <n v="2.591283863368669E-2"/>
    <n v="2.2021590909090909"/>
    <n v="10.199473684210526"/>
    <n v="38.757999999999996"/>
    <n v="9.5980184736054497"/>
  </r>
  <r>
    <s v="A1366"/>
    <s v="Data Analytics Course"/>
    <n v="130"/>
    <n v="3092"/>
    <n v="211.39"/>
    <n v="28"/>
    <n v="7"/>
    <n v="5.3999999999999999E-2"/>
    <n v="1031"/>
    <d v="2024-11-24T00:00:00"/>
    <s v="Hyderabad"/>
    <x v="2"/>
    <s v="data analytics course"/>
    <d v="2024-11-24T00:00:00"/>
    <n v="4.2043984476067268E-2"/>
    <n v="1.626076923076923"/>
    <n v="7.5496428571428567"/>
    <n v="30.198571428571427"/>
    <n v="4.8772411183121251"/>
  </r>
  <r>
    <s v="A1367"/>
    <s v="Data Analytics Course"/>
    <n v="194"/>
    <n v="4240"/>
    <n v="213.45"/>
    <n v="18"/>
    <n v="4"/>
    <n v="4.5999999999999999E-2"/>
    <n v="1890"/>
    <d v="2024-11-23T00:00:00"/>
    <s v="Hyderabad"/>
    <x v="2"/>
    <s v="data analitics online"/>
    <d v="2024-11-23T00:00:00"/>
    <n v="4.5754716981132072E-2"/>
    <n v="1.1002577319587628"/>
    <n v="11.858333333333333"/>
    <n v="53.362499999999997"/>
    <n v="8.854532677442025"/>
  </r>
  <r>
    <s v="A1368"/>
    <s v="Data Analytics Course"/>
    <n v="180"/>
    <n v="4297"/>
    <n v="200.04"/>
    <n v="24"/>
    <n v="5"/>
    <n v="4.5999999999999999E-2"/>
    <n v="1050"/>
    <d v="2024-11-18T00:00:00"/>
    <s v="Hyderabad"/>
    <x v="1"/>
    <s v="data analytics course"/>
    <d v="2024-11-18T00:00:00"/>
    <n v="4.188969048173144E-2"/>
    <n v="1.1113333333333333"/>
    <n v="8.3349999999999991"/>
    <n v="40.007999999999996"/>
    <n v="5.248950209958009"/>
  </r>
  <r>
    <s v="A1369"/>
    <s v="Data Analytics Course"/>
    <n v="139"/>
    <n v="5518"/>
    <n v="243.83"/>
    <n v="15"/>
    <n v="10"/>
    <n v="4.5999999999999999E-2"/>
    <n v="1862"/>
    <d v="2024-11-22T00:00:00"/>
    <s v="Hyderabad"/>
    <x v="1"/>
    <s v="data analitics online"/>
    <d v="2024-11-22T00:00:00"/>
    <n v="2.519028633562885E-2"/>
    <n v="1.7541726618705036"/>
    <n v="16.255333333333333"/>
    <n v="24.383000000000003"/>
    <n v="7.636468031005208"/>
  </r>
  <r>
    <s v="A1370"/>
    <s v="Data Analytics Course"/>
    <n v="139"/>
    <n v="5039"/>
    <n v="235.44"/>
    <n v="24"/>
    <n v="7"/>
    <n v="4.5999999999999999E-2"/>
    <n v="1839"/>
    <d v="2024-11-08T00:00:00"/>
    <s v="Hyderabad"/>
    <x v="0"/>
    <s v="data analitics online"/>
    <d v="2024-11-08T00:00:00"/>
    <n v="2.7584838261559833E-2"/>
    <n v="1.6938129496402878"/>
    <n v="9.81"/>
    <n v="33.634285714285717"/>
    <n v="7.8109072375127422"/>
  </r>
  <r>
    <s v="A1371"/>
    <s v="Data Analytics Course"/>
    <n v="139"/>
    <n v="3596"/>
    <n v="210.31"/>
    <n v="23"/>
    <n v="9"/>
    <n v="4.5999999999999999E-2"/>
    <n v="1269"/>
    <d v="2024-11-01T00:00:00"/>
    <s v="Hyderabad"/>
    <x v="2"/>
    <s v="online data analytic"/>
    <d v="2024-11-01T00:00:00"/>
    <n v="3.8654060066740825E-2"/>
    <n v="1.5130215827338129"/>
    <n v="9.1439130434782605"/>
    <n v="23.367777777777778"/>
    <n v="6.0339498835053016"/>
  </r>
  <r>
    <s v="A1372"/>
    <s v="Data Analytics Course"/>
    <n v="118"/>
    <n v="4845"/>
    <n v="190.25"/>
    <n v="11"/>
    <n v="3"/>
    <n v="4.5999999999999999E-2"/>
    <n v="1446"/>
    <d v="2024-11-18T00:00:00"/>
    <s v="Hyderabad"/>
    <x v="0"/>
    <s v="analytics for data"/>
    <d v="2024-11-18T00:00:00"/>
    <n v="2.4355005159958719E-2"/>
    <n v="1.6122881355932204"/>
    <n v="17.295454545454547"/>
    <n v="63.416666666666664"/>
    <n v="7.6005256241787125"/>
  </r>
  <r>
    <s v="A1373"/>
    <s v="Data Analytics Course"/>
    <n v="101"/>
    <n v="4883"/>
    <n v="237.89"/>
    <n v="11"/>
    <n v="6"/>
    <n v="4.5999999999999999E-2"/>
    <n v="1368"/>
    <d v="2024-11-14T00:00:00"/>
    <s v="Hyderabad"/>
    <x v="0"/>
    <s v="analytics for data"/>
    <d v="2024-11-14T00:00:00"/>
    <n v="2.0684005734179809E-2"/>
    <n v="2.355346534653465"/>
    <n v="21.626363636363635"/>
    <n v="39.648333333333333"/>
    <n v="5.750556980116861"/>
  </r>
  <r>
    <s v="A1374"/>
    <s v="Data Analytics Course"/>
    <n v="120"/>
    <n v="4618"/>
    <n v="200.91"/>
    <n v="18"/>
    <n v="7"/>
    <n v="5.8000000000000003E-2"/>
    <n v="1775"/>
    <d v="2024-11-02T00:00:00"/>
    <s v="Hyderabad"/>
    <x v="2"/>
    <s v="data analitics online"/>
    <d v="2024-11-02T00:00:00"/>
    <n v="2.5985275010827199E-2"/>
    <n v="1.67425"/>
    <n v="11.161666666666667"/>
    <n v="28.701428571428572"/>
    <n v="8.834801652481211"/>
  </r>
  <r>
    <s v="A1375"/>
    <s v="Data Analytics Course"/>
    <n v="194"/>
    <n v="3941"/>
    <n v="240.35"/>
    <n v="27"/>
    <n v="10"/>
    <n v="5.1999999999999998E-2"/>
    <n v="1373"/>
    <d v="2024-11-11T00:00:00"/>
    <s v="Hyderabad"/>
    <x v="0"/>
    <s v="data analytics course"/>
    <d v="2024-11-11T00:00:00"/>
    <n v="4.9226084750063438E-2"/>
    <n v="1.2389175257731959"/>
    <n v="8.9018518518518519"/>
    <n v="24.035"/>
    <n v="5.7125026003744539"/>
  </r>
  <r>
    <s v="A1376"/>
    <s v="Data Analytics Course"/>
    <n v="135"/>
    <n v="5096"/>
    <n v="230.32"/>
    <n v="14"/>
    <n v="4"/>
    <n v="0.03"/>
    <n v="1478"/>
    <d v="2024-11-18T00:00:00"/>
    <s v="Hyderabad"/>
    <x v="1"/>
    <s v="data anaytics training"/>
    <d v="2024-11-18T00:00:00"/>
    <n v="2.6491365777080063E-2"/>
    <n v="1.7060740740740741"/>
    <n v="16.451428571428572"/>
    <n v="57.58"/>
    <n v="6.4171587356721087"/>
  </r>
  <r>
    <s v="A1377"/>
    <s v="Data Analytics Course"/>
    <n v="190"/>
    <n v="5537"/>
    <n v="188.98"/>
    <n v="20"/>
    <n v="4"/>
    <n v="2.1000000000000001E-2"/>
    <n v="1989"/>
    <d v="2024-11-04T00:00:00"/>
    <s v="Hyderabad"/>
    <x v="2"/>
    <s v="learn data analytics"/>
    <d v="2024-11-04T00:00:00"/>
    <n v="3.431461080007224E-2"/>
    <n v="0.99463157894736842"/>
    <n v="9.4489999999999998"/>
    <n v="47.244999999999997"/>
    <n v="10.524923272303948"/>
  </r>
  <r>
    <s v="A1378"/>
    <s v="Data Analytics Course"/>
    <n v="198"/>
    <n v="4208"/>
    <n v="180.06"/>
    <n v="19"/>
    <n v="8"/>
    <n v="0.04"/>
    <n v="1462"/>
    <d v="2024-11-08T00:00:00"/>
    <s v="Hyderabad"/>
    <x v="1"/>
    <s v="data anaytics training"/>
    <d v="2024-11-08T00:00:00"/>
    <n v="4.7053231939163498E-2"/>
    <n v="0.90939393939393942"/>
    <n v="9.4768421052631577"/>
    <n v="22.5075"/>
    <n v="8.1195157169832282"/>
  </r>
  <r>
    <s v="A1379"/>
    <s v="Data Analytics Course"/>
    <n v="87"/>
    <n v="5358"/>
    <n v="236.57"/>
    <n v="19"/>
    <n v="5"/>
    <n v="5.7000000000000002E-2"/>
    <n v="1141"/>
    <d v="2024-11-02T00:00:00"/>
    <s v="Hyderabad"/>
    <x v="2"/>
    <s v="learn data analytics"/>
    <d v="2024-11-02T00:00:00"/>
    <n v="1.6237402015677492E-2"/>
    <n v="2.7191954022988507"/>
    <n v="12.451052631578946"/>
    <n v="47.314"/>
    <n v="4.8230967578306636"/>
  </r>
  <r>
    <s v="A1380"/>
    <s v="Data Analytics Course"/>
    <n v="106"/>
    <n v="5583"/>
    <n v="218.81"/>
    <n v="13"/>
    <n v="3"/>
    <n v="2.8000000000000001E-2"/>
    <n v="1049"/>
    <s v="15-11-2024"/>
    <s v="Hyderabad"/>
    <x v="0"/>
    <s v="data analytics course"/>
    <d v="2024-11-15T00:00:00"/>
    <n v="1.8986208131828768E-2"/>
    <n v="2.064245283018868"/>
    <n v="16.831538461538461"/>
    <n v="72.936666666666667"/>
    <n v="4.7941136145514376"/>
  </r>
  <r>
    <s v="A1381"/>
    <s v="Data Analytics Course"/>
    <n v="169"/>
    <n v="3069"/>
    <n v="227.7"/>
    <n v="12"/>
    <n v="5"/>
    <n v="0.03"/>
    <n v="1063"/>
    <s v="28-11-2024"/>
    <s v="Hyderabad"/>
    <x v="1"/>
    <s v="data analytics course"/>
    <d v="2024-11-28T00:00:00"/>
    <n v="5.5066797002280871E-2"/>
    <n v="1.3473372781065087"/>
    <n v="18.974999999999998"/>
    <n v="45.54"/>
    <n v="4.6684233640755384"/>
  </r>
  <r>
    <s v="A1382"/>
    <s v="Data Analytics Course"/>
    <n v="195"/>
    <n v="3738"/>
    <n v="202.08"/>
    <n v="18"/>
    <n v="7"/>
    <n v="4.5999999999999999E-2"/>
    <n v="1647"/>
    <d v="2024-11-16T00:00:00"/>
    <s v="Hyderabad"/>
    <x v="2"/>
    <s v="online data analytic"/>
    <d v="2024-11-16T00:00:00"/>
    <n v="5.21669341894061E-2"/>
    <n v="1.0363076923076924"/>
    <n v="11.226666666666667"/>
    <n v="28.868571428571432"/>
    <n v="8.1502375296912106"/>
  </r>
  <r>
    <s v="A1383"/>
    <s v="Data Analytics Course"/>
    <n v="161"/>
    <n v="4852"/>
    <n v="235.1"/>
    <n v="10"/>
    <n v="8"/>
    <n v="0.05"/>
    <n v="1738"/>
    <d v="2024-11-24T00:00:00"/>
    <s v="Hyderabad"/>
    <x v="0"/>
    <s v="online data analytic"/>
    <d v="2024-11-24T00:00:00"/>
    <n v="3.318219291014015E-2"/>
    <n v="1.4602484472049688"/>
    <n v="23.509999999999998"/>
    <n v="29.387499999999999"/>
    <n v="7.3925988940876222"/>
  </r>
  <r>
    <s v="A1384"/>
    <s v="Data Analytics Course"/>
    <n v="195"/>
    <n v="5120"/>
    <n v="249.6"/>
    <n v="26"/>
    <n v="3"/>
    <n v="1.4999999999999999E-2"/>
    <n v="1571"/>
    <d v="2024-11-04T00:00:00"/>
    <s v="Hyderabad"/>
    <x v="1"/>
    <s v="data anaytics training"/>
    <d v="2024-11-04T00:00:00"/>
    <n v="3.80859375E-2"/>
    <n v="1.28"/>
    <n v="9.6"/>
    <n v="83.2"/>
    <n v="6.2940705128205128"/>
  </r>
  <r>
    <s v="A1385"/>
    <s v="Data Analytics Course"/>
    <n v="111"/>
    <n v="3550"/>
    <n v="231.81"/>
    <n v="10"/>
    <n v="9"/>
    <n v="8.1000000000000003E-2"/>
    <n v="1462"/>
    <d v="2024-11-26T00:00:00"/>
    <s v="Hyderabad"/>
    <x v="1"/>
    <s v="data anaytics training"/>
    <d v="2024-11-26T00:00:00"/>
    <n v="3.126760563380282E-2"/>
    <n v="2.0883783783783785"/>
    <n v="23.181000000000001"/>
    <n v="25.756666666666668"/>
    <n v="6.3068892627582933"/>
  </r>
  <r>
    <s v="A1386"/>
    <s v="Data Analytics Course"/>
    <n v="124"/>
    <n v="5618"/>
    <n v="205.95"/>
    <n v="25"/>
    <n v="7"/>
    <n v="5.6000000000000001E-2"/>
    <n v="1374"/>
    <s v="19-11-2024"/>
    <s v="Hyderabad"/>
    <x v="1"/>
    <s v="data analytics course"/>
    <d v="2024-11-19T00:00:00"/>
    <n v="2.2071911712353152E-2"/>
    <n v="1.6608870967741935"/>
    <n v="8.2379999999999995"/>
    <n v="29.421428571428571"/>
    <n v="6.6715222141296433"/>
  </r>
  <r>
    <s v="A1387"/>
    <s v="Data Analytics Course"/>
    <n v="89"/>
    <n v="4700"/>
    <n v="219.95"/>
    <n v="28"/>
    <n v="6"/>
    <n v="6.7000000000000004E-2"/>
    <n v="1493"/>
    <d v="2024-11-19T00:00:00"/>
    <s v="Hyderabad"/>
    <x v="1"/>
    <s v="data analytics course"/>
    <d v="2024-11-19T00:00:00"/>
    <n v="1.8936170212765956E-2"/>
    <n v="2.4713483146067414"/>
    <n v="7.8553571428571427"/>
    <n v="36.658333333333331"/>
    <n v="6.7879063423505341"/>
  </r>
  <r>
    <s v="A1388"/>
    <s v="Data Analytics Course"/>
    <n v="122"/>
    <n v="5874"/>
    <n v="201.04"/>
    <n v="10"/>
    <n v="7"/>
    <n v="4.5999999999999999E-2"/>
    <n v="1352"/>
    <s v="30-11-2024"/>
    <s v="Hyderabad"/>
    <x v="0"/>
    <s v="data analytics course"/>
    <d v="2024-11-30T00:00:00"/>
    <n v="2.0769492679605039E-2"/>
    <n v="1.6478688524590164"/>
    <n v="20.103999999999999"/>
    <n v="28.72"/>
    <n v="6.7250298448070041"/>
  </r>
  <r>
    <s v="A1389"/>
    <s v="Data Analytics Course"/>
    <n v="177"/>
    <n v="5965"/>
    <n v="199.7"/>
    <n v="28"/>
    <n v="3"/>
    <n v="1.7000000000000001E-2"/>
    <n v="1090"/>
    <d v="2024-11-13T00:00:00"/>
    <s v="Hyderabad"/>
    <x v="1"/>
    <s v="data analitics online"/>
    <d v="2024-11-13T00:00:00"/>
    <n v="2.9673093042749371E-2"/>
    <n v="1.1282485875706214"/>
    <n v="7.1321428571428571"/>
    <n v="66.566666666666663"/>
    <n v="5.4581872809213827"/>
  </r>
  <r>
    <s v="A1390"/>
    <s v="Data Analytics Course"/>
    <n v="163"/>
    <n v="5774"/>
    <n v="221.61"/>
    <n v="29"/>
    <n v="9"/>
    <n v="5.5E-2"/>
    <n v="1396"/>
    <d v="2024-11-08T00:00:00"/>
    <s v="Hyderabad"/>
    <x v="0"/>
    <s v="learn data analytics"/>
    <d v="2024-11-08T00:00:00"/>
    <n v="2.8229996536196744E-2"/>
    <n v="1.3595705521472394"/>
    <n v="7.6417241379310346"/>
    <n v="24.623333333333335"/>
    <n v="6.2993547222598254"/>
  </r>
  <r>
    <s v="A1391"/>
    <s v="Data Analytics Course"/>
    <n v="124"/>
    <n v="4079"/>
    <n v="189.07"/>
    <n v="18"/>
    <n v="3"/>
    <n v="2.4E-2"/>
    <n v="1430"/>
    <d v="2024-11-23T00:00:00"/>
    <s v="Hyderabad"/>
    <x v="0"/>
    <s v="data analytics course"/>
    <d v="2024-11-23T00:00:00"/>
    <n v="3.0399607746996814E-2"/>
    <n v="1.5247580645161289"/>
    <n v="10.503888888888888"/>
    <n v="63.023333333333333"/>
    <n v="7.5633363304596184"/>
  </r>
  <r>
    <s v="A1392"/>
    <s v="Data Analytics Course"/>
    <n v="105"/>
    <n v="3670"/>
    <n v="218.45"/>
    <n v="25"/>
    <n v="6"/>
    <n v="4.5999999999999999E-2"/>
    <n v="1650"/>
    <d v="2024-11-22T00:00:00"/>
    <s v="Hyderabad"/>
    <x v="0"/>
    <s v="online data analytic"/>
    <d v="2024-11-22T00:00:00"/>
    <n v="2.8610354223433242E-2"/>
    <n v="2.0804761904761904"/>
    <n v="8.7379999999999995"/>
    <n v="36.408333333333331"/>
    <n v="7.5532158388647295"/>
  </r>
  <r>
    <s v="A1393"/>
    <s v="Data Analytics Course"/>
    <n v="122"/>
    <n v="3394"/>
    <n v="215.57"/>
    <n v="20"/>
    <n v="4"/>
    <n v="4.5999999999999999E-2"/>
    <n v="1053"/>
    <d v="2024-11-03T00:00:00"/>
    <s v="Hyderabad"/>
    <x v="1"/>
    <s v="data analitics online"/>
    <d v="2024-11-03T00:00:00"/>
    <n v="3.5945786682380673E-2"/>
    <n v="1.766967213114754"/>
    <n v="10.778499999999999"/>
    <n v="53.892499999999998"/>
    <n v="4.8847242195110638"/>
  </r>
  <r>
    <s v="A1394"/>
    <s v="Data Analytics Course"/>
    <n v="166"/>
    <n v="5730"/>
    <n v="241.3"/>
    <n v="16"/>
    <n v="5"/>
    <n v="0.03"/>
    <n v="1505"/>
    <d v="2024-11-17T00:00:00"/>
    <s v="Hyderabad"/>
    <x v="1"/>
    <s v="data analitics online"/>
    <d v="2024-11-17T00:00:00"/>
    <n v="2.8970331588132635E-2"/>
    <n v="1.4536144578313255"/>
    <n v="15.081250000000001"/>
    <n v="48.260000000000005"/>
    <n v="6.2370493162038949"/>
  </r>
  <r>
    <s v="A1395"/>
    <s v="Data Analytics Course"/>
    <n v="96"/>
    <n v="3761"/>
    <n v="196.45"/>
    <n v="10"/>
    <n v="5"/>
    <n v="3.5000000000000003E-2"/>
    <n v="1518"/>
    <d v="2024-11-30T00:00:00"/>
    <s v="Hyderabad"/>
    <x v="2"/>
    <s v="online data analytic"/>
    <d v="2024-11-30T00:00:00"/>
    <n v="2.5525126296197818E-2"/>
    <n v="2.0463541666666667"/>
    <n v="19.645"/>
    <n v="39.29"/>
    <n v="7.7271570374141003"/>
  </r>
  <r>
    <s v="A1396"/>
    <s v="Data Analytics Course"/>
    <n v="135"/>
    <n v="4505"/>
    <n v="214.64"/>
    <n v="17"/>
    <n v="9"/>
    <n v="4.5999999999999999E-2"/>
    <n v="1500"/>
    <d v="2024-06-11T00:00:00"/>
    <s v="Hyderabad"/>
    <x v="1"/>
    <s v="online data analytic"/>
    <d v="2024-06-11T00:00:00"/>
    <n v="2.9966703662597113E-2"/>
    <n v="1.5899259259259257"/>
    <n v="12.625882352941176"/>
    <n v="23.848888888888887"/>
    <n v="6.988445769660828"/>
  </r>
  <r>
    <s v="A1397"/>
    <s v="Data Analytics Course"/>
    <n v="179"/>
    <n v="3975"/>
    <n v="183.25"/>
    <n v="14"/>
    <n v="3"/>
    <n v="1.7000000000000001E-2"/>
    <n v="1505"/>
    <d v="2024-11-06T00:00:00"/>
    <s v="Hyderabad"/>
    <x v="2"/>
    <s v="data analytics course"/>
    <d v="2024-11-06T00:00:00"/>
    <n v="4.5031446540880503E-2"/>
    <n v="1.0237430167597765"/>
    <n v="13.089285714285714"/>
    <n v="61.083333333333336"/>
    <n v="8.2128240109140513"/>
  </r>
  <r>
    <s v="A1398"/>
    <s v="Data Analytics Course"/>
    <n v="163"/>
    <n v="4518.5"/>
    <n v="206.46"/>
    <n v="14"/>
    <n v="3"/>
    <n v="4.5999999999999999E-2"/>
    <n v="1103"/>
    <d v="2024-11-12T00:00:00"/>
    <s v="Hyderabad"/>
    <x v="2"/>
    <s v="learn data analytics"/>
    <d v="2024-11-12T00:00:00"/>
    <n v="3.6073918335730884E-2"/>
    <n v="1.2666257668711658"/>
    <n v="14.747142857142858"/>
    <n v="68.820000000000007"/>
    <n v="5.3424392134069549"/>
  </r>
  <r>
    <s v="A1399"/>
    <s v="Data Analytics Course"/>
    <n v="198"/>
    <n v="5883"/>
    <n v="215.57"/>
    <n v="19"/>
    <n v="9"/>
    <n v="4.4999999999999998E-2"/>
    <n v="1182"/>
    <s v="27-11-2024"/>
    <s v="Hyderabad"/>
    <x v="1"/>
    <s v="data analitics online"/>
    <d v="2024-11-27T00:00:00"/>
    <n v="3.3656297807241206E-2"/>
    <n v="1.0887373737373738"/>
    <n v="11.34578947368421"/>
    <n v="23.952222222222222"/>
    <n v="5.4831377278842144"/>
  </r>
  <r>
    <s v="A1400"/>
    <s v="Data Analytics Course"/>
    <n v="86"/>
    <n v="3555"/>
    <n v="225.23"/>
    <n v="11"/>
    <n v="6"/>
    <n v="3.5000000000000003E-2"/>
    <n v="1193"/>
    <d v="2024-11-11T00:00:00"/>
    <s v="Hyderabad"/>
    <x v="0"/>
    <s v="data anaytics training"/>
    <d v="2024-11-11T00:00:00"/>
    <n v="2.419127988748242E-2"/>
    <n v="2.6189534883720929"/>
    <n v="20.475454545454543"/>
    <n v="37.538333333333334"/>
    <n v="5.2968077076765976"/>
  </r>
  <r>
    <s v="A1401"/>
    <s v="Data Analytics Course"/>
    <n v="89"/>
    <n v="3760"/>
    <n v="218.69"/>
    <n v="21"/>
    <n v="9"/>
    <n v="0.10100000000000001"/>
    <n v="1474"/>
    <s v="25-11-2024"/>
    <s v="Hyderabad"/>
    <x v="0"/>
    <s v="learn data analytics"/>
    <d v="2024-11-25T00:00:00"/>
    <n v="2.3670212765957446E-2"/>
    <n v="2.4571910112359552"/>
    <n v="10.413809523809524"/>
    <n v="24.298888888888889"/>
    <n v="6.7401344368741141"/>
  </r>
  <r>
    <s v="A1402"/>
    <s v="Data Analytics Course"/>
    <n v="118"/>
    <n v="3596"/>
    <n v="236.66"/>
    <n v="29"/>
    <n v="9"/>
    <n v="7.5999999999999998E-2"/>
    <n v="1154"/>
    <d v="2024-11-23T00:00:00"/>
    <s v="Hyderabad"/>
    <x v="2"/>
    <s v="data analytics course"/>
    <d v="2024-11-23T00:00:00"/>
    <n v="3.2814238042269191E-2"/>
    <n v="2.0055932203389832"/>
    <n v="8.1606896551724137"/>
    <n v="26.295555555555556"/>
    <n v="4.8761936955970588"/>
  </r>
  <r>
    <s v="A1403"/>
    <s v="Data Analytics Course"/>
    <n v="139"/>
    <n v="3217"/>
    <n v="232.15"/>
    <n v="21"/>
    <n v="8"/>
    <n v="4.5999999999999999E-2"/>
    <n v="1726"/>
    <s v="21-11-2024"/>
    <s v="Hyderabad"/>
    <x v="1"/>
    <s v="data anaytics training"/>
    <d v="2024-11-21T00:00:00"/>
    <n v="4.3207957724588124E-2"/>
    <n v="1.6701438848920864"/>
    <n v="11.054761904761905"/>
    <n v="29.018750000000001"/>
    <n v="7.4348481585181991"/>
  </r>
  <r>
    <s v="A1404"/>
    <s v="Data Analytics Course"/>
    <n v="95"/>
    <n v="5386"/>
    <n v="184.96"/>
    <n v="23"/>
    <n v="8"/>
    <n v="5.0999999999999997E-2"/>
    <n v="1045"/>
    <s v="20-11-2024"/>
    <s v="Hyderabad"/>
    <x v="0"/>
    <s v="online data analytic"/>
    <d v="2024-11-20T00:00:00"/>
    <n v="1.7638321574452283E-2"/>
    <n v="1.9469473684210528"/>
    <n v="8.0417391304347827"/>
    <n v="23.12"/>
    <n v="5.6498702422145328"/>
  </r>
  <r>
    <s v="A1405"/>
    <s v="Data Analytics Course"/>
    <n v="144"/>
    <n v="5381"/>
    <n v="199.43"/>
    <n v="10"/>
    <n v="10"/>
    <n v="6.9000000000000006E-2"/>
    <n v="1085"/>
    <d v="2024-11-09T00:00:00"/>
    <s v="Hyderabad"/>
    <x v="0"/>
    <s v="data anaytics training"/>
    <d v="2024-11-09T00:00:00"/>
    <n v="2.6760825125441368E-2"/>
    <n v="1.3849305555555556"/>
    <n v="19.943000000000001"/>
    <n v="19.943000000000001"/>
    <n v="5.44050544050544"/>
  </r>
  <r>
    <s v="A1406"/>
    <s v="Data Analytics Course"/>
    <n v="107"/>
    <n v="5536"/>
    <n v="238.75"/>
    <n v="15"/>
    <n v="3"/>
    <n v="3.4000000000000002E-2"/>
    <n v="1822"/>
    <d v="2024-11-17T00:00:00"/>
    <s v="Hyderabad"/>
    <x v="1"/>
    <s v="analytics for data"/>
    <d v="2024-11-17T00:00:00"/>
    <n v="1.9328034682080924E-2"/>
    <n v="2.2313084112149535"/>
    <n v="15.916666666666666"/>
    <n v="79.583333333333329"/>
    <n v="7.6314136125654448"/>
  </r>
  <r>
    <s v="A1407"/>
    <s v="Data Analytics Course"/>
    <n v="146"/>
    <n v="3165"/>
    <n v="211.09"/>
    <n v="16"/>
    <n v="7"/>
    <n v="4.8000000000000001E-2"/>
    <n v="1706"/>
    <d v="2024-11-08T00:00:00"/>
    <s v="Hyderabad"/>
    <x v="1"/>
    <s v="learn data analytics"/>
    <d v="2024-11-08T00:00:00"/>
    <n v="4.612954186413902E-2"/>
    <n v="1.4458219178082192"/>
    <n v="13.193125"/>
    <n v="30.155714285714286"/>
    <n v="8.0818608176607132"/>
  </r>
  <r>
    <s v="A1408"/>
    <s v="Data Analytics Course"/>
    <n v="114"/>
    <n v="5217"/>
    <n v="247.94"/>
    <n v="11"/>
    <n v="10"/>
    <n v="8.7999999999999995E-2"/>
    <n v="1876"/>
    <d v="2024-11-18T00:00:00"/>
    <s v="Hyderabad"/>
    <x v="0"/>
    <s v="data analitics online"/>
    <d v="2024-11-18T00:00:00"/>
    <n v="2.1851638872915469E-2"/>
    <n v="2.1749122807017542"/>
    <n v="22.54"/>
    <n v="24.794"/>
    <n v="7.5663466967814799"/>
  </r>
  <r>
    <s v="A1409"/>
    <s v="Data Analytics Course"/>
    <n v="162"/>
    <n v="4301"/>
    <n v="223.77"/>
    <n v="21"/>
    <n v="7"/>
    <n v="4.2999999999999997E-2"/>
    <n v="1066"/>
    <s v="20-11-2024"/>
    <s v="Hyderabad"/>
    <x v="1"/>
    <s v="learn data analytics"/>
    <d v="2024-11-20T00:00:00"/>
    <n v="3.7665659149035108E-2"/>
    <n v="1.3812962962962965"/>
    <n v="10.655714285714286"/>
    <n v="31.967142857142857"/>
    <n v="4.7638199937435761"/>
  </r>
  <r>
    <s v="A1410"/>
    <s v="Data Analytics Course"/>
    <n v="95"/>
    <n v="5971"/>
    <n v="214.57"/>
    <n v="29"/>
    <n v="10"/>
    <n v="4.5999999999999999E-2"/>
    <n v="1539"/>
    <d v="2024-11-16T00:00:00"/>
    <s v="Hyderabad"/>
    <x v="1"/>
    <s v="analytics for data"/>
    <d v="2024-11-16T00:00:00"/>
    <n v="1.5910232791827166E-2"/>
    <n v="2.2586315789473685"/>
    <n v="7.3989655172413791"/>
    <n v="21.457000000000001"/>
    <n v="7.1724845038915044"/>
  </r>
  <r>
    <s v="A1411"/>
    <s v="Data Analytics Course"/>
    <n v="163"/>
    <n v="5160"/>
    <n v="184.84"/>
    <n v="19"/>
    <n v="4"/>
    <n v="4.1000000000000002E-2"/>
    <n v="1773"/>
    <d v="2024-11-23T00:00:00"/>
    <s v="Hyderabad"/>
    <x v="0"/>
    <s v="data analytics course"/>
    <d v="2024-11-23T00:00:00"/>
    <n v="3.1589147286821703E-2"/>
    <n v="1.1339877300613497"/>
    <n v="9.72842105263158"/>
    <n v="46.21"/>
    <n v="9.5920796364423282"/>
  </r>
  <r>
    <s v="A1412"/>
    <s v="Data Analytics Course"/>
    <n v="148"/>
    <n v="5947"/>
    <n v="212.38"/>
    <n v="12"/>
    <n v="4"/>
    <n v="4.5999999999999999E-2"/>
    <n v="1294"/>
    <d v="2024-11-24T00:00:00"/>
    <s v="Hyderabad"/>
    <x v="1"/>
    <s v="online data analytic"/>
    <d v="2024-11-24T00:00:00"/>
    <n v="2.4886497393643854E-2"/>
    <n v="1.4350000000000001"/>
    <n v="17.698333333333334"/>
    <n v="53.094999999999999"/>
    <n v="6.0928524343158488"/>
  </r>
  <r>
    <s v="A1413"/>
    <s v="Data Analytics Course"/>
    <n v="156"/>
    <n v="4150"/>
    <n v="223.17"/>
    <n v="20"/>
    <n v="10"/>
    <n v="6.4000000000000001E-2"/>
    <n v="1940"/>
    <s v="14-11-2024"/>
    <s v="Hyderabad"/>
    <x v="2"/>
    <s v="learn data analytics"/>
    <d v="2024-11-14T00:00:00"/>
    <n v="3.7590361445783135E-2"/>
    <n v="1.430576923076923"/>
    <n v="11.1585"/>
    <n v="22.317"/>
    <n v="8.6929246762557693"/>
  </r>
  <r>
    <s v="A1414"/>
    <s v="Data Analytics Course"/>
    <n v="99"/>
    <n v="4040"/>
    <n v="215.57"/>
    <n v="13"/>
    <n v="5"/>
    <n v="5.0999999999999997E-2"/>
    <n v="1502"/>
    <d v="2024-11-26T00:00:00"/>
    <s v="Hyderabad"/>
    <x v="2"/>
    <s v="online data analytic"/>
    <d v="2024-11-26T00:00:00"/>
    <n v="2.4504950495049506E-2"/>
    <n v="2.1774747474747476"/>
    <n v="16.58230769230769"/>
    <n v="43.113999999999997"/>
    <n v="6.9675743378021062"/>
  </r>
  <r>
    <s v="A1415"/>
    <s v="Data Analytics Course"/>
    <n v="124"/>
    <n v="5956"/>
    <n v="201.44"/>
    <n v="12"/>
    <n v="9"/>
    <n v="7.2999999999999995E-2"/>
    <n v="1598"/>
    <d v="2024-11-24T00:00:00"/>
    <s v="Hyderabad"/>
    <x v="2"/>
    <s v="data analitics online"/>
    <d v="2024-11-24T00:00:00"/>
    <n v="2.0819341840161182E-2"/>
    <n v="1.6245161290322581"/>
    <n v="16.786666666666665"/>
    <n v="22.382222222222222"/>
    <n v="7.9328832406671959"/>
  </r>
  <r>
    <s v="A1416"/>
    <s v="Data Analytics Course"/>
    <n v="138"/>
    <n v="4769"/>
    <n v="229.44"/>
    <n v="27"/>
    <n v="8"/>
    <n v="5.8000000000000003E-2"/>
    <n v="1505"/>
    <s v="19-11-2024"/>
    <s v="Hyderabad"/>
    <x v="1"/>
    <s v="data anaytics training"/>
    <d v="2024-11-19T00:00:00"/>
    <n v="2.8936884042776265E-2"/>
    <n v="1.662608695652174"/>
    <n v="8.4977777777777774"/>
    <n v="28.68"/>
    <n v="6.5594490934449095"/>
  </r>
  <r>
    <s v="A1417"/>
    <s v="Data Analytics Course"/>
    <n v="140"/>
    <n v="3822"/>
    <n v="241.68"/>
    <n v="30"/>
    <n v="10"/>
    <n v="5.7000000000000002E-2"/>
    <n v="1138"/>
    <d v="2024-11-19T00:00:00"/>
    <s v="Hyderabad"/>
    <x v="2"/>
    <s v="data analytics course"/>
    <d v="2024-11-19T00:00:00"/>
    <n v="3.6630036630036632E-2"/>
    <n v="1.7262857142857144"/>
    <n v="8.0560000000000009"/>
    <n v="24.167999999999999"/>
    <n v="4.708705726580602"/>
  </r>
  <r>
    <s v="A1418"/>
    <s v="Data Analytics Course"/>
    <n v="81"/>
    <n v="3147"/>
    <n v="232.2"/>
    <n v="30"/>
    <n v="9"/>
    <n v="0.111"/>
    <n v="1066"/>
    <d v="2024-11-29T00:00:00"/>
    <s v="Hyderabad"/>
    <x v="1"/>
    <s v="data analytics course"/>
    <d v="2024-11-29T00:00:00"/>
    <n v="2.5738798856053385E-2"/>
    <n v="2.8666666666666667"/>
    <n v="7.7399999999999993"/>
    <n v="25.799999999999997"/>
    <n v="4.5908699397071491"/>
  </r>
  <r>
    <s v="A1419"/>
    <s v="Data Analytics Course"/>
    <n v="165"/>
    <n v="4613"/>
    <n v="246.72"/>
    <n v="19"/>
    <n v="3"/>
    <n v="1.7999999999999999E-2"/>
    <n v="1055"/>
    <d v="2024-11-11T00:00:00"/>
    <s v="Hyderabad"/>
    <x v="2"/>
    <s v="data anaytics training"/>
    <d v="2024-11-11T00:00:00"/>
    <n v="3.5768480381530458E-2"/>
    <n v="1.4952727272727273"/>
    <n v="12.985263157894737"/>
    <n v="82.24"/>
    <n v="4.2761024643320367"/>
  </r>
  <r>
    <s v="A1420"/>
    <s v="Data Analytics Course"/>
    <n v="193"/>
    <n v="4919"/>
    <n v="247.24"/>
    <n v="19"/>
    <n v="4"/>
    <n v="2.1000000000000001E-2"/>
    <n v="1933"/>
    <s v="25-11-2024"/>
    <s v="Hyderabad"/>
    <x v="0"/>
    <s v="data analitics online"/>
    <d v="2024-11-25T00:00:00"/>
    <n v="3.9235616995324255E-2"/>
    <n v="1.2810362694300519"/>
    <n v="13.012631578947369"/>
    <n v="61.81"/>
    <n v="7.8183141886426144"/>
  </r>
  <r>
    <s v="A1421"/>
    <s v="Data Analytics Course"/>
    <n v="149"/>
    <n v="5205"/>
    <n v="218.42"/>
    <n v="20"/>
    <n v="4"/>
    <n v="4.5999999999999999E-2"/>
    <n v="1070"/>
    <d v="2024-11-28T00:00:00"/>
    <s v="Hyderabad"/>
    <x v="1"/>
    <s v="online data analytic"/>
    <d v="2024-11-28T00:00:00"/>
    <n v="2.862632084534102E-2"/>
    <n v="1.4659060402684563"/>
    <n v="10.920999999999999"/>
    <n v="54.604999999999997"/>
    <n v="4.8988187894881428"/>
  </r>
  <r>
    <s v="A1422"/>
    <s v="Data Analytics Course"/>
    <n v="81"/>
    <n v="3497"/>
    <n v="226.66"/>
    <n v="11"/>
    <n v="6"/>
    <n v="7.3999999999999996E-2"/>
    <n v="1047"/>
    <d v="2024-11-19T00:00:00"/>
    <s v="Hyderabad"/>
    <x v="1"/>
    <s v="data analitics online"/>
    <d v="2024-11-19T00:00:00"/>
    <n v="2.3162710895052903E-2"/>
    <n v="2.7982716049382717"/>
    <n v="20.605454545454545"/>
    <n v="37.776666666666664"/>
    <n v="4.6192535074561016"/>
  </r>
  <r>
    <s v="A1423"/>
    <s v="Data Analytics Course"/>
    <n v="153"/>
    <n v="4057"/>
    <n v="197.54"/>
    <n v="23"/>
    <n v="5"/>
    <n v="4.5999999999999999E-2"/>
    <n v="1926"/>
    <s v="22-11-2024"/>
    <s v="Hyderabad"/>
    <x v="2"/>
    <s v="data analitics online"/>
    <d v="2024-11-22T00:00:00"/>
    <n v="3.7712595513926549E-2"/>
    <n v="1.2911111111111111"/>
    <n v="8.5886956521739126"/>
    <n v="39.507999999999996"/>
    <n v="9.7499240660119479"/>
  </r>
  <r>
    <s v="A1424"/>
    <s v="Data Analytics Course"/>
    <n v="127"/>
    <n v="5018"/>
    <n v="194.25"/>
    <n v="17"/>
    <n v="8"/>
    <n v="4.5999999999999999E-2"/>
    <n v="1350"/>
    <d v="2024-11-21T00:00:00"/>
    <s v="Hyderabad"/>
    <x v="1"/>
    <s v="data analitics online"/>
    <d v="2024-11-21T00:00:00"/>
    <n v="2.530888800318852E-2"/>
    <n v="1.5295275590551181"/>
    <n v="11.426470588235293"/>
    <n v="24.28125"/>
    <n v="6.9498069498069501"/>
  </r>
  <r>
    <s v="A1425"/>
    <s v="Data Analytics Course"/>
    <n v="99"/>
    <n v="4012"/>
    <n v="220.76"/>
    <n v="14"/>
    <n v="4"/>
    <n v="0.04"/>
    <n v="1698"/>
    <d v="2024-11-12T00:00:00"/>
    <s v="Hyderabad"/>
    <x v="2"/>
    <s v="data anaytics training"/>
    <d v="2024-11-12T00:00:00"/>
    <n v="2.4675972083748755E-2"/>
    <n v="2.2298989898989898"/>
    <n v="15.768571428571429"/>
    <n v="55.19"/>
    <n v="7.6916107990578002"/>
  </r>
  <r>
    <s v="A1426"/>
    <s v="Data Analytics Course"/>
    <n v="104"/>
    <n v="3013"/>
    <n v="204.07"/>
    <n v="12"/>
    <n v="3"/>
    <n v="5.8000000000000003E-2"/>
    <n v="1016"/>
    <d v="2024-11-20T00:00:00"/>
    <s v="Hyderabad"/>
    <x v="1"/>
    <s v="learn data analytics"/>
    <d v="2024-11-20T00:00:00"/>
    <n v="3.4517092598738801E-2"/>
    <n v="1.9622115384615384"/>
    <n v="17.005833333333332"/>
    <n v="68.023333333333326"/>
    <n v="4.9786837849757442"/>
  </r>
  <r>
    <s v="A1427"/>
    <s v="Data Analytics Course"/>
    <n v="118"/>
    <n v="3824"/>
    <n v="184.8"/>
    <n v="16"/>
    <n v="5"/>
    <n v="4.2000000000000003E-2"/>
    <n v="1818"/>
    <d v="2024-11-19T00:00:00"/>
    <s v="Hyderabad"/>
    <x v="0"/>
    <s v="learn data analytics"/>
    <d v="2024-11-19T00:00:00"/>
    <n v="3.0857740585774059E-2"/>
    <n v="1.5661016949152544"/>
    <n v="11.55"/>
    <n v="36.96"/>
    <n v="9.8376623376623371"/>
  </r>
  <r>
    <s v="A1428"/>
    <s v="Data Analytics Course"/>
    <n v="148"/>
    <n v="5000"/>
    <n v="224.41"/>
    <n v="11"/>
    <n v="3"/>
    <n v="4.5999999999999999E-2"/>
    <n v="1491"/>
    <d v="2024-11-30T00:00:00"/>
    <s v="Hyderabad"/>
    <x v="1"/>
    <s v="online data analytic"/>
    <d v="2024-11-30T00:00:00"/>
    <n v="2.9600000000000001E-2"/>
    <n v="1.5162837837837837"/>
    <n v="20.400909090909092"/>
    <n v="74.803333333333327"/>
    <n v="6.6440889443429434"/>
  </r>
  <r>
    <s v="A1429"/>
    <s v="Data Analytics Course"/>
    <n v="88"/>
    <n v="3804"/>
    <n v="249.2"/>
    <n v="10"/>
    <n v="8"/>
    <n v="3.7999999999999999E-2"/>
    <n v="1044"/>
    <d v="2024-11-09T00:00:00"/>
    <s v="Hyderabad"/>
    <x v="2"/>
    <s v="data anaytics training"/>
    <d v="2024-11-09T00:00:00"/>
    <n v="2.3133543638275498E-2"/>
    <n v="2.8318181818181816"/>
    <n v="24.919999999999998"/>
    <n v="31.15"/>
    <n v="4.1894060995184592"/>
  </r>
  <r>
    <s v="A1430"/>
    <s v="Data Analytics Course"/>
    <n v="142"/>
    <n v="3791"/>
    <n v="207.86"/>
    <n v="23"/>
    <n v="4"/>
    <n v="2.8000000000000001E-2"/>
    <n v="1073"/>
    <d v="2024-11-20T00:00:00"/>
    <s v="Hyderabad"/>
    <x v="2"/>
    <s v="data analitics online"/>
    <d v="2024-11-20T00:00:00"/>
    <n v="3.745713532049591E-2"/>
    <n v="1.4638028169014086"/>
    <n v="9.0373913043478264"/>
    <n v="51.965000000000003"/>
    <n v="5.1621283556239774"/>
  </r>
  <r>
    <s v="A1431"/>
    <s v="Data Analytics Course"/>
    <n v="127"/>
    <n v="5198"/>
    <n v="242.56"/>
    <n v="26"/>
    <n v="6"/>
    <n v="4.7E-2"/>
    <n v="1872"/>
    <d v="2024-11-16T00:00:00"/>
    <s v="Hyderabad"/>
    <x v="2"/>
    <s v="learn data analytics"/>
    <d v="2024-11-16T00:00:00"/>
    <n v="2.4432474028472491E-2"/>
    <n v="1.9099212598425197"/>
    <n v="9.3292307692307688"/>
    <n v="40.426666666666669"/>
    <n v="7.7176781002638526"/>
  </r>
  <r>
    <s v="A1432"/>
    <s v="Data Analytics Course"/>
    <n v="117"/>
    <n v="5329"/>
    <n v="212.49"/>
    <n v="14"/>
    <n v="5"/>
    <n v="4.5999999999999999E-2"/>
    <n v="1888"/>
    <d v="2024-11-03T00:00:00"/>
    <s v="Hyderabad"/>
    <x v="1"/>
    <s v="data analytics course"/>
    <d v="2024-11-03T00:00:00"/>
    <n v="2.1955338712704071E-2"/>
    <n v="1.8161538461538462"/>
    <n v="15.177857142857144"/>
    <n v="42.498000000000005"/>
    <n v="8.8851240058355678"/>
  </r>
  <r>
    <s v="A1433"/>
    <s v="Data Analytics Course"/>
    <n v="125"/>
    <n v="5435"/>
    <n v="202.65"/>
    <n v="25"/>
    <n v="5"/>
    <n v="0.04"/>
    <n v="1767"/>
    <d v="2024-11-23T00:00:00"/>
    <s v="Hyderabad"/>
    <x v="0"/>
    <s v="online data analytic"/>
    <d v="2024-11-23T00:00:00"/>
    <n v="2.2999080036798528E-2"/>
    <n v="1.6212"/>
    <n v="8.1059999999999999"/>
    <n v="40.53"/>
    <n v="8.7194670614359726"/>
  </r>
  <r>
    <s v="A1434"/>
    <s v="Data Analytics Course"/>
    <n v="92"/>
    <n v="4977"/>
    <n v="209.78"/>
    <n v="26"/>
    <n v="3"/>
    <n v="4.5999999999999999E-2"/>
    <n v="1834"/>
    <d v="2024-11-12T00:00:00"/>
    <s v="Hyderabad"/>
    <x v="2"/>
    <s v="learn data analytics"/>
    <d v="2024-11-12T00:00:00"/>
    <n v="1.848503114325899E-2"/>
    <n v="2.280217391304348"/>
    <n v="8.0684615384615377"/>
    <n v="69.926666666666662"/>
    <n v="8.7424921346172173"/>
  </r>
  <r>
    <s v="A1435"/>
    <s v="Data Analytics Course"/>
    <n v="112"/>
    <n v="3850"/>
    <n v="233.52"/>
    <n v="14"/>
    <n v="8"/>
    <n v="3.3000000000000002E-2"/>
    <n v="1760"/>
    <d v="2024-11-22T00:00:00"/>
    <s v="Hyderabad"/>
    <x v="0"/>
    <s v="data analytics course"/>
    <d v="2024-11-22T00:00:00"/>
    <n v="2.9090909090909091E-2"/>
    <n v="2.085"/>
    <n v="16.68"/>
    <n v="29.19"/>
    <n v="7.5368276807125723"/>
  </r>
  <r>
    <s v="A1436"/>
    <s v="Data Analytics Course"/>
    <n v="144"/>
    <n v="5976"/>
    <n v="197.65"/>
    <n v="13"/>
    <n v="9"/>
    <n v="6.2E-2"/>
    <n v="1743"/>
    <d v="2024-11-22T00:00:00"/>
    <s v="Hyderabad"/>
    <x v="1"/>
    <s v="data analytics course"/>
    <d v="2024-11-22T00:00:00"/>
    <n v="2.4096385542168676E-2"/>
    <n v="1.3725694444444445"/>
    <n v="15.203846153846154"/>
    <n v="21.961111111111112"/>
    <n v="8.8186187705540089"/>
  </r>
  <r>
    <s v="A1437"/>
    <s v="Data Analytics Course"/>
    <n v="103"/>
    <n v="4693"/>
    <n v="218.67"/>
    <n v="14"/>
    <n v="10"/>
    <n v="4.5999999999999999E-2"/>
    <n v="1390"/>
    <d v="2024-11-09T00:00:00"/>
    <s v="Hyderabad"/>
    <x v="1"/>
    <s v="learn data analytics"/>
    <d v="2024-11-09T00:00:00"/>
    <n v="2.1947581504368208E-2"/>
    <n v="2.1230097087378641"/>
    <n v="15.619285714285713"/>
    <n v="21.866999999999997"/>
    <n v="6.3566104175241236"/>
  </r>
  <r>
    <s v="A1438"/>
    <s v="Data Analytics Course"/>
    <n v="117"/>
    <n v="4367"/>
    <n v="233.27"/>
    <n v="24"/>
    <n v="3"/>
    <n v="4.5999999999999999E-2"/>
    <n v="1238"/>
    <d v="2024-11-24T00:00:00"/>
    <s v="Hyderabad"/>
    <x v="2"/>
    <s v="learn data analytics"/>
    <d v="2024-11-24T00:00:00"/>
    <n v="2.6791847950538128E-2"/>
    <n v="1.9937606837606838"/>
    <n v="9.7195833333333344"/>
    <n v="77.756666666666675"/>
    <n v="5.3071547991597718"/>
  </r>
  <r>
    <s v="A1439"/>
    <s v="Data Analytics Course"/>
    <n v="100"/>
    <n v="5481"/>
    <n v="180.72"/>
    <n v="14"/>
    <n v="7"/>
    <n v="7.0000000000000007E-2"/>
    <n v="1185"/>
    <d v="2024-11-02T00:00:00"/>
    <s v="Hyderabad"/>
    <x v="0"/>
    <s v="analytics for data"/>
    <d v="2024-11-02T00:00:00"/>
    <n v="1.8244845831052729E-2"/>
    <n v="1.8071999999999999"/>
    <n v="12.908571428571429"/>
    <n v="25.817142857142859"/>
    <n v="6.5571049136786188"/>
  </r>
  <r>
    <s v="A1440"/>
    <s v="Data Analytics Course"/>
    <n v="179"/>
    <n v="4109"/>
    <n v="191.84"/>
    <n v="19"/>
    <n v="4"/>
    <n v="2.1999999999999999E-2"/>
    <n v="1961"/>
    <d v="2024-02-11T00:00:00"/>
    <s v="Hyderabad"/>
    <x v="2"/>
    <s v="online data analytic"/>
    <d v="2024-02-11T00:00:00"/>
    <n v="4.356291068386469E-2"/>
    <n v="1.0717318435754191"/>
    <n v="10.096842105263159"/>
    <n v="47.96"/>
    <n v="10.222060050041701"/>
  </r>
  <r>
    <s v="A1441"/>
    <s v="Data Analytics Course"/>
    <n v="180"/>
    <n v="3887"/>
    <n v="186.26"/>
    <n v="18"/>
    <n v="6"/>
    <n v="3.3000000000000002E-2"/>
    <n v="1048"/>
    <d v="2024-05-11T00:00:00"/>
    <s v="Hyderabad"/>
    <x v="0"/>
    <s v="data analytics course"/>
    <d v="2024-05-11T00:00:00"/>
    <n v="4.6308206843323901E-2"/>
    <n v="1.0347777777777778"/>
    <n v="10.347777777777777"/>
    <n v="31.043333333333333"/>
    <n v="5.6265435412863738"/>
  </r>
  <r>
    <s v="A1442"/>
    <s v="Data Analytics Course"/>
    <n v="146"/>
    <n v="4633"/>
    <n v="186.07"/>
    <n v="26"/>
    <n v="3"/>
    <n v="2.1000000000000001E-2"/>
    <n v="1053"/>
    <d v="2024-11-25T00:00:00"/>
    <s v="Hyderabad"/>
    <x v="0"/>
    <s v="data anaytics training"/>
    <d v="2024-11-25T00:00:00"/>
    <n v="3.151305849341679E-2"/>
    <n v="1.2744520547945204"/>
    <n v="7.1565384615384611"/>
    <n v="62.023333333333333"/>
    <n v="5.6591605309829633"/>
  </r>
  <r>
    <s v="A1443"/>
    <s v="Data Analytics Course"/>
    <n v="124"/>
    <n v="5353"/>
    <n v="239.69"/>
    <n v="13"/>
    <n v="4"/>
    <n v="3.2000000000000001E-2"/>
    <n v="1493"/>
    <d v="2024-11-19T00:00:00"/>
    <s v="Hyderabad"/>
    <x v="0"/>
    <s v="learn data analytics"/>
    <d v="2024-11-19T00:00:00"/>
    <n v="2.3164580609004295E-2"/>
    <n v="1.9329838709677418"/>
    <n v="18.437692307692309"/>
    <n v="59.922499999999999"/>
    <n v="6.2288789686678623"/>
  </r>
  <r>
    <s v="A1444"/>
    <s v="Data Analytics Course"/>
    <n v="169"/>
    <n v="5380"/>
    <n v="199.66"/>
    <n v="27"/>
    <n v="6"/>
    <n v="3.5999999999999997E-2"/>
    <n v="1059"/>
    <d v="2024-11-03T00:00:00"/>
    <s v="Hyderabad"/>
    <x v="0"/>
    <s v="data anaytics training"/>
    <d v="2024-11-03T00:00:00"/>
    <n v="3.1412639405204459E-2"/>
    <n v="1.1814201183431952"/>
    <n v="7.394814814814815"/>
    <n v="33.276666666666664"/>
    <n v="5.3040168286086349"/>
  </r>
  <r>
    <s v="A1445"/>
    <s v="Data Analytics Course"/>
    <n v="91"/>
    <n v="5104"/>
    <n v="211.85"/>
    <n v="29"/>
    <n v="9"/>
    <n v="4.5999999999999999E-2"/>
    <n v="1309"/>
    <d v="2024-11-16T00:00:00"/>
    <s v="Hyderabad"/>
    <x v="2"/>
    <s v="data analytics course"/>
    <d v="2024-11-16T00:00:00"/>
    <n v="1.7829153605015673E-2"/>
    <n v="2.3280219780219777"/>
    <n v="7.3051724137931036"/>
    <n v="23.538888888888888"/>
    <n v="6.1789001652112345"/>
  </r>
  <r>
    <s v="A1446"/>
    <s v="Data Analytics Course"/>
    <n v="145"/>
    <n v="4518.5"/>
    <n v="236.03"/>
    <n v="24"/>
    <n v="8"/>
    <n v="4.5999999999999999E-2"/>
    <n v="1220"/>
    <s v="17-11-2024"/>
    <s v="Hyderabad"/>
    <x v="0"/>
    <s v="online data analytic"/>
    <d v="2024-11-17T00:00:00"/>
    <n v="3.2090295452030543E-2"/>
    <n v="1.6277931034482758"/>
    <n v="9.8345833333333328"/>
    <n v="29.50375"/>
    <n v="5.1688344701944668"/>
  </r>
  <r>
    <s v="A1447"/>
    <s v="Data Analytics Course"/>
    <n v="115"/>
    <n v="4345"/>
    <n v="229.71"/>
    <n v="15"/>
    <n v="4"/>
    <n v="4.5999999999999999E-2"/>
    <n v="1467"/>
    <d v="2024-11-26T00:00:00"/>
    <s v="Hyderabad"/>
    <x v="1"/>
    <s v="data analytics course"/>
    <d v="2024-11-26T00:00:00"/>
    <n v="2.6467203682393557E-2"/>
    <n v="1.9974782608695654"/>
    <n v="15.314"/>
    <n v="57.427500000000002"/>
    <n v="6.386313177484654"/>
  </r>
  <r>
    <s v="A1448"/>
    <s v="Data Analytics Course"/>
    <n v="123"/>
    <n v="3527"/>
    <n v="239.31"/>
    <n v="21"/>
    <n v="3"/>
    <n v="2.4E-2"/>
    <n v="1536"/>
    <d v="2024-04-11T00:00:00"/>
    <s v="Hyderabad"/>
    <x v="2"/>
    <s v="analytics for data"/>
    <d v="2024-04-11T00:00:00"/>
    <n v="3.4873830450808052E-2"/>
    <n v="1.9456097560975609"/>
    <n v="11.395714285714286"/>
    <n v="79.77"/>
    <n v="6.4184530525260124"/>
  </r>
  <r>
    <s v="A1449"/>
    <s v="Data Analytics Course"/>
    <n v="101"/>
    <n v="3330"/>
    <n v="209.8"/>
    <n v="19"/>
    <n v="10"/>
    <n v="9.9000000000000005E-2"/>
    <n v="1296"/>
    <d v="2024-11-14T00:00:00"/>
    <s v="Hyderabad"/>
    <x v="1"/>
    <s v="data anaytics training"/>
    <d v="2024-11-14T00:00:00"/>
    <n v="3.0330330330330332E-2"/>
    <n v="2.0772277227722773"/>
    <n v="11.042105263157895"/>
    <n v="20.98"/>
    <n v="6.177311725452812"/>
  </r>
  <r>
    <s v="A1450"/>
    <s v="Data Analytics Course"/>
    <n v="141"/>
    <n v="3913"/>
    <n v="245.32"/>
    <n v="21"/>
    <n v="3"/>
    <n v="5.6000000000000001E-2"/>
    <n v="1904"/>
    <d v="2024-11-15T00:00:00"/>
    <s v="Hyderabad"/>
    <x v="0"/>
    <s v="analytics for data"/>
    <d v="2024-11-15T00:00:00"/>
    <n v="3.6033733708152313E-2"/>
    <n v="1.7398581560283688"/>
    <n v="11.681904761904761"/>
    <n v="81.773333333333326"/>
    <n v="7.7612913745312246"/>
  </r>
  <r>
    <s v="A1451"/>
    <s v="Data Analytics Course"/>
    <n v="160"/>
    <n v="4597"/>
    <n v="211.88"/>
    <n v="21"/>
    <n v="4"/>
    <n v="2.5000000000000001E-2"/>
    <n v="1505"/>
    <d v="2024-11-21T00:00:00"/>
    <s v="Hyderabad"/>
    <x v="0"/>
    <s v="data anaytics training"/>
    <d v="2024-11-21T00:00:00"/>
    <n v="3.4805307809440938E-2"/>
    <n v="1.3242499999999999"/>
    <n v="10.08952380952381"/>
    <n v="52.97"/>
    <n v="7.1030772135170857"/>
  </r>
  <r>
    <s v="A1452"/>
    <s v="Data Analytics Course"/>
    <n v="105"/>
    <n v="3008"/>
    <n v="206.91"/>
    <n v="21"/>
    <n v="4"/>
    <n v="3.7999999999999999E-2"/>
    <n v="1009"/>
    <d v="2024-11-10T00:00:00"/>
    <s v="Hyderabad"/>
    <x v="0"/>
    <s v="online data analytic"/>
    <d v="2024-11-10T00:00:00"/>
    <n v="3.4906914893617018E-2"/>
    <n v="1.9705714285714286"/>
    <n v="9.8528571428571432"/>
    <n v="51.727499999999999"/>
    <n v="4.8765163597699486"/>
  </r>
  <r>
    <s v="A1453"/>
    <s v="Data Analytics Course"/>
    <n v="178"/>
    <n v="5318"/>
    <n v="207.05"/>
    <n v="18"/>
    <n v="4"/>
    <n v="3.1E-2"/>
    <n v="1421"/>
    <d v="2024-11-20T00:00:00"/>
    <s v="Hyderabad"/>
    <x v="0"/>
    <s v="data analitics online"/>
    <d v="2024-11-20T00:00:00"/>
    <n v="3.3471229785633695E-2"/>
    <n v="1.1632022471910113"/>
    <n v="11.502777777777778"/>
    <n v="51.762500000000003"/>
    <n v="6.8630765515575947"/>
  </r>
  <r>
    <s v="A1454"/>
    <s v="Data Analytics Course"/>
    <n v="189"/>
    <n v="5244"/>
    <n v="242.18"/>
    <n v="29"/>
    <n v="3"/>
    <n v="1.6E-2"/>
    <n v="1080"/>
    <d v="2024-11-07T00:00:00"/>
    <s v="Hyderabad"/>
    <x v="1"/>
    <s v="analytics for data"/>
    <d v="2024-11-07T00:00:00"/>
    <n v="3.6041189931350116E-2"/>
    <n v="1.2813756613756615"/>
    <n v="8.3510344827586209"/>
    <n v="80.726666666666674"/>
    <n v="4.4594929391361795"/>
  </r>
  <r>
    <s v="A1455"/>
    <s v="Data Analytics Course"/>
    <n v="114"/>
    <n v="4804"/>
    <n v="249.33"/>
    <n v="14"/>
    <n v="6"/>
    <n v="5.2999999999999999E-2"/>
    <n v="1879"/>
    <d v="2024-05-11T00:00:00"/>
    <s v="Hyderabad"/>
    <x v="1"/>
    <s v="data analytics course"/>
    <d v="2024-05-11T00:00:00"/>
    <n v="2.3730224812656121E-2"/>
    <n v="2.1871052631578949"/>
    <n v="17.809285714285714"/>
    <n v="41.555"/>
    <n v="7.5361970079813894"/>
  </r>
  <r>
    <s v="A1456"/>
    <s v="Data Analytics Course"/>
    <n v="160"/>
    <n v="5920"/>
    <n v="201.3"/>
    <n v="30"/>
    <n v="7"/>
    <n v="4.7E-2"/>
    <n v="1080"/>
    <d v="2024-11-18T00:00:00"/>
    <s v="Hyderabad"/>
    <x v="2"/>
    <s v="data analytics course"/>
    <d v="2024-11-18T00:00:00"/>
    <n v="2.7027027027027029E-2"/>
    <n v="1.2581250000000002"/>
    <n v="6.71"/>
    <n v="28.75714285714286"/>
    <n v="5.3651266766020864"/>
  </r>
  <r>
    <s v="A1457"/>
    <s v="Data Analytics Course"/>
    <n v="101"/>
    <n v="5280"/>
    <n v="234.72"/>
    <n v="18"/>
    <n v="9"/>
    <n v="4.5999999999999999E-2"/>
    <n v="1046"/>
    <s v="27-11-2024"/>
    <s v="Hyderabad"/>
    <x v="2"/>
    <s v="data analytics course"/>
    <d v="2024-11-27T00:00:00"/>
    <n v="1.9128787878787877E-2"/>
    <n v="2.3239603960396038"/>
    <n v="13.04"/>
    <n v="26.08"/>
    <n v="4.4563735514655765"/>
  </r>
  <r>
    <s v="A1458"/>
    <s v="Data Analytics Course"/>
    <n v="146"/>
    <n v="3887"/>
    <n v="206.59"/>
    <n v="26"/>
    <n v="9"/>
    <n v="6.2E-2"/>
    <n v="1042"/>
    <d v="2024-07-11T00:00:00"/>
    <s v="Hyderabad"/>
    <x v="0"/>
    <s v="online data analytic"/>
    <d v="2024-07-11T00:00:00"/>
    <n v="3.7561101106251611E-2"/>
    <n v="1.415"/>
    <n v="7.9457692307692307"/>
    <n v="22.954444444444444"/>
    <n v="5.0438065734062638"/>
  </r>
  <r>
    <s v="A1459"/>
    <s v="Data Analytics Course"/>
    <n v="128"/>
    <n v="4532"/>
    <n v="183.28"/>
    <n v="11"/>
    <n v="7"/>
    <n v="4.5999999999999999E-2"/>
    <n v="1571"/>
    <s v="25-11-2024"/>
    <s v="Hyderabad"/>
    <x v="0"/>
    <s v="data anaytics training"/>
    <d v="2024-11-25T00:00:00"/>
    <n v="2.8243601059135041E-2"/>
    <n v="1.431875"/>
    <n v="16.66181818181818"/>
    <n v="26.182857142857141"/>
    <n v="8.5715844609340905"/>
  </r>
  <r>
    <s v="A1460"/>
    <s v="Data Analytics Course"/>
    <n v="163"/>
    <n v="4125"/>
    <n v="246.09"/>
    <n v="27"/>
    <n v="5"/>
    <n v="3.1E-2"/>
    <n v="1910"/>
    <d v="2024-11-27T00:00:00"/>
    <s v="Hyderabad"/>
    <x v="1"/>
    <s v="learn data analytics"/>
    <d v="2024-11-27T00:00:00"/>
    <n v="3.9515151515151517E-2"/>
    <n v="1.5097546012269938"/>
    <n v="9.1144444444444446"/>
    <n v="49.218000000000004"/>
    <n v="7.7613881100410413"/>
  </r>
  <r>
    <s v="A1461"/>
    <s v="Data Analytics Course"/>
    <n v="193"/>
    <n v="5571"/>
    <n v="213.5"/>
    <n v="19"/>
    <n v="8"/>
    <n v="5.8999999999999997E-2"/>
    <n v="1754"/>
    <s v="28-11-2024"/>
    <s v="Hyderabad"/>
    <x v="1"/>
    <s v="analytics for data"/>
    <d v="2024-11-28T00:00:00"/>
    <n v="3.4643690540297971E-2"/>
    <n v="1.1062176165803108"/>
    <n v="11.236842105263158"/>
    <n v="26.6875"/>
    <n v="8.2154566744730673"/>
  </r>
  <r>
    <s v="A1462"/>
    <s v="Data Analytics Course"/>
    <n v="179"/>
    <n v="4309"/>
    <n v="237.62"/>
    <n v="21"/>
    <n v="7"/>
    <n v="3.9E-2"/>
    <n v="1719"/>
    <d v="2024-11-14T00:00:00"/>
    <s v="Hyderabad"/>
    <x v="1"/>
    <s v="data analytics course"/>
    <d v="2024-11-14T00:00:00"/>
    <n v="4.1540960779763283E-2"/>
    <n v="1.3274860335195531"/>
    <n v="11.315238095238096"/>
    <n v="33.945714285714288"/>
    <n v="7.2342395421260832"/>
  </r>
  <r>
    <s v="A1463"/>
    <s v="Data Analytics Course"/>
    <n v="86"/>
    <n v="5538"/>
    <n v="223.13"/>
    <n v="22"/>
    <n v="7"/>
    <n v="3.6999999999999998E-2"/>
    <n v="1544"/>
    <d v="2024-11-30T00:00:00"/>
    <s v="Hyderabad"/>
    <x v="2"/>
    <s v="data anaytics training"/>
    <d v="2024-11-30T00:00:00"/>
    <n v="1.5529071867100036E-2"/>
    <n v="2.5945348837209301"/>
    <n v="10.142272727272728"/>
    <n v="31.875714285714285"/>
    <n v="6.9197328911396943"/>
  </r>
  <r>
    <s v="A1464"/>
    <s v="Data Analytics Course"/>
    <n v="92"/>
    <n v="3162"/>
    <n v="202.76"/>
    <n v="25"/>
    <n v="5"/>
    <n v="4.5999999999999999E-2"/>
    <n v="1577"/>
    <d v="2024-01-11T00:00:00"/>
    <s v="Hyderabad"/>
    <x v="1"/>
    <s v="data anaytics training"/>
    <d v="2024-01-11T00:00:00"/>
    <n v="2.9095509171410499E-2"/>
    <n v="2.2039130434782606"/>
    <n v="8.1104000000000003"/>
    <n v="40.552"/>
    <n v="7.7776681791280335"/>
  </r>
  <r>
    <s v="A1465"/>
    <s v="Data Analytics Course"/>
    <n v="125"/>
    <n v="5811"/>
    <n v="194.92"/>
    <n v="14"/>
    <n v="7"/>
    <n v="0.03"/>
    <n v="1505"/>
    <d v="2024-11-22T00:00:00"/>
    <s v="Hyderabad"/>
    <x v="2"/>
    <s v="data anaytics training"/>
    <d v="2024-11-22T00:00:00"/>
    <n v="2.1510927551196008E-2"/>
    <n v="1.5593599999999999"/>
    <n v="13.922857142857142"/>
    <n v="27.845714285714283"/>
    <n v="7.7211163554278688"/>
  </r>
  <r>
    <s v="A1466"/>
    <s v="Data Analytics Course"/>
    <n v="147"/>
    <n v="3112"/>
    <n v="206.74"/>
    <n v="12"/>
    <n v="8"/>
    <n v="5.3999999999999999E-2"/>
    <n v="1815"/>
    <s v="18-11-2024"/>
    <s v="Hyderabad"/>
    <x v="1"/>
    <s v="data analytics course"/>
    <d v="2024-11-18T00:00:00"/>
    <n v="4.7236503856041133E-2"/>
    <n v="1.4063945578231294"/>
    <n v="17.228333333333335"/>
    <n v="25.842500000000001"/>
    <n v="8.7791428847828179"/>
  </r>
  <r>
    <s v="A1467"/>
    <s v="Data Analytics Course"/>
    <n v="143"/>
    <n v="4492"/>
    <n v="188.98"/>
    <n v="13"/>
    <n v="3"/>
    <n v="5.6000000000000001E-2"/>
    <n v="1505"/>
    <d v="2024-11-09T00:00:00"/>
    <s v="Hyderabad"/>
    <x v="1"/>
    <s v="online data analytic"/>
    <d v="2024-11-09T00:00:00"/>
    <n v="3.1834372217275156E-2"/>
    <n v="1.3215384615384616"/>
    <n v="14.536923076923076"/>
    <n v="62.993333333333332"/>
    <n v="7.9638056937242041"/>
  </r>
  <r>
    <s v="A1468"/>
    <s v="Data Analytics Course"/>
    <n v="181"/>
    <n v="4518.5"/>
    <n v="208.33"/>
    <n v="22"/>
    <n v="8"/>
    <n v="4.3999999999999997E-2"/>
    <n v="1932"/>
    <d v="2024-11-05T00:00:00"/>
    <s v="Hyderabad"/>
    <x v="2"/>
    <s v="online data analytic"/>
    <d v="2024-11-05T00:00:00"/>
    <n v="4.0057541219431225E-2"/>
    <n v="1.1509944751381216"/>
    <n v="9.4695454545454556"/>
    <n v="26.041250000000002"/>
    <n v="9.2737483799740783"/>
  </r>
  <r>
    <s v="A1469"/>
    <s v="Data Analytics Course"/>
    <n v="164"/>
    <n v="3872"/>
    <n v="210.53"/>
    <n v="12"/>
    <n v="5"/>
    <n v="0.03"/>
    <n v="1532"/>
    <d v="2024-11-12T00:00:00"/>
    <s v="Hyderabad"/>
    <x v="2"/>
    <s v="data analitics online"/>
    <d v="2024-11-12T00:00:00"/>
    <n v="4.2355371900826444E-2"/>
    <n v="1.2837195121951219"/>
    <n v="17.544166666666666"/>
    <n v="42.106000000000002"/>
    <n v="7.2768726547285425"/>
  </r>
  <r>
    <s v="A1470"/>
    <s v="Data Analytics Course"/>
    <n v="199"/>
    <n v="4255"/>
    <n v="212.84"/>
    <n v="14"/>
    <n v="6"/>
    <n v="5.3999999999999999E-2"/>
    <n v="1125"/>
    <d v="2024-11-22T00:00:00"/>
    <s v="Hyderabad"/>
    <x v="0"/>
    <s v="learn data analytics"/>
    <d v="2024-11-22T00:00:00"/>
    <n v="4.6768507638072852E-2"/>
    <n v="1.0695477386934673"/>
    <n v="15.202857142857143"/>
    <n v="35.473333333333336"/>
    <n v="5.2856605901146398"/>
  </r>
  <r>
    <s v="A1471"/>
    <s v="Data Analytics Course"/>
    <n v="83"/>
    <n v="4518.5"/>
    <n v="229.97"/>
    <n v="12"/>
    <n v="8"/>
    <n v="9.6000000000000002E-2"/>
    <n v="2000"/>
    <s v="30-11-2024"/>
    <s v="Hyderabad"/>
    <x v="0"/>
    <s v="analytics for data"/>
    <d v="2024-11-30T00:00:00"/>
    <n v="1.8368927741507137E-2"/>
    <n v="2.7707228915662649"/>
    <n v="19.164166666666667"/>
    <n v="28.74625"/>
    <n v="8.6967865373744395"/>
  </r>
  <r>
    <s v="A1472"/>
    <s v="Data Analytics Course"/>
    <n v="150"/>
    <n v="5619"/>
    <n v="191.89"/>
    <n v="23"/>
    <n v="6"/>
    <n v="0.04"/>
    <n v="1735"/>
    <d v="2024-11-19T00:00:00"/>
    <s v="Hyderabad"/>
    <x v="0"/>
    <s v="data anaytics training"/>
    <d v="2024-11-19T00:00:00"/>
    <n v="2.6695141484249868E-2"/>
    <n v="1.2792666666666666"/>
    <n v="8.3430434782608689"/>
    <n v="31.981666666666666"/>
    <n v="9.0416384386888335"/>
  </r>
  <r>
    <s v="A1473"/>
    <s v="Data Analytics Course"/>
    <n v="171"/>
    <n v="5157"/>
    <n v="183.26"/>
    <n v="24"/>
    <n v="9"/>
    <n v="4.5999999999999999E-2"/>
    <n v="1430"/>
    <d v="2024-09-11T00:00:00"/>
    <s v="Hyderabad"/>
    <x v="0"/>
    <s v="data analitics online"/>
    <d v="2024-09-11T00:00:00"/>
    <n v="3.3158813263525308E-2"/>
    <n v="1.0716959064327485"/>
    <n v="7.6358333333333333"/>
    <n v="20.362222222222222"/>
    <n v="7.8031212484994006"/>
  </r>
  <r>
    <s v="A1474"/>
    <s v="Data Analytics Course"/>
    <n v="139"/>
    <n v="4871"/>
    <n v="211.4"/>
    <n v="25"/>
    <n v="9"/>
    <n v="6.5000000000000002E-2"/>
    <n v="1247"/>
    <d v="2024-11-29T00:00:00"/>
    <s v="Hyderabad"/>
    <x v="1"/>
    <s v="data anaytics training"/>
    <d v="2024-11-29T00:00:00"/>
    <n v="2.8536234859371793E-2"/>
    <n v="1.5208633093525181"/>
    <n v="8.4559999999999995"/>
    <n v="23.488888888888891"/>
    <n v="5.8987701040681175"/>
  </r>
  <r>
    <s v="A1475"/>
    <s v="Data Analytics Course"/>
    <n v="117"/>
    <n v="5863"/>
    <n v="224.69"/>
    <n v="24"/>
    <n v="10"/>
    <n v="5.3999999999999999E-2"/>
    <n v="1580"/>
    <s v="16-11-2024"/>
    <s v="Hyderabad"/>
    <x v="1"/>
    <s v="data analitics online"/>
    <d v="2024-11-16T00:00:00"/>
    <n v="1.9955654101995565E-2"/>
    <n v="1.9204273504273504"/>
    <n v="9.3620833333333326"/>
    <n v="22.469000000000001"/>
    <n v="7.0319106324268992"/>
  </r>
  <r>
    <s v="A1476"/>
    <s v="Data Analytics Course"/>
    <n v="196"/>
    <n v="3205"/>
    <n v="188.82"/>
    <n v="24"/>
    <n v="8"/>
    <n v="4.1000000000000002E-2"/>
    <n v="1837"/>
    <s v="24-11-2024"/>
    <s v="Hyderabad"/>
    <x v="0"/>
    <s v="data analytics course"/>
    <d v="2024-11-24T00:00:00"/>
    <n v="6.1154446177847113E-2"/>
    <n v="0.96336734693877546"/>
    <n v="7.8674999999999997"/>
    <n v="23.602499999999999"/>
    <n v="9.7288422836563928"/>
  </r>
  <r>
    <s v="A1477"/>
    <s v="Data Analytics Course"/>
    <n v="184"/>
    <n v="5463"/>
    <n v="224.58"/>
    <n v="30"/>
    <n v="6"/>
    <n v="3.3000000000000002E-2"/>
    <n v="1565"/>
    <d v="2024-11-26T00:00:00"/>
    <s v="Hyderabad"/>
    <x v="2"/>
    <s v="data anaytics training"/>
    <d v="2024-11-26T00:00:00"/>
    <n v="3.368112758557569E-2"/>
    <n v="1.2205434782608697"/>
    <n v="7.4860000000000007"/>
    <n v="37.43"/>
    <n v="6.9685635408317745"/>
  </r>
  <r>
    <s v="A1478"/>
    <s v="Data Analytics Course"/>
    <n v="103"/>
    <n v="5667"/>
    <n v="232.48"/>
    <n v="26"/>
    <n v="8"/>
    <n v="4.5999999999999999E-2"/>
    <n v="1888"/>
    <d v="2024-11-16T00:00:00"/>
    <s v="Hyderabad"/>
    <x v="2"/>
    <s v="learn data analytics"/>
    <d v="2024-11-16T00:00:00"/>
    <n v="1.8175401446973709E-2"/>
    <n v="2.2570873786407768"/>
    <n v="8.9415384615384603"/>
    <n v="29.06"/>
    <n v="8.1211286992429468"/>
  </r>
  <r>
    <s v="A1479"/>
    <s v="Data Analytics Course"/>
    <n v="120"/>
    <n v="4666"/>
    <n v="180.72"/>
    <n v="30"/>
    <n v="3"/>
    <n v="5.2999999999999999E-2"/>
    <n v="1627"/>
    <d v="2024-11-24T00:00:00"/>
    <s v="Hyderabad"/>
    <x v="1"/>
    <s v="analytics for data"/>
    <d v="2024-11-24T00:00:00"/>
    <n v="2.5717959708529789E-2"/>
    <n v="1.506"/>
    <n v="6.024"/>
    <n v="60.24"/>
    <n v="9.0028773793714034"/>
  </r>
  <r>
    <s v="A1480"/>
    <s v="Data Analytics Course"/>
    <n v="148"/>
    <n v="3632"/>
    <n v="214.46"/>
    <n v="28"/>
    <n v="10"/>
    <n v="4.5999999999999999E-2"/>
    <n v="1589"/>
    <d v="2024-11-18T00:00:00"/>
    <s v="Hyderabad"/>
    <x v="1"/>
    <s v="data anaytics training"/>
    <d v="2024-11-18T00:00:00"/>
    <n v="4.0748898678414094E-2"/>
    <n v="1.4490540540540542"/>
    <n v="7.6592857142857147"/>
    <n v="21.446000000000002"/>
    <n v="7.4093070968945254"/>
  </r>
  <r>
    <s v="A1481"/>
    <s v="Data Analytics Course"/>
    <n v="80"/>
    <n v="3834"/>
    <n v="181.22"/>
    <n v="15"/>
    <n v="3"/>
    <n v="3.6999999999999998E-2"/>
    <n v="1270"/>
    <s v="22-11-2024"/>
    <s v="Hyderabad"/>
    <x v="2"/>
    <s v="learn data analytics"/>
    <d v="2024-11-22T00:00:00"/>
    <n v="2.0865936358894107E-2"/>
    <n v="2.26525"/>
    <n v="12.081333333333333"/>
    <n v="60.406666666666666"/>
    <n v="7.0080565059044257"/>
  </r>
  <r>
    <s v="A1482"/>
    <s v="Data Analytics Course"/>
    <n v="168"/>
    <n v="3934"/>
    <n v="246.09"/>
    <n v="24"/>
    <n v="6"/>
    <n v="4.1000000000000002E-2"/>
    <n v="1592"/>
    <s v="24-11-2024"/>
    <s v="Hyderabad"/>
    <x v="2"/>
    <s v="data analitics online"/>
    <d v="2024-11-24T00:00:00"/>
    <n v="4.2704626334519574E-2"/>
    <n v="1.4648214285714285"/>
    <n v="10.25375"/>
    <n v="41.015000000000001"/>
    <n v="6.4691779430289733"/>
  </r>
  <r>
    <s v="A1483"/>
    <s v="Data Analytics Course"/>
    <n v="136"/>
    <n v="5724"/>
    <n v="218.37"/>
    <n v="25"/>
    <n v="10"/>
    <n v="7.3999999999999996E-2"/>
    <n v="1268"/>
    <d v="2024-11-18T00:00:00"/>
    <s v="Hyderabad"/>
    <x v="0"/>
    <s v="data analytics course"/>
    <d v="2024-11-18T00:00:00"/>
    <n v="2.3759608665269043E-2"/>
    <n v="1.6056617647058824"/>
    <n v="8.7347999999999999"/>
    <n v="21.837"/>
    <n v="5.8066584237761596"/>
  </r>
  <r>
    <s v="A1484"/>
    <s v="Data Analytics Course"/>
    <n v="86"/>
    <n v="4763"/>
    <n v="243.78"/>
    <n v="11"/>
    <n v="8"/>
    <n v="9.2999999999999999E-2"/>
    <n v="1770"/>
    <s v="13-11-2024"/>
    <s v="Hyderabad"/>
    <x v="1"/>
    <s v="learn data analytics"/>
    <d v="2024-11-13T00:00:00"/>
    <n v="1.8055847155154313E-2"/>
    <n v="2.8346511627906978"/>
    <n v="22.16181818181818"/>
    <n v="30.4725"/>
    <n v="7.2606448437115434"/>
  </r>
  <r>
    <s v="A1485"/>
    <s v="Data Analytics Course"/>
    <n v="175"/>
    <n v="3095"/>
    <n v="236.86"/>
    <n v="22"/>
    <n v="4"/>
    <n v="2.3E-2"/>
    <n v="1617"/>
    <d v="2024-11-20T00:00:00"/>
    <s v="Hyderabad"/>
    <x v="1"/>
    <s v="analytics for data"/>
    <d v="2024-11-20T00:00:00"/>
    <n v="5.6542810985460421E-2"/>
    <n v="1.3534857142857144"/>
    <n v="10.766363636363637"/>
    <n v="59.215000000000003"/>
    <n v="6.8268175293422271"/>
  </r>
  <r>
    <s v="A1486"/>
    <s v="Data Analytics Course"/>
    <n v="173"/>
    <n v="5554"/>
    <n v="185.09"/>
    <n v="22"/>
    <n v="4"/>
    <n v="2.3E-2"/>
    <n v="1000"/>
    <d v="2024-11-01T00:00:00"/>
    <s v="Hyderabad"/>
    <x v="0"/>
    <s v="data analytics course"/>
    <d v="2024-11-01T00:00:00"/>
    <n v="3.1148721642059778E-2"/>
    <n v="1.0698843930635837"/>
    <n v="8.413181818181819"/>
    <n v="46.272500000000001"/>
    <n v="5.4027770273920792"/>
  </r>
  <r>
    <s v="A1487"/>
    <s v="Data Analytics Course"/>
    <n v="192"/>
    <n v="3407"/>
    <n v="223.29"/>
    <n v="29"/>
    <n v="9"/>
    <n v="4.7E-2"/>
    <n v="1538"/>
    <d v="2024-11-25T00:00:00"/>
    <s v="Hyderabad"/>
    <x v="2"/>
    <s v="data anaytics training"/>
    <d v="2024-11-25T00:00:00"/>
    <n v="5.6354564132668039E-2"/>
    <n v="1.1629687499999999"/>
    <n v="7.6996551724137925"/>
    <n v="24.81"/>
    <n v="6.8879036230910478"/>
  </r>
  <r>
    <s v="A1488"/>
    <s v="Data Analytics Course"/>
    <n v="190"/>
    <n v="4465"/>
    <n v="241.38"/>
    <n v="28"/>
    <n v="5"/>
    <n v="2.5999999999999999E-2"/>
    <n v="1910"/>
    <d v="2024-11-04T00:00:00"/>
    <s v="Hyderabad"/>
    <x v="0"/>
    <s v="analytics for data"/>
    <d v="2024-11-04T00:00:00"/>
    <n v="4.2553191489361701E-2"/>
    <n v="1.2704210526315789"/>
    <n v="8.6207142857142856"/>
    <n v="48.275999999999996"/>
    <n v="7.9128345347584723"/>
  </r>
  <r>
    <s v="A1489"/>
    <s v="Data Analytics Course"/>
    <n v="161"/>
    <n v="3311"/>
    <n v="221.64"/>
    <n v="16"/>
    <n v="5"/>
    <n v="3.1E-2"/>
    <n v="1006"/>
    <d v="2024-02-11T00:00:00"/>
    <s v="Hyderabad"/>
    <x v="2"/>
    <s v="online data analytic"/>
    <d v="2024-02-11T00:00:00"/>
    <n v="4.8625792811839326E-2"/>
    <n v="1.3766459627329191"/>
    <n v="13.852499999999999"/>
    <n v="44.327999999999996"/>
    <n v="4.5388918967695364"/>
  </r>
  <r>
    <s v="A1490"/>
    <s v="Data Analytics Course"/>
    <n v="197"/>
    <n v="3265"/>
    <n v="200.4"/>
    <n v="15"/>
    <n v="3"/>
    <n v="1.4999999999999999E-2"/>
    <n v="1882"/>
    <d v="2024-01-11T00:00:00"/>
    <s v="Hyderabad"/>
    <x v="1"/>
    <s v="learn data analytics"/>
    <d v="2024-01-11T00:00:00"/>
    <n v="6.0336906584992342E-2"/>
    <n v="1.017258883248731"/>
    <n v="13.360000000000001"/>
    <n v="66.8"/>
    <n v="9.39121756487026"/>
  </r>
  <r>
    <s v="A1491"/>
    <s v="Data Analytics Course"/>
    <n v="80"/>
    <n v="4969"/>
    <n v="210.7"/>
    <n v="25"/>
    <n v="3"/>
    <n v="3.6999999999999998E-2"/>
    <n v="1146"/>
    <d v="2024-11-05T00:00:00"/>
    <s v="Hyderabad"/>
    <x v="2"/>
    <s v="analytics for data"/>
    <d v="2024-11-05T00:00:00"/>
    <n v="1.6099818877037632E-2"/>
    <n v="2.63375"/>
    <n v="8.427999999999999"/>
    <n v="70.233333333333334"/>
    <n v="5.4390128144280974"/>
  </r>
  <r>
    <s v="A1492"/>
    <s v="Data Analytics Course"/>
    <n v="145"/>
    <n v="5368"/>
    <n v="200.88"/>
    <n v="14"/>
    <n v="4"/>
    <n v="2.8000000000000001E-2"/>
    <n v="1125"/>
    <d v="2024-11-27T00:00:00"/>
    <s v="Hyderabad"/>
    <x v="2"/>
    <s v="learn data analytics"/>
    <d v="2024-11-27T00:00:00"/>
    <n v="2.7011922503725784E-2"/>
    <n v="1.3853793103448275"/>
    <n v="14.348571428571429"/>
    <n v="50.22"/>
    <n v="5.6003584229390686"/>
  </r>
  <r>
    <s v="A1493"/>
    <s v="Data Analytics Course"/>
    <n v="90"/>
    <n v="5851"/>
    <n v="232.94"/>
    <n v="22"/>
    <n v="8"/>
    <n v="8.8999999999999996E-2"/>
    <n v="1421"/>
    <d v="2024-11-28T00:00:00"/>
    <s v="Hyderabad"/>
    <x v="0"/>
    <s v="learn data analytics"/>
    <d v="2024-11-28T00:00:00"/>
    <n v="1.5381985985301657E-2"/>
    <n v="2.588222222222222"/>
    <n v="10.588181818181818"/>
    <n v="29.1175"/>
    <n v="6.1002833347643168"/>
  </r>
  <r>
    <s v="A1494"/>
    <s v="Data Analytics Course"/>
    <n v="109"/>
    <n v="4884"/>
    <n v="228.13"/>
    <n v="11"/>
    <n v="8"/>
    <n v="4.5999999999999999E-2"/>
    <n v="1680"/>
    <d v="2024-11-15T00:00:00"/>
    <s v="Hyderabad"/>
    <x v="0"/>
    <s v="data anaytics training"/>
    <d v="2024-11-15T00:00:00"/>
    <n v="2.2317772317772318E-2"/>
    <n v="2.0929357798165138"/>
    <n v="20.739090909090908"/>
    <n v="28.516249999999999"/>
    <n v="7.3642221540349802"/>
  </r>
  <r>
    <s v="A1495"/>
    <s v="Data Analytics Course"/>
    <n v="130"/>
    <n v="5719"/>
    <n v="215.57"/>
    <n v="10"/>
    <n v="5"/>
    <n v="0.03"/>
    <n v="1208"/>
    <d v="2024-11-23T00:00:00"/>
    <s v="Hyderabad"/>
    <x v="0"/>
    <s v="analytics for data"/>
    <d v="2024-11-23T00:00:00"/>
    <n v="2.2731246721454799E-2"/>
    <n v="1.6582307692307692"/>
    <n v="21.556999999999999"/>
    <n v="43.113999999999997"/>
    <n v="5.6037482024400429"/>
  </r>
  <r>
    <s v="A1496"/>
    <s v="Data Analytics Course"/>
    <n v="179"/>
    <n v="5828"/>
    <n v="247.84"/>
    <n v="15"/>
    <n v="4"/>
    <n v="2.1999999999999999E-2"/>
    <n v="1127"/>
    <d v="2024-11-14T00:00:00"/>
    <s v="Hyderabad"/>
    <x v="1"/>
    <s v="analytics for data"/>
    <d v="2024-11-14T00:00:00"/>
    <n v="3.0713795470144131E-2"/>
    <n v="1.3845810055865921"/>
    <n v="16.522666666666666"/>
    <n v="61.96"/>
    <n v="4.5472885732730797"/>
  </r>
  <r>
    <s v="A1497"/>
    <s v="Data Analytics Course"/>
    <n v="181"/>
    <n v="4935"/>
    <n v="239.29"/>
    <n v="15"/>
    <n v="5"/>
    <n v="0.03"/>
    <n v="1497"/>
    <d v="2024-09-11T00:00:00"/>
    <s v="Hyderabad"/>
    <x v="0"/>
    <s v="data anaytics training"/>
    <d v="2024-09-11T00:00:00"/>
    <n v="3.667679837892604E-2"/>
    <n v="1.3220441988950276"/>
    <n v="15.952666666666666"/>
    <n v="47.857999999999997"/>
    <n v="6.256007355092148"/>
  </r>
  <r>
    <s v="A1498"/>
    <s v="Data Analytics Course"/>
    <n v="188"/>
    <n v="4491"/>
    <n v="201.73"/>
    <n v="24"/>
    <n v="7"/>
    <n v="3.6999999999999998E-2"/>
    <n v="1906"/>
    <d v="2024-11-21T00:00:00"/>
    <s v="Hyderabad"/>
    <x v="1"/>
    <s v="online data analytic"/>
    <d v="2024-11-21T00:00:00"/>
    <n v="4.1861500779336452E-2"/>
    <n v="1.0730319148936169"/>
    <n v="8.4054166666666656"/>
    <n v="28.818571428571428"/>
    <n v="9.4482724433648944"/>
  </r>
  <r>
    <s v="A1499"/>
    <s v="Data Analytics Course"/>
    <n v="139"/>
    <n v="3659"/>
    <n v="189.09"/>
    <n v="16"/>
    <n v="4"/>
    <n v="2.9000000000000001E-2"/>
    <n v="1892"/>
    <d v="2024-11-29T00:00:00"/>
    <s v="Hyderabad"/>
    <x v="0"/>
    <s v="data anaytics training"/>
    <d v="2024-11-29T00:00:00"/>
    <n v="3.7988521453949167E-2"/>
    <n v="1.3603597122302158"/>
    <n v="11.818125"/>
    <n v="47.272500000000001"/>
    <n v="10.005817335660268"/>
  </r>
  <r>
    <s v="A1500"/>
    <s v="Data Analytics Course"/>
    <n v="99"/>
    <n v="4809"/>
    <n v="210.6"/>
    <n v="24"/>
    <n v="8"/>
    <n v="8.1000000000000003E-2"/>
    <n v="1505"/>
    <s v="13-11-2024"/>
    <s v="Hyderabad"/>
    <x v="1"/>
    <s v="data analytics course"/>
    <d v="2024-11-13T00:00:00"/>
    <n v="2.0586400499064253E-2"/>
    <n v="2.1272727272727274"/>
    <n v="8.7750000000000004"/>
    <n v="26.324999999999999"/>
    <n v="7.1462488129154798"/>
  </r>
  <r>
    <s v="A1501"/>
    <s v="Data Analytics Course"/>
    <n v="95"/>
    <n v="5844"/>
    <n v="211.95"/>
    <n v="10"/>
    <n v="9"/>
    <n v="9.5000000000000001E-2"/>
    <n v="1444"/>
    <d v="2024-11-08T00:00:00"/>
    <s v="Hyderabad"/>
    <x v="2"/>
    <s v="learn data analytics"/>
    <d v="2024-11-08T00:00:00"/>
    <n v="1.6255989048596851E-2"/>
    <n v="2.2310526315789474"/>
    <n v="21.195"/>
    <n v="23.549999999999997"/>
    <n v="6.8129275772587876"/>
  </r>
  <r>
    <s v="A1502"/>
    <s v="Data Analytics Course"/>
    <n v="131"/>
    <n v="5559"/>
    <n v="215.57"/>
    <n v="28"/>
    <n v="5"/>
    <n v="3.5000000000000003E-2"/>
    <n v="1604"/>
    <d v="2024-11-29T00:00:00"/>
    <s v="Hyderabad"/>
    <x v="0"/>
    <s v="analytics for data"/>
    <d v="2024-11-29T00:00:00"/>
    <n v="2.3565389458535708E-2"/>
    <n v="1.6455725190839694"/>
    <n v="7.6989285714285716"/>
    <n v="43.113999999999997"/>
    <n v="7.4407385072134344"/>
  </r>
  <r>
    <s v="A1503"/>
    <s v="Data Analytics Course"/>
    <n v="190"/>
    <n v="4630"/>
    <n v="217.6"/>
    <n v="27"/>
    <n v="4"/>
    <n v="4.5999999999999999E-2"/>
    <n v="1900"/>
    <d v="2024-11-23T00:00:00"/>
    <s v="Hyderabad"/>
    <x v="2"/>
    <s v="data anaytics training"/>
    <d v="2024-11-23T00:00:00"/>
    <n v="4.1036717062634988E-2"/>
    <n v="1.1452631578947368"/>
    <n v="8.0592592592592585"/>
    <n v="54.4"/>
    <n v="8.7316176470588243"/>
  </r>
  <r>
    <s v="A1504"/>
    <s v="Data Analytics Course"/>
    <n v="123"/>
    <n v="3340"/>
    <n v="225.16"/>
    <n v="23"/>
    <n v="8"/>
    <n v="4.5999999999999999E-2"/>
    <n v="1563"/>
    <d v="2024-11-26T00:00:00"/>
    <s v="Hyderabad"/>
    <x v="1"/>
    <s v="online data analytic"/>
    <d v="2024-11-26T00:00:00"/>
    <n v="3.6826347305389223E-2"/>
    <n v="1.8305691056910569"/>
    <n v="9.7895652173913046"/>
    <n v="28.145"/>
    <n v="6.9417303251021494"/>
  </r>
  <r>
    <s v="A1505"/>
    <s v="Data Analytics Course"/>
    <n v="97"/>
    <n v="3330"/>
    <n v="182.98"/>
    <n v="15"/>
    <n v="3"/>
    <n v="3.1E-2"/>
    <n v="1102"/>
    <d v="2024-11-14T00:00:00"/>
    <s v="Hyderabad"/>
    <x v="2"/>
    <s v="data analitics online"/>
    <d v="2024-11-14T00:00:00"/>
    <n v="2.9129129129129128E-2"/>
    <n v="1.8863917525773195"/>
    <n v="12.198666666666666"/>
    <n v="60.993333333333332"/>
    <n v="6.0225161219805443"/>
  </r>
  <r>
    <s v="A1506"/>
    <s v="Data Analytics Course"/>
    <n v="164"/>
    <n v="3117"/>
    <n v="198.53"/>
    <n v="25"/>
    <n v="5"/>
    <n v="4.5999999999999999E-2"/>
    <n v="1749"/>
    <d v="2024-11-29T00:00:00"/>
    <s v="Hyderabad"/>
    <x v="1"/>
    <s v="analytics for data"/>
    <d v="2024-11-29T00:00:00"/>
    <n v="5.2614693615656079E-2"/>
    <n v="1.2105487804878048"/>
    <n v="7.9412000000000003"/>
    <n v="39.706000000000003"/>
    <n v="8.8097516748098528"/>
  </r>
  <r>
    <s v="A1507"/>
    <s v="Data Analytics Course"/>
    <n v="134"/>
    <n v="3562"/>
    <n v="247.59"/>
    <n v="24"/>
    <n v="10"/>
    <n v="7.4999999999999997E-2"/>
    <n v="1295"/>
    <d v="2024-01-11T00:00:00"/>
    <s v="Hyderabad"/>
    <x v="2"/>
    <s v="analytics for data"/>
    <d v="2024-01-11T00:00:00"/>
    <n v="3.7619314991577765E-2"/>
    <n v="1.8476865671641791"/>
    <n v="10.31625"/>
    <n v="24.759"/>
    <n v="5.2304212609556124"/>
  </r>
  <r>
    <s v="A1508"/>
    <s v="Data Analytics Course"/>
    <n v="117"/>
    <n v="5144"/>
    <n v="221.76"/>
    <n v="23"/>
    <n v="3"/>
    <n v="3.7999999999999999E-2"/>
    <n v="1338"/>
    <d v="2024-11-11T00:00:00"/>
    <s v="Hyderabad"/>
    <x v="1"/>
    <s v="analytics for data"/>
    <d v="2024-11-11T00:00:00"/>
    <n v="2.2744945567651633E-2"/>
    <n v="1.8953846153846152"/>
    <n v="9.6417391304347824"/>
    <n v="73.92"/>
    <n v="6.033549783549784"/>
  </r>
  <r>
    <s v="A1509"/>
    <s v="Data Analytics Course"/>
    <n v="168"/>
    <n v="4375"/>
    <n v="215.57"/>
    <n v="19"/>
    <n v="8"/>
    <n v="4.8000000000000001E-2"/>
    <n v="1267"/>
    <d v="2024-11-06T00:00:00"/>
    <s v="Hyderabad"/>
    <x v="1"/>
    <s v="online data analytic"/>
    <d v="2024-11-06T00:00:00"/>
    <n v="3.8399999999999997E-2"/>
    <n v="1.2831547619047619"/>
    <n v="11.34578947368421"/>
    <n v="26.946249999999999"/>
    <n v="5.877441202393654"/>
  </r>
  <r>
    <s v="A1510"/>
    <s v="Data Analytics Course"/>
    <n v="173"/>
    <n v="3328"/>
    <n v="224.17"/>
    <n v="15"/>
    <n v="10"/>
    <n v="4.2999999999999997E-2"/>
    <n v="1904"/>
    <d v="2024-11-28T00:00:00"/>
    <s v="Hyderabad"/>
    <x v="1"/>
    <s v="online data analytic"/>
    <d v="2024-11-28T00:00:00"/>
    <n v="5.198317307692308E-2"/>
    <n v="1.2957803468208091"/>
    <n v="14.944666666666667"/>
    <n v="22.416999999999998"/>
    <n v="8.4935539991970384"/>
  </r>
  <r>
    <s v="A1511"/>
    <s v="Data Analytics Course"/>
    <n v="158"/>
    <n v="4336"/>
    <n v="238.29"/>
    <n v="26"/>
    <n v="9"/>
    <n v="5.1999999999999998E-2"/>
    <n v="1245"/>
    <d v="2024-11-30T00:00:00"/>
    <s v="Hyderabad"/>
    <x v="2"/>
    <s v="online data analytic"/>
    <d v="2024-11-30T00:00:00"/>
    <n v="3.6439114391143911E-2"/>
    <n v="1.5081645569620252"/>
    <n v="9.1649999999999991"/>
    <n v="26.476666666666667"/>
    <n v="5.2247261739896764"/>
  </r>
  <r>
    <s v="A1512"/>
    <s v="Data Analytics Course"/>
    <n v="135"/>
    <n v="5063"/>
    <n v="195.58"/>
    <n v="22"/>
    <n v="6"/>
    <n v="4.3999999999999997E-2"/>
    <n v="1505"/>
    <s v="29-11-2024"/>
    <s v="Hyderabad"/>
    <x v="2"/>
    <s v="learn data analytics"/>
    <d v="2024-11-29T00:00:00"/>
    <n v="2.6664033181907961E-2"/>
    <n v="1.4487407407407409"/>
    <n v="8.89"/>
    <n v="32.596666666666671"/>
    <n v="7.6950608446671431"/>
  </r>
  <r>
    <s v="A1513"/>
    <s v="Data Analytics Course"/>
    <n v="182"/>
    <n v="5993"/>
    <n v="215.57"/>
    <n v="19"/>
    <n v="3"/>
    <n v="4.5999999999999999E-2"/>
    <n v="1254"/>
    <s v="19-11-2024"/>
    <s v="Hyderabad"/>
    <x v="0"/>
    <s v="data anaytics training"/>
    <d v="2024-11-19T00:00:00"/>
    <n v="3.0368763557483729E-2"/>
    <n v="1.1844505494505495"/>
    <n v="11.34578947368421"/>
    <n v="71.856666666666669"/>
    <n v="5.8171359651157397"/>
  </r>
  <r>
    <s v="A1514"/>
    <s v="Data Analytics Course"/>
    <n v="83"/>
    <n v="3926"/>
    <n v="237.07"/>
    <n v="22"/>
    <n v="5"/>
    <n v="0.06"/>
    <n v="1667"/>
    <d v="2024-11-07T00:00:00"/>
    <s v="Hyderabad"/>
    <x v="1"/>
    <s v="analytics for data"/>
    <d v="2024-11-07T00:00:00"/>
    <n v="2.1141110545084055E-2"/>
    <n v="2.8562650602409638"/>
    <n v="10.77590909090909"/>
    <n v="47.414000000000001"/>
    <n v="7.031678407221496"/>
  </r>
  <r>
    <s v="A1515"/>
    <s v="Data Analytics Course"/>
    <n v="85"/>
    <n v="5570"/>
    <n v="221.73"/>
    <n v="14"/>
    <n v="7"/>
    <n v="4.5999999999999999E-2"/>
    <n v="1292"/>
    <s v="29-11-2024"/>
    <s v="Hyderabad"/>
    <x v="2"/>
    <s v="data analitics online"/>
    <d v="2024-11-29T00:00:00"/>
    <n v="1.526032315978456E-2"/>
    <n v="2.6085882352941177"/>
    <n v="15.837857142857143"/>
    <n v="31.675714285714285"/>
    <n v="5.8269065981148245"/>
  </r>
  <r>
    <s v="A1516"/>
    <s v="Data Analytics Course"/>
    <n v="98"/>
    <n v="5571"/>
    <n v="208.4"/>
    <n v="15"/>
    <n v="7"/>
    <n v="7.0999999999999994E-2"/>
    <n v="1890"/>
    <s v="14-11-2024"/>
    <s v="Hyderabad"/>
    <x v="0"/>
    <s v="analytics for data"/>
    <d v="2024-11-14T00:00:00"/>
    <n v="1.7591096751032129E-2"/>
    <n v="2.1265306122448981"/>
    <n v="13.893333333333334"/>
    <n v="29.771428571428572"/>
    <n v="9.0690978886756231"/>
  </r>
  <r>
    <s v="A1517"/>
    <s v="Data Analytics Course"/>
    <n v="151"/>
    <n v="5700"/>
    <n v="182.27"/>
    <n v="13"/>
    <n v="3"/>
    <n v="5.3999999999999999E-2"/>
    <n v="1255"/>
    <d v="2024-11-23T00:00:00"/>
    <s v="Hyderabad"/>
    <x v="1"/>
    <s v="data analytics course"/>
    <d v="2024-11-23T00:00:00"/>
    <n v="2.6491228070175437E-2"/>
    <n v="1.2070860927152318"/>
    <n v="14.020769230769231"/>
    <n v="60.756666666666668"/>
    <n v="6.8853898063312666"/>
  </r>
  <r>
    <s v="A1518"/>
    <s v="Data Analytics Course"/>
    <n v="122"/>
    <n v="4441"/>
    <n v="244.38"/>
    <n v="25"/>
    <n v="6"/>
    <n v="4.9000000000000002E-2"/>
    <n v="1505"/>
    <d v="2024-02-11T00:00:00"/>
    <s v="Hyderabad"/>
    <x v="0"/>
    <s v="analytics for data"/>
    <d v="2024-02-11T00:00:00"/>
    <n v="2.7471290249943707E-2"/>
    <n v="2.0031147540983607"/>
    <n v="9.7751999999999999"/>
    <n v="40.729999999999997"/>
    <n v="6.1584417710123578"/>
  </r>
  <r>
    <s v="A1519"/>
    <s v="Data Analytics Course"/>
    <n v="84"/>
    <n v="4646"/>
    <n v="226.32"/>
    <n v="11"/>
    <n v="7"/>
    <n v="5.0999999999999997E-2"/>
    <n v="1596"/>
    <d v="2024-11-30T00:00:00"/>
    <s v="Hyderabad"/>
    <x v="2"/>
    <s v="analytics for data"/>
    <d v="2024-11-30T00:00:00"/>
    <n v="1.8080068876452863E-2"/>
    <n v="2.6942857142857144"/>
    <n v="20.574545454545454"/>
    <n v="32.331428571428567"/>
    <n v="7.0519618239660655"/>
  </r>
  <r>
    <s v="A1520"/>
    <s v="Data Analytics Course"/>
    <n v="127"/>
    <n v="5964"/>
    <n v="182.01"/>
    <n v="26"/>
    <n v="7"/>
    <n v="4.5999999999999999E-2"/>
    <n v="1490"/>
    <s v="25-11-2024"/>
    <s v="Hyderabad"/>
    <x v="0"/>
    <s v="data analytics course"/>
    <d v="2024-11-25T00:00:00"/>
    <n v="2.1294433266264252E-2"/>
    <n v="1.4331496062992126"/>
    <n v="7.0003846153846148"/>
    <n v="26.001428571428569"/>
    <n v="8.1863633866271091"/>
  </r>
  <r>
    <s v="A1521"/>
    <s v="Data Analytics Course"/>
    <n v="148"/>
    <n v="4725"/>
    <n v="187.02"/>
    <n v="25"/>
    <n v="3"/>
    <n v="0.02"/>
    <n v="1586"/>
    <d v="2024-11-15T00:00:00"/>
    <s v="Hyderabad"/>
    <x v="1"/>
    <s v="learn data analytics"/>
    <d v="2024-11-15T00:00:00"/>
    <n v="3.1322751322751322E-2"/>
    <n v="1.2636486486486487"/>
    <n v="7.4808000000000003"/>
    <n v="62.34"/>
    <n v="8.480376430328306"/>
  </r>
  <r>
    <s v="A1522"/>
    <s v="Data Analytics Course"/>
    <n v="85"/>
    <n v="4230"/>
    <n v="233.73"/>
    <n v="18"/>
    <n v="8"/>
    <n v="4.5999999999999999E-2"/>
    <n v="1998"/>
    <d v="2024-11-08T00:00:00"/>
    <s v="Hyderabad"/>
    <x v="2"/>
    <s v="data analytics course"/>
    <d v="2024-11-08T00:00:00"/>
    <n v="2.0094562647754138E-2"/>
    <n v="2.7497647058823529"/>
    <n v="12.984999999999999"/>
    <n v="29.216249999999999"/>
    <n v="8.5483249903735086"/>
  </r>
  <r>
    <s v="A1523"/>
    <s v="Data Analytics Course"/>
    <n v="105"/>
    <n v="3880"/>
    <n v="246.63"/>
    <n v="19"/>
    <n v="8"/>
    <n v="5.0999999999999997E-2"/>
    <n v="1598"/>
    <d v="2024-11-13T00:00:00"/>
    <s v="Hyderabad"/>
    <x v="1"/>
    <s v="data anaytics training"/>
    <d v="2024-11-13T00:00:00"/>
    <n v="2.7061855670103094E-2"/>
    <n v="2.3488571428571428"/>
    <n v="12.980526315789474"/>
    <n v="30.828749999999999"/>
    <n v="6.4793415237400156"/>
  </r>
  <r>
    <s v="A1524"/>
    <s v="Data Analytics Course"/>
    <n v="187"/>
    <n v="3842"/>
    <n v="214.35"/>
    <n v="28"/>
    <n v="5"/>
    <n v="3.1E-2"/>
    <n v="1596"/>
    <d v="2024-11-13T00:00:00"/>
    <s v="Hyderabad"/>
    <x v="1"/>
    <s v="online data analytic"/>
    <d v="2024-11-13T00:00:00"/>
    <n v="4.8672566371681415E-2"/>
    <n v="1.1462566844919786"/>
    <n v="7.6553571428571425"/>
    <n v="42.87"/>
    <n v="7.4457662701189644"/>
  </r>
  <r>
    <s v="A1525"/>
    <s v="Data Analytics Course"/>
    <n v="153"/>
    <n v="3143"/>
    <n v="244.73"/>
    <n v="12"/>
    <n v="10"/>
    <n v="6.5000000000000002E-2"/>
    <n v="1365"/>
    <d v="2024-11-15T00:00:00"/>
    <s v="Hyderabad"/>
    <x v="1"/>
    <s v="online data analytic"/>
    <d v="2024-11-15T00:00:00"/>
    <n v="4.8679605472478522E-2"/>
    <n v="1.5995424836601306"/>
    <n v="20.394166666666667"/>
    <n v="24.472999999999999"/>
    <n v="5.5775752870510358"/>
  </r>
  <r>
    <s v="A1526"/>
    <s v="Data Analytics Course"/>
    <n v="143"/>
    <n v="5781"/>
    <n v="208.63"/>
    <n v="21"/>
    <n v="9"/>
    <n v="0.05"/>
    <n v="1443"/>
    <d v="2024-11-26T00:00:00"/>
    <s v="Hyderabad"/>
    <x v="1"/>
    <s v="data analitics online"/>
    <d v="2024-11-26T00:00:00"/>
    <n v="2.4736204808856598E-2"/>
    <n v="1.4589510489510489"/>
    <n v="9.9347619047619045"/>
    <n v="23.181111111111111"/>
    <n v="6.9165508316157789"/>
  </r>
  <r>
    <s v="A1527"/>
    <s v="Data Analytics Course"/>
    <n v="183"/>
    <n v="3790"/>
    <n v="202.48"/>
    <n v="21"/>
    <n v="8"/>
    <n v="3.6999999999999998E-2"/>
    <n v="1215"/>
    <s v="26-11-2024"/>
    <s v="Hyderabad"/>
    <x v="0"/>
    <s v="data anaytics training"/>
    <d v="2024-11-26T00:00:00"/>
    <n v="4.8284960422163591E-2"/>
    <n v="1.106448087431694"/>
    <n v="9.6419047619047618"/>
    <n v="25.31"/>
    <n v="6.0005926511260377"/>
  </r>
  <r>
    <s v="A1528"/>
    <s v="Data Analytics Course"/>
    <n v="172"/>
    <n v="4250"/>
    <n v="235.2"/>
    <n v="28"/>
    <n v="7"/>
    <n v="4.5999999999999999E-2"/>
    <n v="1036"/>
    <d v="2024-06-11T00:00:00"/>
    <s v="Hyderabad"/>
    <x v="1"/>
    <s v="learn data analytics"/>
    <d v="2024-06-11T00:00:00"/>
    <n v="4.0470588235294119E-2"/>
    <n v="1.3674418604651162"/>
    <n v="8.4"/>
    <n v="33.6"/>
    <n v="4.4047619047619051"/>
  </r>
  <r>
    <s v="A1529"/>
    <s v="Data Analytics Course"/>
    <n v="98"/>
    <n v="3800"/>
    <n v="240.45"/>
    <n v="16"/>
    <n v="3"/>
    <n v="3.1E-2"/>
    <n v="1700"/>
    <d v="2024-11-01T00:00:00"/>
    <s v="Hyderabad"/>
    <x v="0"/>
    <s v="data analytics course"/>
    <d v="2024-11-01T00:00:00"/>
    <n v="2.5789473684210525E-2"/>
    <n v="2.4535714285714283"/>
    <n v="15.028124999999999"/>
    <n v="80.149999999999991"/>
    <n v="7.0700769390725728"/>
  </r>
  <r>
    <s v="A1530"/>
    <s v="Data Analytics Course"/>
    <n v="87"/>
    <n v="4675"/>
    <n v="200.71"/>
    <n v="28"/>
    <n v="6"/>
    <n v="6.9000000000000006E-2"/>
    <n v="1428"/>
    <d v="2024-11-20T00:00:00"/>
    <s v="Hyderabad"/>
    <x v="1"/>
    <s v="analytics for data"/>
    <d v="2024-11-20T00:00:00"/>
    <n v="1.8609625668449196E-2"/>
    <n v="2.3070114942528734"/>
    <n v="7.1682142857142859"/>
    <n v="33.451666666666668"/>
    <n v="7.1147426635444173"/>
  </r>
  <r>
    <s v="A1531"/>
    <s v="Data Analytics Course"/>
    <n v="84"/>
    <n v="5711"/>
    <n v="216.02"/>
    <n v="13"/>
    <n v="6"/>
    <n v="4.5999999999999999E-2"/>
    <n v="1654"/>
    <d v="2024-11-17T00:00:00"/>
    <s v="Hyderabad"/>
    <x v="0"/>
    <s v="data anaytics training"/>
    <d v="2024-11-17T00:00:00"/>
    <n v="1.4708457362983715E-2"/>
    <n v="2.5716666666666668"/>
    <n v="16.616923076923079"/>
    <n v="36.003333333333337"/>
    <n v="7.6566984538468654"/>
  </r>
  <r>
    <s v="A1532"/>
    <s v="Data Analytics Course"/>
    <n v="151"/>
    <n v="3022"/>
    <n v="191.35"/>
    <n v="13"/>
    <n v="4"/>
    <n v="2.5999999999999999E-2"/>
    <n v="1133"/>
    <d v="2024-11-18T00:00:00"/>
    <s v="Hyderabad"/>
    <x v="1"/>
    <s v="learn data analytics"/>
    <d v="2024-11-18T00:00:00"/>
    <n v="4.9966909331568499E-2"/>
    <n v="1.2672185430463576"/>
    <n v="14.719230769230769"/>
    <n v="47.837499999999999"/>
    <n v="5.9210870133263658"/>
  </r>
  <r>
    <s v="A1533"/>
    <s v="Data Analytics Course"/>
    <n v="113"/>
    <n v="5407"/>
    <n v="203.23"/>
    <n v="15"/>
    <n v="9"/>
    <n v="3.6999999999999998E-2"/>
    <n v="1745"/>
    <d v="2024-11-16T00:00:00"/>
    <s v="Hyderabad"/>
    <x v="0"/>
    <s v="data anaytics training"/>
    <d v="2024-11-16T00:00:00"/>
    <n v="2.0898834843721101E-2"/>
    <n v="1.7984955752212388"/>
    <n v="13.548666666666666"/>
    <n v="22.58111111111111"/>
    <n v="8.5863307582541957"/>
  </r>
  <r>
    <s v="A1534"/>
    <s v="Data Analytics Course"/>
    <n v="89"/>
    <n v="5095"/>
    <n v="202.21"/>
    <n v="22"/>
    <n v="4"/>
    <n v="5.6000000000000001E-2"/>
    <n v="1065"/>
    <d v="2024-11-07T00:00:00"/>
    <s v="Hyderabad"/>
    <x v="2"/>
    <s v="data analytics course"/>
    <d v="2024-11-07T00:00:00"/>
    <n v="1.7468105986261039E-2"/>
    <n v="2.2720224719101125"/>
    <n v="9.1913636363636364"/>
    <n v="50.552500000000002"/>
    <n v="5.2668018396716283"/>
  </r>
  <r>
    <s v="A1535"/>
    <s v="Data Analytics Course"/>
    <n v="174"/>
    <n v="3587"/>
    <n v="217.67"/>
    <n v="10"/>
    <n v="7"/>
    <n v="0.04"/>
    <n v="1226"/>
    <s v="22-11-2024"/>
    <s v="Hyderabad"/>
    <x v="1"/>
    <s v="data anaytics training"/>
    <d v="2024-11-22T00:00:00"/>
    <n v="4.8508502927237247E-2"/>
    <n v="1.2509770114942529"/>
    <n v="21.766999999999999"/>
    <n v="31.095714285714283"/>
    <n v="5.6323792897505403"/>
  </r>
  <r>
    <s v="A1536"/>
    <s v="Data Analytics Course"/>
    <n v="166"/>
    <n v="5524"/>
    <n v="205.53"/>
    <n v="25"/>
    <n v="7"/>
    <n v="4.5999999999999999E-2"/>
    <n v="1241"/>
    <s v="24-11-2024"/>
    <s v="Hyderabad"/>
    <x v="1"/>
    <s v="analytics for data"/>
    <d v="2024-11-24T00:00:00"/>
    <n v="3.005068790731354E-2"/>
    <n v="1.238132530120482"/>
    <n v="8.2211999999999996"/>
    <n v="29.361428571428572"/>
    <n v="6.0380479735318442"/>
  </r>
  <r>
    <s v="A1537"/>
    <s v="Data Analytics Course"/>
    <n v="196"/>
    <n v="3777"/>
    <n v="246.52"/>
    <n v="20"/>
    <n v="5"/>
    <n v="2.5999999999999999E-2"/>
    <n v="1159"/>
    <d v="2024-11-15T00:00:00"/>
    <s v="Hyderabad"/>
    <x v="0"/>
    <s v="data analytics course"/>
    <d v="2024-11-15T00:00:00"/>
    <n v="5.1893036801694464E-2"/>
    <n v="1.2577551020408164"/>
    <n v="12.326000000000001"/>
    <n v="49.304000000000002"/>
    <n v="4.7014441018984261"/>
  </r>
  <r>
    <s v="A1538"/>
    <s v="Data Analytics Course"/>
    <n v="97"/>
    <n v="3480"/>
    <n v="233.32"/>
    <n v="22"/>
    <n v="3"/>
    <n v="3.1E-2"/>
    <n v="1008"/>
    <d v="2024-11-28T00:00:00"/>
    <s v="Hyderabad"/>
    <x v="0"/>
    <s v="data analitics online"/>
    <d v="2024-11-28T00:00:00"/>
    <n v="2.7873563218390806E-2"/>
    <n v="2.4053608247422678"/>
    <n v="10.605454545454545"/>
    <n v="77.773333333333326"/>
    <n v="4.3202468712497861"/>
  </r>
  <r>
    <s v="A1539"/>
    <s v="Data Analytics Course"/>
    <n v="89"/>
    <n v="4200"/>
    <n v="200.98"/>
    <n v="23"/>
    <n v="8"/>
    <n v="4.5999999999999999E-2"/>
    <n v="1476"/>
    <s v="23-11-2024"/>
    <s v="Hyderabad"/>
    <x v="1"/>
    <s v="data analytics course"/>
    <d v="2024-11-23T00:00:00"/>
    <n v="2.119047619047619E-2"/>
    <n v="2.258202247191011"/>
    <n v="8.7382608695652166"/>
    <n v="25.122499999999999"/>
    <n v="7.3440143297840583"/>
  </r>
  <r>
    <s v="A1540"/>
    <s v="Data Analytics Course"/>
    <n v="130"/>
    <n v="5384"/>
    <n v="218.6"/>
    <n v="24"/>
    <n v="8"/>
    <n v="6.2E-2"/>
    <n v="1943"/>
    <d v="2024-11-28T00:00:00"/>
    <s v="Hyderabad"/>
    <x v="1"/>
    <s v="learn data analytics"/>
    <d v="2024-11-28T00:00:00"/>
    <n v="2.4145616641901933E-2"/>
    <n v="1.6815384615384614"/>
    <n v="9.1083333333333325"/>
    <n v="27.324999999999999"/>
    <n v="8.8883806038426361"/>
  </r>
  <r>
    <s v="A1541"/>
    <s v="Data Analytics Course"/>
    <n v="103"/>
    <n v="4766"/>
    <n v="245.34"/>
    <n v="11"/>
    <n v="8"/>
    <n v="7.8E-2"/>
    <n v="1488"/>
    <d v="2024-11-08T00:00:00"/>
    <s v="Hyderabad"/>
    <x v="0"/>
    <s v="analytics for data"/>
    <d v="2024-11-08T00:00:00"/>
    <n v="2.1611414183801931E-2"/>
    <n v="2.3819417475728155"/>
    <n v="22.303636363636365"/>
    <n v="30.6675"/>
    <n v="6.0650525800929325"/>
  </r>
  <r>
    <s v="A1542"/>
    <s v="Data Analytics Course"/>
    <n v="138"/>
    <n v="3322"/>
    <n v="196.83"/>
    <n v="17"/>
    <n v="8"/>
    <n v="5.8000000000000003E-2"/>
    <n v="1505"/>
    <d v="2024-11-01T00:00:00"/>
    <s v="Hyderabad"/>
    <x v="0"/>
    <s v="online data analytic"/>
    <d v="2024-11-01T00:00:00"/>
    <n v="4.1541240216736906E-2"/>
    <n v="1.4263043478260871"/>
    <n v="11.578235294117647"/>
    <n v="24.603750000000002"/>
    <n v="7.6461921455062738"/>
  </r>
  <r>
    <s v="A1543"/>
    <s v="Data Analytics Course"/>
    <n v="127"/>
    <n v="4625"/>
    <n v="207.62"/>
    <n v="17"/>
    <n v="3"/>
    <n v="2.4E-2"/>
    <n v="1811"/>
    <d v="2024-11-17T00:00:00"/>
    <s v="Hyderabad"/>
    <x v="0"/>
    <s v="learn data analytics"/>
    <d v="2024-11-17T00:00:00"/>
    <n v="2.7459459459459459E-2"/>
    <n v="1.6348031496062994"/>
    <n v="12.212941176470588"/>
    <n v="69.206666666666663"/>
    <n v="8.7226664097871112"/>
  </r>
  <r>
    <s v="A1544"/>
    <s v="Data Analytics Course"/>
    <n v="170"/>
    <n v="4689"/>
    <n v="195.98"/>
    <n v="26"/>
    <n v="6"/>
    <n v="3.5000000000000003E-2"/>
    <n v="1873"/>
    <d v="2024-11-14T00:00:00"/>
    <s v="Hyderabad"/>
    <x v="0"/>
    <s v="data analitics online"/>
    <d v="2024-11-14T00:00:00"/>
    <n v="3.6255065045851992E-2"/>
    <n v="1.1528235294117646"/>
    <n v="7.537692307692307"/>
    <n v="32.663333333333334"/>
    <n v="9.5570976630268394"/>
  </r>
  <r>
    <s v="A1545"/>
    <s v="Data Analytics Course"/>
    <n v="115"/>
    <n v="3764"/>
    <n v="197.47"/>
    <n v="20"/>
    <n v="5"/>
    <n v="4.5999999999999999E-2"/>
    <n v="1952"/>
    <d v="2024-11-27T00:00:00"/>
    <s v="Hyderabad"/>
    <x v="0"/>
    <s v="learn data analytics"/>
    <d v="2024-11-27T00:00:00"/>
    <n v="3.0552603613177472E-2"/>
    <n v="1.7171304347826086"/>
    <n v="9.8734999999999999"/>
    <n v="39.494"/>
    <n v="9.8850458297462911"/>
  </r>
  <r>
    <s v="A1546"/>
    <s v="Data Analytics Course"/>
    <n v="132"/>
    <n v="3365"/>
    <n v="198.01"/>
    <n v="17"/>
    <n v="9"/>
    <n v="6.8000000000000005E-2"/>
    <n v="1161"/>
    <d v="2024-11-14T00:00:00"/>
    <s v="Hyderabad"/>
    <x v="0"/>
    <s v="analytics for data"/>
    <d v="2024-11-14T00:00:00"/>
    <n v="3.9227340267459138E-2"/>
    <n v="1.5000757575757575"/>
    <n v="11.647647058823528"/>
    <n v="22.001111111111111"/>
    <n v="5.8633402353416493"/>
  </r>
  <r>
    <s v="A1547"/>
    <s v="Data Analytics Course"/>
    <n v="168"/>
    <n v="3392"/>
    <n v="230.77"/>
    <n v="15"/>
    <n v="9"/>
    <n v="5.3999999999999999E-2"/>
    <n v="1504"/>
    <d v="2024-11-11T00:00:00"/>
    <s v="Hyderabad"/>
    <x v="1"/>
    <s v="online data analytic"/>
    <d v="2024-11-11T00:00:00"/>
    <n v="4.9528301886792456E-2"/>
    <n v="1.3736309523809525"/>
    <n v="15.384666666666668"/>
    <n v="25.641111111111112"/>
    <n v="6.517311608961303"/>
  </r>
  <r>
    <s v="A1548"/>
    <s v="Data Analytics Course"/>
    <n v="145"/>
    <n v="5978"/>
    <n v="223.3"/>
    <n v="30"/>
    <n v="10"/>
    <n v="4.5999999999999999E-2"/>
    <n v="1859"/>
    <d v="2024-11-20T00:00:00"/>
    <s v="Hyderabad"/>
    <x v="1"/>
    <s v="online data analytic"/>
    <d v="2024-11-20T00:00:00"/>
    <n v="2.425560388089662E-2"/>
    <n v="1.54"/>
    <n v="7.4433333333333334"/>
    <n v="22.330000000000002"/>
    <n v="8.3251231527093594"/>
  </r>
  <r>
    <s v="A1549"/>
    <s v="Data Analytics Course"/>
    <n v="163"/>
    <n v="3340"/>
    <n v="217.35"/>
    <n v="26"/>
    <n v="7"/>
    <n v="4.2999999999999997E-2"/>
    <n v="1751"/>
    <s v="24-11-2024"/>
    <s v="Hyderabad"/>
    <x v="2"/>
    <s v="data anaytics training"/>
    <d v="2024-11-24T00:00:00"/>
    <n v="4.8802395209580837E-2"/>
    <n v="1.3334355828220859"/>
    <n v="8.3596153846153847"/>
    <n v="31.05"/>
    <n v="8.056130664826318"/>
  </r>
  <r>
    <s v="A1550"/>
    <s v="Data Analytics Course"/>
    <n v="84"/>
    <n v="4407"/>
    <n v="192.52"/>
    <n v="19"/>
    <n v="10"/>
    <n v="0.11899999999999999"/>
    <n v="1221"/>
    <d v="2024-11-03T00:00:00"/>
    <s v="Hyderabad"/>
    <x v="2"/>
    <s v="learn data analytics"/>
    <d v="2024-11-03T00:00:00"/>
    <n v="1.9060585432266849E-2"/>
    <n v="2.2919047619047621"/>
    <n v="10.132631578947368"/>
    <n v="19.252000000000002"/>
    <n v="6.3421982131726571"/>
  </r>
  <r>
    <s v="A1551"/>
    <s v="Data Analytics Course"/>
    <n v="124"/>
    <n v="3180"/>
    <n v="180.8"/>
    <n v="17"/>
    <n v="6"/>
    <n v="4.8000000000000001E-2"/>
    <n v="1822"/>
    <d v="2024-11-11T00:00:00"/>
    <s v="Hyderabad"/>
    <x v="1"/>
    <s v="online data analytic"/>
    <d v="2024-11-11T00:00:00"/>
    <n v="3.8993710691823898E-2"/>
    <n v="1.4580645161290324"/>
    <n v="10.63529411764706"/>
    <n v="30.133333333333336"/>
    <n v="10.077433628318584"/>
  </r>
  <r>
    <s v="A1552"/>
    <s v="Data Analytics Course"/>
    <n v="162"/>
    <n v="4947"/>
    <n v="233.76"/>
    <n v="23"/>
    <n v="6"/>
    <n v="4.4999999999999998E-2"/>
    <n v="1973"/>
    <d v="2024-11-15T00:00:00"/>
    <s v="Hyderabad"/>
    <x v="2"/>
    <s v="data analytics course"/>
    <d v="2024-11-15T00:00:00"/>
    <n v="3.274711946634324E-2"/>
    <n v="1.442962962962963"/>
    <n v="10.163478260869566"/>
    <n v="38.96"/>
    <n v="8.4402806297056809"/>
  </r>
  <r>
    <s v="A1553"/>
    <s v="Data Analytics Course"/>
    <n v="119"/>
    <n v="4480"/>
    <n v="184.25"/>
    <n v="20"/>
    <n v="3"/>
    <n v="2.5000000000000001E-2"/>
    <n v="1985"/>
    <s v="22-11-2024"/>
    <s v="Hyderabad"/>
    <x v="1"/>
    <s v="online data analytic"/>
    <d v="2024-11-22T00:00:00"/>
    <n v="2.6562499999999999E-2"/>
    <n v="1.5483193277310925"/>
    <n v="9.2125000000000004"/>
    <n v="61.416666666666664"/>
    <n v="10.773405698778832"/>
  </r>
  <r>
    <s v="A1554"/>
    <s v="Data Analytics Course"/>
    <n v="151"/>
    <n v="5595"/>
    <n v="246.66"/>
    <n v="24"/>
    <n v="4"/>
    <n v="2.5999999999999999E-2"/>
    <n v="1921"/>
    <d v="2024-11-29T00:00:00"/>
    <s v="Hyderabad"/>
    <x v="0"/>
    <s v="learn data analytics"/>
    <d v="2024-11-29T00:00:00"/>
    <n v="2.6988382484361036E-2"/>
    <n v="1.6335099337748344"/>
    <n v="10.2775"/>
    <n v="61.664999999999999"/>
    <n v="7.7880483256304229"/>
  </r>
  <r>
    <s v="A1555"/>
    <s v="Data Analytics Course"/>
    <n v="190"/>
    <n v="4808"/>
    <n v="199.94"/>
    <n v="16"/>
    <n v="6"/>
    <n v="3.2000000000000001E-2"/>
    <n v="1454"/>
    <d v="2024-11-03T00:00:00"/>
    <s v="Hyderabad"/>
    <x v="0"/>
    <s v="data analitics online"/>
    <d v="2024-11-03T00:00:00"/>
    <n v="3.951747088186356E-2"/>
    <n v="1.0523157894736841"/>
    <n v="12.49625"/>
    <n v="33.323333333333331"/>
    <n v="7.2721816544963493"/>
  </r>
  <r>
    <s v="A1556"/>
    <s v="Data Analytics Course"/>
    <n v="138"/>
    <n v="3382"/>
    <n v="204.12"/>
    <n v="27"/>
    <n v="7"/>
    <n v="5.0999999999999997E-2"/>
    <n v="1386"/>
    <d v="2024-05-11T00:00:00"/>
    <s v="Hyderabad"/>
    <x v="2"/>
    <s v="learn data analytics"/>
    <d v="2024-05-11T00:00:00"/>
    <n v="4.0804257835600238E-2"/>
    <n v="1.4791304347826086"/>
    <n v="7.5600000000000005"/>
    <n v="29.16"/>
    <n v="6.7901234567901234"/>
  </r>
  <r>
    <s v="A1557"/>
    <s v="Data Analytics Course"/>
    <n v="100"/>
    <n v="4643"/>
    <n v="214.46"/>
    <n v="16"/>
    <n v="9"/>
    <n v="0.09"/>
    <n v="1179"/>
    <d v="2024-11-03T00:00:00"/>
    <s v="Hyderabad"/>
    <x v="2"/>
    <s v="online data analytic"/>
    <d v="2024-11-03T00:00:00"/>
    <n v="2.1537798836958864E-2"/>
    <n v="2.1446000000000001"/>
    <n v="13.40375"/>
    <n v="23.828888888888891"/>
    <n v="5.4975286766763034"/>
  </r>
  <r>
    <s v="A1558"/>
    <s v="Data Analytics Course"/>
    <n v="187"/>
    <n v="5400"/>
    <n v="210"/>
    <n v="14"/>
    <n v="7"/>
    <n v="4.5999999999999999E-2"/>
    <n v="1945"/>
    <d v="2024-11-15T00:00:00"/>
    <s v="Hyderabad"/>
    <x v="0"/>
    <s v="analytics for data"/>
    <d v="2024-11-15T00:00:00"/>
    <n v="3.4629629629629628E-2"/>
    <n v="1.1229946524064172"/>
    <n v="15"/>
    <n v="30"/>
    <n v="9.2619047619047628"/>
  </r>
  <r>
    <s v="A1559"/>
    <s v="Data Analytics Course"/>
    <n v="176"/>
    <n v="3400"/>
    <n v="191.5"/>
    <n v="29"/>
    <n v="3"/>
    <n v="4.5999999999999999E-2"/>
    <n v="1429"/>
    <s v="28-11-2024"/>
    <s v="Hyderabad"/>
    <x v="1"/>
    <s v="online data analytic"/>
    <d v="2024-11-28T00:00:00"/>
    <n v="5.1764705882352942E-2"/>
    <n v="1.0880681818181819"/>
    <n v="6.6034482758620694"/>
    <n v="63.833333333333336"/>
    <n v="7.462140992167102"/>
  </r>
  <r>
    <s v="A1560"/>
    <s v="Data Analytics Course"/>
    <n v="117"/>
    <n v="4223"/>
    <n v="215.57"/>
    <n v="28"/>
    <n v="6"/>
    <n v="5.8999999999999997E-2"/>
    <n v="1489"/>
    <d v="2024-11-10T00:00:00"/>
    <s v="Hyderabad"/>
    <x v="1"/>
    <s v="data anaytics training"/>
    <d v="2024-11-10T00:00:00"/>
    <n v="2.7705422685294814E-2"/>
    <n v="1.8424786324786324"/>
    <n v="7.6989285714285716"/>
    <n v="35.928333333333335"/>
    <n v="6.907269100524192"/>
  </r>
  <r>
    <s v="A1561"/>
    <s v="Data Analytics Course"/>
    <n v="196"/>
    <n v="4518.5"/>
    <n v="206.31"/>
    <n v="24"/>
    <n v="8"/>
    <n v="5.0999999999999997E-2"/>
    <n v="1426"/>
    <d v="2024-11-23T00:00:00"/>
    <s v="Hyderabad"/>
    <x v="2"/>
    <s v="data analitics online"/>
    <d v="2024-11-23T00:00:00"/>
    <n v="4.3377226955848176E-2"/>
    <n v="1.0526020408163266"/>
    <n v="8.5962499999999995"/>
    <n v="25.78875"/>
    <n v="6.9119286510590854"/>
  </r>
  <r>
    <s v="A1562"/>
    <s v="Data Analytics Course"/>
    <n v="155"/>
    <n v="3864"/>
    <n v="222.17"/>
    <n v="12"/>
    <n v="3"/>
    <n v="4.5999999999999999E-2"/>
    <n v="1407"/>
    <d v="2024-11-21T00:00:00"/>
    <s v="Hyderabad"/>
    <x v="1"/>
    <s v="data anaytics training"/>
    <d v="2024-11-21T00:00:00"/>
    <n v="4.0113871635610768E-2"/>
    <n v="1.4333548387096773"/>
    <n v="18.514166666666664"/>
    <n v="74.056666666666658"/>
    <n v="6.3329882522392769"/>
  </r>
  <r>
    <s v="A1563"/>
    <s v="Data Analytics Course"/>
    <n v="188"/>
    <n v="3838"/>
    <n v="240.99"/>
    <n v="15"/>
    <n v="3"/>
    <n v="1.6E-2"/>
    <n v="1951"/>
    <d v="2024-10-11T00:00:00"/>
    <s v="Hyderabad"/>
    <x v="1"/>
    <s v="data analytics course"/>
    <d v="2024-10-11T00:00:00"/>
    <n v="4.8983845752996351E-2"/>
    <n v="1.2818617021276597"/>
    <n v="16.065999999999999"/>
    <n v="80.33"/>
    <n v="8.0957716087804474"/>
  </r>
  <r>
    <s v="A1564"/>
    <s v="Data Analytics Course"/>
    <n v="81"/>
    <n v="5659"/>
    <n v="222.98"/>
    <n v="25"/>
    <n v="4"/>
    <n v="5.7000000000000002E-2"/>
    <n v="1654"/>
    <d v="2024-11-19T00:00:00"/>
    <s v="Hyderabad"/>
    <x v="2"/>
    <s v="data analitics online"/>
    <d v="2024-11-19T00:00:00"/>
    <n v="1.4313482947517229E-2"/>
    <n v="2.7528395061728395"/>
    <n v="8.9192"/>
    <n v="55.744999999999997"/>
    <n v="7.4177056238227648"/>
  </r>
  <r>
    <s v="A1565"/>
    <s v="Data Analytics Course"/>
    <n v="125"/>
    <n v="4794"/>
    <n v="215.57"/>
    <n v="28"/>
    <n v="7"/>
    <n v="5.0999999999999997E-2"/>
    <n v="1453"/>
    <d v="2024-11-22T00:00:00"/>
    <s v="Hyderabad"/>
    <x v="0"/>
    <s v="data analitics online"/>
    <d v="2024-11-22T00:00:00"/>
    <n v="2.6074259491030455E-2"/>
    <n v="1.7245599999999999"/>
    <n v="7.6989285714285716"/>
    <n v="30.795714285714286"/>
    <n v="6.7402699819084289"/>
  </r>
  <r>
    <s v="A1566"/>
    <s v="Data Analytics Course"/>
    <n v="158"/>
    <n v="5214"/>
    <n v="222.28"/>
    <n v="21"/>
    <n v="3"/>
    <n v="1.9E-2"/>
    <n v="1630"/>
    <d v="2024-03-11T00:00:00"/>
    <s v="Hyderabad"/>
    <x v="0"/>
    <s v="data analytics course"/>
    <d v="2024-03-11T00:00:00"/>
    <n v="3.0303030303030304E-2"/>
    <n v="1.4068354430379746"/>
    <n v="10.584761904761905"/>
    <n v="74.093333333333334"/>
    <n v="7.3330933957171132"/>
  </r>
  <r>
    <s v="A1567"/>
    <s v="Data Analytics Course"/>
    <n v="133"/>
    <n v="5762"/>
    <n v="196.02"/>
    <n v="10"/>
    <n v="5"/>
    <n v="3.7999999999999999E-2"/>
    <n v="1505"/>
    <d v="2024-11-03T00:00:00"/>
    <s v="Hyderabad"/>
    <x v="2"/>
    <s v="data analytics course"/>
    <d v="2024-11-03T00:00:00"/>
    <n v="2.3082263103089206E-2"/>
    <n v="1.4738345864661655"/>
    <n v="19.602"/>
    <n v="39.204000000000001"/>
    <n v="7.6777879808182838"/>
  </r>
  <r>
    <s v="A1568"/>
    <s v="Data Analytics Course"/>
    <n v="128"/>
    <n v="5026"/>
    <n v="239.88"/>
    <n v="15"/>
    <n v="9"/>
    <n v="7.0000000000000007E-2"/>
    <n v="1745"/>
    <d v="2024-11-25T00:00:00"/>
    <s v="Hyderabad"/>
    <x v="1"/>
    <s v="analytics for data"/>
    <d v="2024-11-25T00:00:00"/>
    <n v="2.5467568643056108E-2"/>
    <n v="1.8740625"/>
    <n v="15.991999999999999"/>
    <n v="26.653333333333332"/>
    <n v="7.2744705686176419"/>
  </r>
  <r>
    <s v="A1569"/>
    <s v="Data Analytics Course"/>
    <n v="148"/>
    <n v="3883"/>
    <n v="181.4"/>
    <n v="30"/>
    <n v="4"/>
    <n v="2.7E-2"/>
    <n v="1966"/>
    <d v="2024-11-16T00:00:00"/>
    <s v="Hyderabad"/>
    <x v="0"/>
    <s v="analytics for data"/>
    <d v="2024-11-16T00:00:00"/>
    <n v="3.811485964460469E-2"/>
    <n v="1.2256756756756757"/>
    <n v="6.0466666666666669"/>
    <n v="45.35"/>
    <n v="10.83792723263506"/>
  </r>
  <r>
    <s v="A1570"/>
    <s v="Data Analytics Course"/>
    <n v="92"/>
    <n v="4605"/>
    <n v="234.69"/>
    <n v="29"/>
    <n v="3"/>
    <n v="4.5999999999999999E-2"/>
    <n v="1264"/>
    <d v="2024-11-30T00:00:00"/>
    <s v="Hyderabad"/>
    <x v="1"/>
    <s v="data anaytics training"/>
    <d v="2024-11-30T00:00:00"/>
    <n v="1.9978284473398479E-2"/>
    <n v="2.5509782608695653"/>
    <n v="8.0927586206896542"/>
    <n v="78.23"/>
    <n v="5.3858281136818782"/>
  </r>
  <r>
    <s v="A1571"/>
    <s v="Data Analytics Course"/>
    <n v="147"/>
    <n v="4518.5"/>
    <n v="205.83"/>
    <n v="25"/>
    <n v="8"/>
    <n v="4.5999999999999999E-2"/>
    <n v="1728"/>
    <d v="2024-11-02T00:00:00"/>
    <s v="Hyderabad"/>
    <x v="0"/>
    <s v="data analytics course"/>
    <d v="2024-11-02T00:00:00"/>
    <n v="3.2532920216886134E-2"/>
    <n v="1.4002040816326531"/>
    <n v="8.2332000000000001"/>
    <n v="25.728750000000002"/>
    <n v="8.3952776563183207"/>
  </r>
  <r>
    <s v="A1572"/>
    <s v="Data Analytics Course"/>
    <n v="136"/>
    <n v="5454"/>
    <n v="247.7"/>
    <n v="13"/>
    <n v="6"/>
    <n v="4.3999999999999997E-2"/>
    <n v="1687"/>
    <d v="2024-11-06T00:00:00"/>
    <s v="Hyderabad"/>
    <x v="1"/>
    <s v="data analitics online"/>
    <d v="2024-11-06T00:00:00"/>
    <n v="2.4935826916024934E-2"/>
    <n v="1.8213235294117647"/>
    <n v="19.053846153846152"/>
    <n v="41.283333333333331"/>
    <n v="6.8106580540976989"/>
  </r>
  <r>
    <s v="A1573"/>
    <s v="Data Analytics Course"/>
    <n v="132"/>
    <n v="4957"/>
    <n v="220.43"/>
    <n v="28"/>
    <n v="6"/>
    <n v="4.4999999999999998E-2"/>
    <n v="1218"/>
    <d v="2024-03-11T00:00:00"/>
    <s v="Hyderabad"/>
    <x v="1"/>
    <s v="online data analytic"/>
    <d v="2024-03-11T00:00:00"/>
    <n v="2.6629009481541253E-2"/>
    <n v="1.6699242424242424"/>
    <n v="7.8725000000000005"/>
    <n v="36.738333333333337"/>
    <n v="5.5255636710066689"/>
  </r>
  <r>
    <s v="A1574"/>
    <s v="Data Analytics Course"/>
    <n v="173"/>
    <n v="4518.5"/>
    <n v="241.61"/>
    <n v="28"/>
    <n v="3"/>
    <n v="1.7000000000000001E-2"/>
    <n v="1191"/>
    <d v="2024-11-13T00:00:00"/>
    <s v="Hyderabad"/>
    <x v="2"/>
    <s v="learn data analytics"/>
    <d v="2024-11-13T00:00:00"/>
    <n v="3.8287042160008854E-2"/>
    <n v="1.3965895953757226"/>
    <n v="8.6289285714285722"/>
    <n v="80.536666666666676"/>
    <n v="4.9294317288191714"/>
  </r>
  <r>
    <s v="A1575"/>
    <s v="Data Analytics Course"/>
    <n v="85"/>
    <n v="4747"/>
    <n v="224.35"/>
    <n v="26"/>
    <n v="5"/>
    <n v="5.8999999999999997E-2"/>
    <n v="1087"/>
    <d v="2024-01-11T00:00:00"/>
    <s v="Hyderabad"/>
    <x v="2"/>
    <s v="data analytics course"/>
    <d v="2024-01-11T00:00:00"/>
    <n v="1.7906045923741312E-2"/>
    <n v="2.6394117647058821"/>
    <n v="8.6288461538461529"/>
    <n v="44.87"/>
    <n v="4.8451080900378871"/>
  </r>
  <r>
    <s v="A1576"/>
    <s v="Data Analytics Course"/>
    <n v="129"/>
    <n v="5874"/>
    <n v="200.17"/>
    <n v="12"/>
    <n v="5"/>
    <n v="3.9E-2"/>
    <n v="1405"/>
    <d v="2024-11-29T00:00:00"/>
    <s v="Hyderabad"/>
    <x v="2"/>
    <s v="online data analytic"/>
    <d v="2024-11-29T00:00:00"/>
    <n v="2.1961184882533197E-2"/>
    <n v="1.551705426356589"/>
    <n v="16.680833333333332"/>
    <n v="40.033999999999999"/>
    <n v="7.0190338212519361"/>
  </r>
  <r>
    <s v="A1577"/>
    <s v="Data Analytics Course"/>
    <n v="181"/>
    <n v="4730"/>
    <n v="243.35"/>
    <n v="16"/>
    <n v="4"/>
    <n v="4.5999999999999999E-2"/>
    <n v="1975"/>
    <d v="2024-11-20T00:00:00"/>
    <s v="Hyderabad"/>
    <x v="1"/>
    <s v="online data analytic"/>
    <d v="2024-11-20T00:00:00"/>
    <n v="3.8266384778012683E-2"/>
    <n v="1.344475138121547"/>
    <n v="15.209375"/>
    <n v="60.837499999999999"/>
    <n v="8.1158824738031647"/>
  </r>
  <r>
    <s v="A1578"/>
    <s v="Data Analytics Course"/>
    <n v="85"/>
    <n v="5341"/>
    <n v="249.64"/>
    <n v="21"/>
    <n v="6"/>
    <n v="3.2000000000000001E-2"/>
    <n v="1388"/>
    <d v="2024-11-10T00:00:00"/>
    <s v="Hyderabad"/>
    <x v="1"/>
    <s v="online data analytic"/>
    <d v="2024-11-10T00:00:00"/>
    <n v="1.5914622729825877E-2"/>
    <n v="2.9369411764705879"/>
    <n v="11.887619047619047"/>
    <n v="41.606666666666662"/>
    <n v="5.5600064092292909"/>
  </r>
  <r>
    <s v="A1579"/>
    <s v="Data Analytics Course"/>
    <n v="92"/>
    <n v="4327"/>
    <n v="188.6"/>
    <n v="14"/>
    <n v="7"/>
    <n v="4.5999999999999999E-2"/>
    <n v="1140"/>
    <d v="2024-11-22T00:00:00"/>
    <s v="Hyderabad"/>
    <x v="2"/>
    <s v="data anaytics training"/>
    <d v="2024-11-22T00:00:00"/>
    <n v="2.1261844233880285E-2"/>
    <n v="2.0499999999999998"/>
    <n v="13.471428571428572"/>
    <n v="26.942857142857143"/>
    <n v="6.0445387062566276"/>
  </r>
  <r>
    <s v="A1580"/>
    <s v="Data Analytics Course"/>
    <n v="192"/>
    <n v="4518.5"/>
    <n v="180.82"/>
    <n v="27"/>
    <n v="4"/>
    <n v="2.1000000000000001E-2"/>
    <n v="1847"/>
    <d v="2024-09-11T00:00:00"/>
    <s v="Hyderabad"/>
    <x v="1"/>
    <s v="data anaytics training"/>
    <d v="2024-09-11T00:00:00"/>
    <n v="4.2491977426136994E-2"/>
    <n v="0.94177083333333333"/>
    <n v="6.6970370370370365"/>
    <n v="45.204999999999998"/>
    <n v="10.214578033403384"/>
  </r>
  <r>
    <s v="A1581"/>
    <s v="Data Analytics Course"/>
    <n v="146"/>
    <n v="4484"/>
    <n v="194.67"/>
    <n v="27"/>
    <n v="9"/>
    <n v="5.1999999999999998E-2"/>
    <n v="1234"/>
    <d v="2024-11-02T00:00:00"/>
    <s v="Hyderabad"/>
    <x v="2"/>
    <s v="data anaytics training"/>
    <d v="2024-11-02T00:00:00"/>
    <n v="3.2560214094558428E-2"/>
    <n v="1.3333561643835616"/>
    <n v="7.21"/>
    <n v="21.63"/>
    <n v="6.3389325525247857"/>
  </r>
  <r>
    <s v="A1582"/>
    <s v="Data Analytics Course"/>
    <n v="178"/>
    <n v="4311"/>
    <n v="205.46"/>
    <n v="18"/>
    <n v="4"/>
    <n v="2.1999999999999999E-2"/>
    <n v="1671"/>
    <d v="2024-11-18T00:00:00"/>
    <s v="Hyderabad"/>
    <x v="2"/>
    <s v="analytics for data"/>
    <d v="2024-11-18T00:00:00"/>
    <n v="4.1289723961957785E-2"/>
    <n v="1.1542696629213482"/>
    <n v="11.414444444444445"/>
    <n v="51.365000000000002"/>
    <n v="8.1329699211525348"/>
  </r>
  <r>
    <s v="A1583"/>
    <s v="Data Analytics Course"/>
    <n v="197"/>
    <n v="3009"/>
    <n v="233.44"/>
    <n v="22"/>
    <n v="9"/>
    <n v="4.5999999999999999E-2"/>
    <n v="1374"/>
    <s v="18-11-2024"/>
    <s v="Hyderabad"/>
    <x v="2"/>
    <s v="analytics for data"/>
    <d v="2024-11-18T00:00:00"/>
    <n v="6.5470255898969751E-2"/>
    <n v="1.18497461928934"/>
    <n v="10.610909090909091"/>
    <n v="25.937777777777779"/>
    <n v="5.885880740233036"/>
  </r>
  <r>
    <s v="A1584"/>
    <s v="Data Analytics Course"/>
    <n v="176"/>
    <n v="3110"/>
    <n v="205.23"/>
    <n v="23"/>
    <n v="5"/>
    <n v="2.8000000000000001E-2"/>
    <n v="1746"/>
    <d v="2024-11-19T00:00:00"/>
    <s v="Hyderabad"/>
    <x v="0"/>
    <s v="online data analytic"/>
    <d v="2024-11-19T00:00:00"/>
    <n v="5.6591639871382639E-2"/>
    <n v="1.1660795454545454"/>
    <n v="8.923043478260869"/>
    <n v="41.045999999999999"/>
    <n v="8.5075281391609412"/>
  </r>
  <r>
    <s v="A1585"/>
    <s v="Data Analytics Course"/>
    <n v="98"/>
    <n v="3365"/>
    <n v="224.28"/>
    <n v="27"/>
    <n v="9"/>
    <n v="4.5999999999999999E-2"/>
    <n v="1108"/>
    <s v="27-11-2024"/>
    <s v="Hyderabad"/>
    <x v="0"/>
    <s v="data anaytics training"/>
    <d v="2024-11-27T00:00:00"/>
    <n v="2.912332838038633E-2"/>
    <n v="2.2885714285714287"/>
    <n v="8.3066666666666666"/>
    <n v="24.92"/>
    <n v="4.9402532548599964"/>
  </r>
  <r>
    <s v="A1586"/>
    <s v="Data Analytics Course"/>
    <n v="105"/>
    <n v="3274"/>
    <n v="187.89"/>
    <n v="24"/>
    <n v="4"/>
    <n v="3.7999999999999999E-2"/>
    <n v="1360"/>
    <d v="2024-11-09T00:00:00"/>
    <s v="Hyderabad"/>
    <x v="0"/>
    <s v="learn data analytics"/>
    <d v="2024-11-09T00:00:00"/>
    <n v="3.2070861331704337E-2"/>
    <n v="1.7894285714285714"/>
    <n v="7.8287499999999994"/>
    <n v="46.972499999999997"/>
    <n v="7.2382777156847098"/>
  </r>
  <r>
    <s v="A1587"/>
    <s v="Data Analytics Course"/>
    <n v="113"/>
    <n v="3231"/>
    <n v="210.13"/>
    <n v="19"/>
    <n v="10"/>
    <n v="4.1000000000000002E-2"/>
    <n v="1234"/>
    <d v="2024-11-15T00:00:00"/>
    <s v="Hyderabad"/>
    <x v="0"/>
    <s v="online data analytic"/>
    <d v="2024-11-15T00:00:00"/>
    <n v="3.4973692355307957E-2"/>
    <n v="1.8595575221238938"/>
    <n v="11.059473684210525"/>
    <n v="21.012999999999998"/>
    <n v="5.8725550849474137"/>
  </r>
  <r>
    <s v="A1588"/>
    <s v="Data Analytics Course"/>
    <n v="139"/>
    <n v="3440"/>
    <n v="246.53"/>
    <n v="13"/>
    <n v="10"/>
    <n v="4.5999999999999999E-2"/>
    <n v="1217"/>
    <s v="27-11-2024"/>
    <s v="Hyderabad"/>
    <x v="2"/>
    <s v="online data analytic"/>
    <d v="2024-11-27T00:00:00"/>
    <n v="4.0406976744186043E-2"/>
    <n v="1.7735971223021583"/>
    <n v="18.963846153846156"/>
    <n v="24.652999999999999"/>
    <n v="4.9365188820833161"/>
  </r>
  <r>
    <s v="A1589"/>
    <s v="Data Analytics Course"/>
    <n v="88"/>
    <n v="5196"/>
    <n v="197.32"/>
    <n v="26"/>
    <n v="5"/>
    <n v="5.7000000000000002E-2"/>
    <n v="1438"/>
    <d v="2024-11-03T00:00:00"/>
    <s v="Hyderabad"/>
    <x v="0"/>
    <s v="online data analytic"/>
    <d v="2024-11-03T00:00:00"/>
    <n v="1.6936104695919937E-2"/>
    <n v="2.2422727272727272"/>
    <n v="7.5892307692307686"/>
    <n v="39.463999999999999"/>
    <n v="7.2876545712548149"/>
  </r>
  <r>
    <s v="A1590"/>
    <s v="Data Analytics Course"/>
    <n v="106"/>
    <n v="5321"/>
    <n v="239.76"/>
    <n v="11"/>
    <n v="7"/>
    <n v="6.6000000000000003E-2"/>
    <n v="1910"/>
    <s v="24-11-2024"/>
    <s v="Hyderabad"/>
    <x v="0"/>
    <s v="data anaytics training"/>
    <d v="2024-11-24T00:00:00"/>
    <n v="1.9921067468520955E-2"/>
    <n v="2.2618867924528301"/>
    <n v="21.796363636363637"/>
    <n v="34.251428571428569"/>
    <n v="7.9662996329663001"/>
  </r>
  <r>
    <s v="A1591"/>
    <s v="Data Analytics Course"/>
    <n v="148"/>
    <n v="5841"/>
    <n v="243.09"/>
    <n v="15"/>
    <n v="7"/>
    <n v="4.7E-2"/>
    <n v="1535"/>
    <s v="29-11-2024"/>
    <s v="Hyderabad"/>
    <x v="1"/>
    <s v="data analitics online"/>
    <d v="2024-11-29T00:00:00"/>
    <n v="2.5338127033042286E-2"/>
    <n v="1.6425000000000001"/>
    <n v="16.206"/>
    <n v="34.727142857142859"/>
    <n v="6.3145337117939855"/>
  </r>
  <r>
    <s v="A1592"/>
    <s v="Data Analytics Course"/>
    <n v="174"/>
    <n v="4518.5"/>
    <n v="227.96"/>
    <n v="25"/>
    <n v="5"/>
    <n v="2.9000000000000001E-2"/>
    <n v="1566"/>
    <d v="2024-11-15T00:00:00"/>
    <s v="Hyderabad"/>
    <x v="2"/>
    <s v="online data analytic"/>
    <d v="2024-11-15T00:00:00"/>
    <n v="3.8508354542436653E-2"/>
    <n v="1.3101149425287357"/>
    <n v="9.1184000000000012"/>
    <n v="45.591999999999999"/>
    <n v="6.8696262502193361"/>
  </r>
  <r>
    <s v="A1593"/>
    <s v="Data Analytics Course"/>
    <n v="196"/>
    <n v="5776"/>
    <n v="227.24"/>
    <n v="30"/>
    <n v="4"/>
    <n v="0.02"/>
    <n v="1505"/>
    <d v="2024-04-11T00:00:00"/>
    <s v="Hyderabad"/>
    <x v="1"/>
    <s v="data anaytics training"/>
    <d v="2024-04-11T00:00:00"/>
    <n v="3.3933518005540168E-2"/>
    <n v="1.1593877551020408"/>
    <n v="7.5746666666666673"/>
    <n v="56.81"/>
    <n v="6.6229537053335674"/>
  </r>
  <r>
    <s v="A1594"/>
    <s v="Data Analytics Course"/>
    <n v="128"/>
    <n v="4729"/>
    <n v="243.45"/>
    <n v="25"/>
    <n v="9"/>
    <n v="3.1E-2"/>
    <n v="1782"/>
    <d v="2024-11-23T00:00:00"/>
    <s v="Hyderabad"/>
    <x v="0"/>
    <s v="learn data analytics"/>
    <d v="2024-11-23T00:00:00"/>
    <n v="2.7067033199407908E-2"/>
    <n v="1.9019531249999999"/>
    <n v="9.7379999999999995"/>
    <n v="27.049999999999997"/>
    <n v="7.3197781885397415"/>
  </r>
  <r>
    <s v="A1595"/>
    <s v="Data Analytics Course"/>
    <n v="163"/>
    <n v="5371"/>
    <n v="215.89"/>
    <n v="29"/>
    <n v="7"/>
    <n v="4.2999999999999997E-2"/>
    <n v="1906"/>
    <d v="2024-11-05T00:00:00"/>
    <s v="Hyderabad"/>
    <x v="2"/>
    <s v="data analytics course"/>
    <d v="2024-11-05T00:00:00"/>
    <n v="3.0348166077080619E-2"/>
    <n v="1.3244785276073618"/>
    <n v="7.4444827586206888"/>
    <n v="30.841428571428569"/>
    <n v="8.8285701051461398"/>
  </r>
  <r>
    <s v="A1596"/>
    <s v="Data Analytics Course"/>
    <n v="183"/>
    <n v="5268"/>
    <n v="203.65"/>
    <n v="17"/>
    <n v="5"/>
    <n v="2.7E-2"/>
    <n v="1731"/>
    <d v="2024-11-12T00:00:00"/>
    <s v="Hyderabad"/>
    <x v="1"/>
    <s v="learn data analytics"/>
    <d v="2024-11-12T00:00:00"/>
    <n v="3.4738041002277904E-2"/>
    <n v="1.1128415300546448"/>
    <n v="11.979411764705883"/>
    <n v="40.730000000000004"/>
    <n v="8.499877240363368"/>
  </r>
  <r>
    <s v="A1597"/>
    <s v="Data Analytics Course"/>
    <n v="196"/>
    <n v="5386"/>
    <n v="224.31"/>
    <n v="23"/>
    <n v="4"/>
    <n v="0.02"/>
    <n v="1423"/>
    <d v="2024-11-30T00:00:00"/>
    <s v="Hyderabad"/>
    <x v="2"/>
    <s v="learn data analytics"/>
    <d v="2024-11-30T00:00:00"/>
    <n v="3.6390642406238398E-2"/>
    <n v="1.1444387755102041"/>
    <n v="9.7526086956521745"/>
    <n v="56.077500000000001"/>
    <n v="6.3438990682537559"/>
  </r>
  <r>
    <s v="A1598"/>
    <s v="Data Analytics Course"/>
    <n v="121"/>
    <n v="4432"/>
    <n v="218.71"/>
    <n v="25"/>
    <n v="10"/>
    <n v="4.5999999999999999E-2"/>
    <n v="1568"/>
    <d v="2024-11-13T00:00:00"/>
    <s v="Hyderabad"/>
    <x v="0"/>
    <s v="analytics for data"/>
    <d v="2024-11-13T00:00:00"/>
    <n v="2.7301444043321299E-2"/>
    <n v="1.8075206611570249"/>
    <n v="8.7484000000000002"/>
    <n v="21.871000000000002"/>
    <n v="7.1693109597183486"/>
  </r>
  <r>
    <s v="A1599"/>
    <s v="Data Analytics Course"/>
    <n v="174"/>
    <n v="3031"/>
    <n v="242.32"/>
    <n v="25"/>
    <n v="6"/>
    <n v="3.4000000000000002E-2"/>
    <n v="1381"/>
    <d v="2024-11-08T00:00:00"/>
    <s v="Hyderabad"/>
    <x v="1"/>
    <s v="online data analytic"/>
    <d v="2024-11-08T00:00:00"/>
    <n v="5.7406796436819535E-2"/>
    <n v="1.3926436781609195"/>
    <n v="9.6928000000000001"/>
    <n v="40.386666666666663"/>
    <n v="5.6990756025090787"/>
  </r>
  <r>
    <s v="A1600"/>
    <s v="Data Analytics Course"/>
    <n v="142"/>
    <n v="5999"/>
    <n v="214.05"/>
    <n v="27"/>
    <n v="7"/>
    <n v="4.5999999999999999E-2"/>
    <n v="1064"/>
    <d v="2024-11-21T00:00:00"/>
    <s v="Hyderabad"/>
    <x v="0"/>
    <s v="analytics for data"/>
    <d v="2024-11-21T00:00:00"/>
    <n v="2.3670611768628103E-2"/>
    <n v="1.5073943661971831"/>
    <n v="7.927777777777778"/>
    <n v="30.578571428571429"/>
    <n v="4.9708012146694696"/>
  </r>
  <r>
    <s v="A1601"/>
    <s v="Data Analytics Course"/>
    <n v="118"/>
    <n v="3274"/>
    <n v="222.62"/>
    <n v="10"/>
    <n v="3"/>
    <n v="2.5000000000000001E-2"/>
    <n v="1716"/>
    <d v="2024-09-11T00:00:00"/>
    <s v="Hyderabad"/>
    <x v="2"/>
    <s v="analytics for data"/>
    <d v="2024-09-11T00:00:00"/>
    <n v="3.6041539401343921E-2"/>
    <n v="1.8866101694915254"/>
    <n v="22.262"/>
    <n v="74.206666666666663"/>
    <n v="7.7082023178510468"/>
  </r>
  <r>
    <s v="A1602"/>
    <s v="Data Analytics Course"/>
    <n v="118"/>
    <n v="5889"/>
    <n v="193.01"/>
    <n v="17"/>
    <n v="10"/>
    <n v="8.5000000000000006E-2"/>
    <n v="1789"/>
    <d v="2024-11-10T00:00:00"/>
    <s v="Hyderabad"/>
    <x v="0"/>
    <s v="online data analytic"/>
    <d v="2024-11-10T00:00:00"/>
    <n v="2.0037357785702158E-2"/>
    <n v="1.6356779661016949"/>
    <n v="11.353529411764706"/>
    <n v="19.300999999999998"/>
    <n v="9.2689497953473925"/>
  </r>
  <r>
    <s v="A1603"/>
    <s v="Data Analytics Course"/>
    <n v="149"/>
    <n v="5601"/>
    <n v="222.01"/>
    <n v="15"/>
    <n v="6"/>
    <n v="0.04"/>
    <n v="1514"/>
    <s v="25-11-2024"/>
    <s v="Hyderabad"/>
    <x v="0"/>
    <s v="analytics for data"/>
    <d v="2024-11-25T00:00:00"/>
    <n v="2.6602392429923228E-2"/>
    <n v="1.49"/>
    <n v="14.800666666666666"/>
    <n v="37.001666666666665"/>
    <n v="6.8195126345660109"/>
  </r>
  <r>
    <s v="A1604"/>
    <s v="Data Analytics Course"/>
    <n v="127"/>
    <n v="4295"/>
    <n v="212.6"/>
    <n v="26"/>
    <n v="10"/>
    <n v="7.9000000000000001E-2"/>
    <n v="1713"/>
    <s v="19-11-2024"/>
    <s v="Hyderabad"/>
    <x v="2"/>
    <s v="data analytics course"/>
    <d v="2024-11-19T00:00:00"/>
    <n v="2.9569266589057043E-2"/>
    <n v="1.6740157480314961"/>
    <n v="8.1769230769230763"/>
    <n v="21.259999999999998"/>
    <n v="8.057384760112889"/>
  </r>
  <r>
    <s v="A1605"/>
    <s v="Data Analytics Course"/>
    <n v="195"/>
    <n v="5135"/>
    <n v="226.37"/>
    <n v="17"/>
    <n v="3"/>
    <n v="4.5999999999999999E-2"/>
    <n v="1505"/>
    <d v="2024-11-24T00:00:00"/>
    <s v="Hyderabad"/>
    <x v="0"/>
    <s v="data anaytics training"/>
    <d v="2024-11-24T00:00:00"/>
    <n v="3.7974683544303799E-2"/>
    <n v="1.1608717948717948"/>
    <n v="13.315882352941177"/>
    <n v="75.456666666666663"/>
    <n v="6.6484074744886685"/>
  </r>
  <r>
    <s v="A1606"/>
    <s v="Data Analytics Course"/>
    <n v="173"/>
    <n v="5233"/>
    <n v="229.38"/>
    <n v="28"/>
    <n v="7"/>
    <n v="4.5999999999999999E-2"/>
    <n v="1322"/>
    <d v="2024-11-16T00:00:00"/>
    <s v="Hyderabad"/>
    <x v="1"/>
    <s v="learn data analytics"/>
    <d v="2024-11-16T00:00:00"/>
    <n v="3.305943053697688E-2"/>
    <n v="1.3258959537572255"/>
    <n v="8.1921428571428567"/>
    <n v="32.768571428571427"/>
    <n v="5.7633621065480867"/>
  </r>
  <r>
    <s v="A1607"/>
    <s v="Data Analytics Course"/>
    <n v="131"/>
    <n v="5727"/>
    <n v="218.65"/>
    <n v="28"/>
    <n v="4"/>
    <n v="3.1E-2"/>
    <n v="1631"/>
    <d v="2024-11-07T00:00:00"/>
    <s v="Hyderabad"/>
    <x v="1"/>
    <s v="data anaytics training"/>
    <d v="2024-11-07T00:00:00"/>
    <n v="2.2874105116116639E-2"/>
    <n v="1.669083969465649"/>
    <n v="7.8089285714285719"/>
    <n v="54.662500000000001"/>
    <n v="7.4594100160073173"/>
  </r>
  <r>
    <s v="A1608"/>
    <s v="Data Analytics Course"/>
    <n v="105"/>
    <n v="4691"/>
    <n v="213.15"/>
    <n v="21"/>
    <n v="3"/>
    <n v="3.5000000000000003E-2"/>
    <n v="1276"/>
    <d v="2024-11-22T00:00:00"/>
    <s v="Hyderabad"/>
    <x v="0"/>
    <s v="analytics for data"/>
    <d v="2024-11-22T00:00:00"/>
    <n v="2.2383287145597952E-2"/>
    <n v="2.0300000000000002"/>
    <n v="10.15"/>
    <n v="71.05"/>
    <n v="5.9863945578231288"/>
  </r>
  <r>
    <s v="A1609"/>
    <s v="Data Analytics Course"/>
    <n v="104"/>
    <n v="3409"/>
    <n v="207.63"/>
    <n v="19"/>
    <n v="4"/>
    <n v="4.5999999999999999E-2"/>
    <n v="1195"/>
    <d v="2024-11-16T00:00:00"/>
    <s v="Hyderabad"/>
    <x v="1"/>
    <s v="analytics for data"/>
    <d v="2024-11-16T00:00:00"/>
    <n v="3.0507480199471988E-2"/>
    <n v="1.9964423076923077"/>
    <n v="10.927894736842106"/>
    <n v="51.907499999999999"/>
    <n v="5.7554303328035452"/>
  </r>
  <r>
    <s v="A1610"/>
    <s v="Data Analytics Course"/>
    <n v="139"/>
    <n v="4333"/>
    <n v="230.05"/>
    <n v="19"/>
    <n v="6"/>
    <n v="4.2999999999999997E-2"/>
    <n v="1407"/>
    <s v="21-11-2024"/>
    <s v="Hyderabad"/>
    <x v="0"/>
    <s v="analytics for data"/>
    <d v="2024-11-21T00:00:00"/>
    <n v="3.2079390722363259E-2"/>
    <n v="1.6550359712230216"/>
    <n v="12.107894736842105"/>
    <n v="38.341666666666669"/>
    <n v="6.1160617257118011"/>
  </r>
  <r>
    <s v="A1611"/>
    <s v="Data Analytics Course"/>
    <n v="110"/>
    <n v="4430"/>
    <n v="197.84"/>
    <n v="23"/>
    <n v="5"/>
    <n v="4.4999999999999998E-2"/>
    <n v="1505"/>
    <d v="2024-11-15T00:00:00"/>
    <s v="Hyderabad"/>
    <x v="1"/>
    <s v="learn data analytics"/>
    <d v="2024-11-15T00:00:00"/>
    <n v="2.4830699774266364E-2"/>
    <n v="1.7985454545454547"/>
    <n v="8.6017391304347832"/>
    <n v="39.567999999999998"/>
    <n v="7.6071572988273353"/>
  </r>
  <r>
    <s v="A1612"/>
    <s v="Data Analytics Course"/>
    <n v="193"/>
    <n v="4860"/>
    <n v="181.27"/>
    <n v="14"/>
    <n v="5"/>
    <n v="2.5999999999999999E-2"/>
    <n v="1505"/>
    <d v="2024-11-16T00:00:00"/>
    <s v="Hyderabad"/>
    <x v="0"/>
    <s v="online data analytic"/>
    <d v="2024-11-16T00:00:00"/>
    <n v="3.9711934156378602E-2"/>
    <n v="0.93922279792746122"/>
    <n v="12.947857142857144"/>
    <n v="36.254000000000005"/>
    <n v="8.3025321343851708"/>
  </r>
  <r>
    <s v="A1613"/>
    <s v="Data Analytics Course"/>
    <n v="109"/>
    <n v="4396"/>
    <n v="188.6"/>
    <n v="11"/>
    <n v="10"/>
    <n v="9.1999999999999998E-2"/>
    <n v="1451"/>
    <s v="18-11-2024"/>
    <s v="Hyderabad"/>
    <x v="1"/>
    <s v="data anaytics training"/>
    <d v="2024-11-18T00:00:00"/>
    <n v="2.4795268425841673E-2"/>
    <n v="1.7302752293577981"/>
    <n v="17.145454545454545"/>
    <n v="18.86"/>
    <n v="7.6935312831389187"/>
  </r>
  <r>
    <s v="A1614"/>
    <s v="Data Analytics Course"/>
    <n v="141"/>
    <n v="5000"/>
    <n v="223.7"/>
    <n v="29"/>
    <n v="10"/>
    <n v="7.0999999999999994E-2"/>
    <n v="1909"/>
    <d v="2024-11-12T00:00:00"/>
    <s v="Hyderabad"/>
    <x v="2"/>
    <s v="data analitics online"/>
    <d v="2024-11-12T00:00:00"/>
    <n v="2.8199999999999999E-2"/>
    <n v="1.5865248226950355"/>
    <n v="7.7137931034482756"/>
    <n v="22.369999999999997"/>
    <n v="8.5337505587840869"/>
  </r>
  <r>
    <s v="A1615"/>
    <s v="Data Analytics Course"/>
    <n v="182"/>
    <n v="3487"/>
    <n v="211.71"/>
    <n v="23"/>
    <n v="7"/>
    <n v="3.7999999999999999E-2"/>
    <n v="1027"/>
    <d v="2024-11-24T00:00:00"/>
    <s v="Hyderabad"/>
    <x v="1"/>
    <s v="data analitics online"/>
    <d v="2024-11-24T00:00:00"/>
    <n v="5.2193862919414968E-2"/>
    <n v="1.1632417582417582"/>
    <n v="9.2047826086956519"/>
    <n v="30.244285714285716"/>
    <n v="4.8509753908648623"/>
  </r>
  <r>
    <s v="A1616"/>
    <s v="Data Analytics Course"/>
    <n v="179"/>
    <n v="4236"/>
    <n v="245.01"/>
    <n v="23"/>
    <n v="7"/>
    <n v="3.9E-2"/>
    <n v="1822"/>
    <d v="2024-11-07T00:00:00"/>
    <s v="Hyderabad"/>
    <x v="1"/>
    <s v="learn data analytics"/>
    <d v="2024-11-07T00:00:00"/>
    <n v="4.2256846081208686E-2"/>
    <n v="1.3687709497206704"/>
    <n v="10.652608695652173"/>
    <n v="35.001428571428569"/>
    <n v="7.4364311660748541"/>
  </r>
  <r>
    <s v="A1617"/>
    <s v="Data Analytics Course"/>
    <n v="89"/>
    <n v="5349"/>
    <n v="215.57"/>
    <n v="20"/>
    <n v="8"/>
    <n v="0.09"/>
    <n v="1371"/>
    <s v="28-11-2024"/>
    <s v="Hyderabad"/>
    <x v="2"/>
    <s v="data analitics online"/>
    <d v="2024-11-28T00:00:00"/>
    <n v="1.6638624041876986E-2"/>
    <n v="2.4221348314606739"/>
    <n v="10.778499999999999"/>
    <n v="26.946249999999999"/>
    <n v="6.3598831006169689"/>
  </r>
  <r>
    <s v="A1618"/>
    <s v="Data Analytics Course"/>
    <n v="181"/>
    <n v="5678"/>
    <n v="226.89"/>
    <n v="22"/>
    <n v="10"/>
    <n v="4.5999999999999999E-2"/>
    <n v="1992"/>
    <d v="2024-11-02T00:00:00"/>
    <s v="Hyderabad"/>
    <x v="2"/>
    <s v="data anaytics training"/>
    <d v="2024-11-02T00:00:00"/>
    <n v="3.187742162733357E-2"/>
    <n v="1.2535359116022098"/>
    <n v="10.313181818181818"/>
    <n v="22.689"/>
    <n v="8.7795848208382914"/>
  </r>
  <r>
    <s v="A1619"/>
    <s v="Data Analytics Course"/>
    <n v="85"/>
    <n v="5247"/>
    <n v="219.97"/>
    <n v="15"/>
    <n v="7"/>
    <n v="8.2000000000000003E-2"/>
    <n v="1612"/>
    <d v="2024-11-20T00:00:00"/>
    <s v="Hyderabad"/>
    <x v="0"/>
    <s v="analytics for data"/>
    <d v="2024-11-20T00:00:00"/>
    <n v="1.6199733180865258E-2"/>
    <n v="2.5878823529411763"/>
    <n v="14.664666666666667"/>
    <n v="31.424285714285713"/>
    <n v="7.3282720370959673"/>
  </r>
  <r>
    <s v="A1620"/>
    <s v="Data Analytics Course"/>
    <n v="179"/>
    <n v="3685"/>
    <n v="202.66"/>
    <n v="15"/>
    <n v="7"/>
    <n v="3.9E-2"/>
    <n v="1634"/>
    <d v="2024-11-18T00:00:00"/>
    <s v="Hyderabad"/>
    <x v="0"/>
    <s v="data analytics course"/>
    <d v="2024-11-18T00:00:00"/>
    <n v="4.85753052917232E-2"/>
    <n v="1.1321787709497206"/>
    <n v="13.510666666666667"/>
    <n v="28.951428571428572"/>
    <n v="8.0627652225402144"/>
  </r>
  <r>
    <s v="A1621"/>
    <s v="Data Analytics Course"/>
    <n v="172"/>
    <n v="5862"/>
    <n v="202"/>
    <n v="23"/>
    <n v="4"/>
    <n v="2.3E-2"/>
    <n v="1469"/>
    <d v="2024-11-28T00:00:00"/>
    <s v="Hyderabad"/>
    <x v="0"/>
    <s v="online data analytic"/>
    <d v="2024-11-28T00:00:00"/>
    <n v="2.9341521664960766E-2"/>
    <n v="1.1744186046511629"/>
    <n v="8.7826086956521738"/>
    <n v="50.5"/>
    <n v="7.2722772277227721"/>
  </r>
  <r>
    <s v="A1622"/>
    <s v="Data Analytics Course"/>
    <n v="196"/>
    <n v="5040"/>
    <n v="197.08"/>
    <n v="11"/>
    <n v="9"/>
    <n v="4.5999999999999999E-2"/>
    <n v="1774"/>
    <s v="22-11-2024"/>
    <s v="Hyderabad"/>
    <x v="0"/>
    <s v="data analytics course"/>
    <d v="2024-11-22T00:00:00"/>
    <n v="3.888888888888889E-2"/>
    <n v="1.0055102040816326"/>
    <n v="17.916363636363638"/>
    <n v="21.89777777777778"/>
    <n v="9.0014207428455446"/>
  </r>
  <r>
    <s v="A1623"/>
    <s v="Data Analytics Course"/>
    <n v="139"/>
    <n v="3423"/>
    <n v="223.95"/>
    <n v="30"/>
    <n v="4"/>
    <n v="5.5E-2"/>
    <n v="1480"/>
    <d v="2024-11-03T00:00:00"/>
    <s v="Hyderabad"/>
    <x v="0"/>
    <s v="analytics for data"/>
    <d v="2024-11-03T00:00:00"/>
    <n v="4.0607654104586617E-2"/>
    <n v="1.6111510791366905"/>
    <n v="7.4649999999999999"/>
    <n v="55.987499999999997"/>
    <n v="6.6086179950881894"/>
  </r>
  <r>
    <s v="A1624"/>
    <s v="Data Analytics Course"/>
    <n v="135"/>
    <n v="5981"/>
    <n v="228.66"/>
    <n v="26"/>
    <n v="6"/>
    <n v="4.5999999999999999E-2"/>
    <n v="1515"/>
    <d v="2024-12-11T00:00:00"/>
    <s v="Hyderabad"/>
    <x v="0"/>
    <s v="data anaytics training"/>
    <d v="2024-12-11T00:00:00"/>
    <n v="2.2571476341748872E-2"/>
    <n v="1.6937777777777778"/>
    <n v="8.7946153846153852"/>
    <n v="38.11"/>
    <n v="6.6255575964313831"/>
  </r>
  <r>
    <s v="A1625"/>
    <s v="Data Analytics Course"/>
    <n v="97"/>
    <n v="3495"/>
    <n v="230.83"/>
    <n v="16"/>
    <n v="6"/>
    <n v="6.2E-2"/>
    <n v="1675"/>
    <d v="2024-11-23T00:00:00"/>
    <s v="Hyderabad"/>
    <x v="2"/>
    <s v="analytics for data"/>
    <d v="2024-11-23T00:00:00"/>
    <n v="2.7753934191702433E-2"/>
    <n v="2.3796907216494847"/>
    <n v="14.426875000000001"/>
    <n v="38.471666666666671"/>
    <n v="7.2564224754148068"/>
  </r>
  <r>
    <s v="A1626"/>
    <s v="Data Analytics Course"/>
    <n v="137"/>
    <n v="3702"/>
    <n v="215.41"/>
    <n v="25"/>
    <n v="9"/>
    <n v="6.6000000000000003E-2"/>
    <n v="1010"/>
    <d v="2024-10-11T00:00:00"/>
    <s v="Hyderabad"/>
    <x v="0"/>
    <s v="learn data analytics"/>
    <d v="2024-10-11T00:00:00"/>
    <n v="3.7007023230686116E-2"/>
    <n v="1.5723357664233577"/>
    <n v="8.6164000000000005"/>
    <n v="23.934444444444445"/>
    <n v="4.6887331135973263"/>
  </r>
  <r>
    <s v="A1627"/>
    <s v="Data Analytics Course"/>
    <n v="164"/>
    <n v="3405"/>
    <n v="217.58"/>
    <n v="10"/>
    <n v="3"/>
    <n v="1.7999999999999999E-2"/>
    <n v="1885"/>
    <d v="2024-11-30T00:00:00"/>
    <s v="Hyderabad"/>
    <x v="0"/>
    <s v="data analitics online"/>
    <d v="2024-11-30T00:00:00"/>
    <n v="4.8164464023494863E-2"/>
    <n v="1.3267073170731709"/>
    <n v="21.758000000000003"/>
    <n v="72.526666666666671"/>
    <n v="8.6634800992738299"/>
  </r>
  <r>
    <s v="A1628"/>
    <s v="Data Analytics Course"/>
    <n v="178"/>
    <n v="3370"/>
    <n v="180.66"/>
    <n v="25"/>
    <n v="9"/>
    <n v="5.0999999999999997E-2"/>
    <n v="1830"/>
    <d v="2024-11-24T00:00:00"/>
    <s v="Hyderabad"/>
    <x v="0"/>
    <s v="online data analytic"/>
    <d v="2024-11-24T00:00:00"/>
    <n v="5.2818991097922846E-2"/>
    <n v="1.0149438202247192"/>
    <n v="7.2263999999999999"/>
    <n v="20.073333333333334"/>
    <n v="10.129525074726004"/>
  </r>
  <r>
    <s v="A1629"/>
    <s v="Data Analytics Course"/>
    <n v="146"/>
    <n v="4455"/>
    <n v="227.13"/>
    <n v="16"/>
    <n v="5"/>
    <n v="4.5999999999999999E-2"/>
    <n v="1040"/>
    <s v="24-11-2024"/>
    <s v="Hyderabad"/>
    <x v="2"/>
    <s v="online data analytic"/>
    <d v="2024-11-24T00:00:00"/>
    <n v="3.2772166105499441E-2"/>
    <n v="1.5556849315068493"/>
    <n v="14.195625"/>
    <n v="45.426000000000002"/>
    <n v="4.5788755338352489"/>
  </r>
  <r>
    <s v="A1630"/>
    <s v="Data Analytics Course"/>
    <n v="149"/>
    <n v="4670"/>
    <n v="218.31"/>
    <n v="10"/>
    <n v="10"/>
    <n v="6.7000000000000004E-2"/>
    <n v="1623"/>
    <d v="2024-11-02T00:00:00"/>
    <s v="Hyderabad"/>
    <x v="1"/>
    <s v="analytics for data"/>
    <d v="2024-11-02T00:00:00"/>
    <n v="3.1905781584582439E-2"/>
    <n v="1.4651677852348994"/>
    <n v="21.831"/>
    <n v="21.831"/>
    <n v="7.4343823003985161"/>
  </r>
  <r>
    <s v="A1631"/>
    <s v="Data Analytics Course"/>
    <n v="193"/>
    <n v="4287"/>
    <n v="204.62"/>
    <n v="15"/>
    <n v="3"/>
    <n v="4.5999999999999999E-2"/>
    <n v="1800"/>
    <d v="2024-11-09T00:00:00"/>
    <s v="Hyderabad"/>
    <x v="2"/>
    <s v="data anaytics training"/>
    <d v="2024-11-09T00:00:00"/>
    <n v="4.5019827385117797E-2"/>
    <n v="1.0602072538860103"/>
    <n v="13.641333333333334"/>
    <n v="68.206666666666663"/>
    <n v="8.7967940572769034"/>
  </r>
  <r>
    <s v="A1632"/>
    <s v="Data Analytics Course"/>
    <n v="139"/>
    <n v="3546"/>
    <n v="183.41"/>
    <n v="27"/>
    <n v="7"/>
    <n v="4.5999999999999999E-2"/>
    <n v="1701"/>
    <d v="2024-11-28T00:00:00"/>
    <s v="Hyderabad"/>
    <x v="1"/>
    <s v="data anaytics training"/>
    <d v="2024-11-28T00:00:00"/>
    <n v="3.919909757473209E-2"/>
    <n v="1.3194964028776979"/>
    <n v="6.7929629629629629"/>
    <n v="26.201428571428572"/>
    <n v="9.2743034730930702"/>
  </r>
  <r>
    <s v="A1633"/>
    <s v="Data Analytics Course"/>
    <n v="106"/>
    <n v="4740"/>
    <n v="229.13"/>
    <n v="19"/>
    <n v="3"/>
    <n v="2.8000000000000001E-2"/>
    <n v="1149"/>
    <d v="2024-11-11T00:00:00"/>
    <s v="Hyderabad"/>
    <x v="0"/>
    <s v="online data analytic"/>
    <d v="2024-11-11T00:00:00"/>
    <n v="2.2362869198312235E-2"/>
    <n v="2.1616037735849054"/>
    <n v="12.059473684210525"/>
    <n v="76.376666666666665"/>
    <n v="5.0146205211015582"/>
  </r>
  <r>
    <s v="A1634"/>
    <s v="Data Analytics Course"/>
    <n v="131"/>
    <n v="5642"/>
    <n v="184.57"/>
    <n v="20"/>
    <n v="9"/>
    <n v="4.5999999999999999E-2"/>
    <n v="1827"/>
    <s v="16-11-2024"/>
    <s v="Hyderabad"/>
    <x v="1"/>
    <s v="data analytics course"/>
    <d v="2024-11-16T00:00:00"/>
    <n v="2.3218716767103863E-2"/>
    <n v="1.4089312977099235"/>
    <n v="9.2285000000000004"/>
    <n v="20.507777777777775"/>
    <n v="9.8986834263423091"/>
  </r>
  <r>
    <s v="A1635"/>
    <s v="Data Analytics Course"/>
    <n v="111"/>
    <n v="4161"/>
    <n v="185.58"/>
    <n v="10"/>
    <n v="7"/>
    <n v="4.5999999999999999E-2"/>
    <n v="1434"/>
    <d v="2024-11-04T00:00:00"/>
    <s v="Hyderabad"/>
    <x v="0"/>
    <s v="data anaytics training"/>
    <d v="2024-11-04T00:00:00"/>
    <n v="2.6676279740447006E-2"/>
    <n v="1.6718918918918919"/>
    <n v="18.558"/>
    <n v="26.511428571428574"/>
    <n v="7.7271257678629155"/>
  </r>
  <r>
    <s v="A1636"/>
    <s v="Data Analytics Course"/>
    <n v="144"/>
    <n v="4241"/>
    <n v="181.4"/>
    <n v="24"/>
    <n v="5"/>
    <n v="3.5000000000000003E-2"/>
    <n v="1693"/>
    <d v="2024-11-19T00:00:00"/>
    <s v="Hyderabad"/>
    <x v="1"/>
    <s v="online data analytic"/>
    <d v="2024-11-19T00:00:00"/>
    <n v="3.3954256071681205E-2"/>
    <n v="1.2597222222222222"/>
    <n v="7.5583333333333336"/>
    <n v="36.28"/>
    <n v="9.3329658213891946"/>
  </r>
  <r>
    <s v="A1637"/>
    <s v="Data Analytics Course"/>
    <n v="151"/>
    <n v="5875"/>
    <n v="192.46"/>
    <n v="28"/>
    <n v="7"/>
    <n v="4.5999999999999999E-2"/>
    <n v="1459"/>
    <d v="2024-11-18T00:00:00"/>
    <s v="Hyderabad"/>
    <x v="1"/>
    <s v="data analitics online"/>
    <d v="2024-11-18T00:00:00"/>
    <n v="2.570212765957447E-2"/>
    <n v="1.2745695364238412"/>
    <n v="6.8735714285714291"/>
    <n v="27.494285714285716"/>
    <n v="7.5807960095604274"/>
  </r>
  <r>
    <s v="A1638"/>
    <s v="Data Analytics Course"/>
    <n v="146"/>
    <n v="5457"/>
    <n v="215.57"/>
    <n v="15"/>
    <n v="5"/>
    <n v="3.4000000000000002E-2"/>
    <n v="1029"/>
    <d v="2024-11-02T00:00:00"/>
    <s v="Hyderabad"/>
    <x v="0"/>
    <s v="data analytics course"/>
    <d v="2024-11-02T00:00:00"/>
    <n v="2.6754627084478653E-2"/>
    <n v="1.4765068493150684"/>
    <n v="14.371333333333332"/>
    <n v="43.113999999999997"/>
    <n v="4.7733914737672221"/>
  </r>
  <r>
    <s v="A1639"/>
    <s v="Data Analytics Course"/>
    <n v="133"/>
    <n v="4780"/>
    <n v="198.66"/>
    <n v="22"/>
    <n v="4"/>
    <n v="0.03"/>
    <n v="1905"/>
    <d v="2024-09-11T00:00:00"/>
    <s v="Hyderabad"/>
    <x v="2"/>
    <s v="online data analytic"/>
    <d v="2024-09-11T00:00:00"/>
    <n v="2.7824267782426779E-2"/>
    <n v="1.4936842105263157"/>
    <n v="9.0299999999999994"/>
    <n v="49.664999999999999"/>
    <n v="9.589247961340984"/>
  </r>
  <r>
    <s v="A1640"/>
    <s v="Data Analytics Course"/>
    <n v="139"/>
    <n v="5922"/>
    <n v="239.1"/>
    <n v="12"/>
    <n v="3"/>
    <n v="4.8000000000000001E-2"/>
    <n v="1733"/>
    <d v="2024-11-06T00:00:00"/>
    <s v="Hyderabad"/>
    <x v="0"/>
    <s v="data analytics course"/>
    <d v="2024-11-06T00:00:00"/>
    <n v="2.3471800067544749E-2"/>
    <n v="1.7201438848920863"/>
    <n v="19.925000000000001"/>
    <n v="79.7"/>
    <n v="7.2480133835215392"/>
  </r>
  <r>
    <s v="A1641"/>
    <s v="Data Analytics Course"/>
    <n v="82"/>
    <n v="3454"/>
    <n v="228.02"/>
    <n v="30"/>
    <n v="7"/>
    <n v="4.9000000000000002E-2"/>
    <n v="1463"/>
    <d v="2024-11-09T00:00:00"/>
    <s v="Hyderabad"/>
    <x v="0"/>
    <s v="learn data analytics"/>
    <d v="2024-11-09T00:00:00"/>
    <n v="2.3740590619571511E-2"/>
    <n v="2.7807317073170732"/>
    <n v="7.6006666666666671"/>
    <n v="32.574285714285715"/>
    <n v="6.4161038505394261"/>
  </r>
  <r>
    <s v="A1642"/>
    <s v="Data Analytics Course"/>
    <n v="135"/>
    <n v="3449"/>
    <n v="200.06"/>
    <n v="17"/>
    <n v="5"/>
    <n v="3.6999999999999998E-2"/>
    <n v="1950"/>
    <d v="2024-11-07T00:00:00"/>
    <s v="Hyderabad"/>
    <x v="1"/>
    <s v="data analytics course"/>
    <d v="2024-11-07T00:00:00"/>
    <n v="3.9141780226152507E-2"/>
    <n v="1.4819259259259259"/>
    <n v="11.768235294117646"/>
    <n v="40.012"/>
    <n v="9.7470758772368296"/>
  </r>
  <r>
    <s v="A1643"/>
    <s v="Data Analytics Course"/>
    <n v="199"/>
    <n v="4287"/>
    <n v="235.58"/>
    <n v="12"/>
    <n v="10"/>
    <n v="0.05"/>
    <n v="1276"/>
    <d v="2024-11-10T00:00:00"/>
    <s v="Hyderabad"/>
    <x v="2"/>
    <s v="data analytics course"/>
    <d v="2024-11-10T00:00:00"/>
    <n v="4.6419407511080008E-2"/>
    <n v="1.1838190954773871"/>
    <n v="19.631666666666668"/>
    <n v="23.558"/>
    <n v="5.4164190508532126"/>
  </r>
  <r>
    <s v="A1644"/>
    <s v="Data Analytics Course"/>
    <n v="123"/>
    <n v="5000"/>
    <n v="187.67"/>
    <n v="25"/>
    <n v="3"/>
    <n v="2.4E-2"/>
    <n v="1351"/>
    <d v="2024-11-07T00:00:00"/>
    <s v="Hyderabad"/>
    <x v="2"/>
    <s v="data analitics online"/>
    <d v="2024-11-07T00:00:00"/>
    <n v="2.46E-2"/>
    <n v="1.5257723577235771"/>
    <n v="7.5067999999999993"/>
    <n v="62.556666666666665"/>
    <n v="7.1988064155165992"/>
  </r>
  <r>
    <s v="A1645"/>
    <s v="Data Analytics Course"/>
    <n v="154"/>
    <n v="3437"/>
    <n v="211.63"/>
    <n v="28"/>
    <n v="4"/>
    <n v="2.5999999999999999E-2"/>
    <n v="1604"/>
    <d v="2024-11-14T00:00:00"/>
    <s v="Hyderabad"/>
    <x v="2"/>
    <s v="data anaytics training"/>
    <d v="2024-11-14T00:00:00"/>
    <n v="4.4806517311608958E-2"/>
    <n v="1.3742207792207792"/>
    <n v="7.5582142857142856"/>
    <n v="52.907499999999999"/>
    <n v="7.5792656995700041"/>
  </r>
  <r>
    <s v="A1646"/>
    <s v="Data Analytics Course"/>
    <n v="88"/>
    <n v="3475"/>
    <n v="191.96"/>
    <n v="12"/>
    <n v="7"/>
    <n v="0.08"/>
    <n v="1204"/>
    <d v="2024-11-25T00:00:00"/>
    <s v="Hyderabad"/>
    <x v="0"/>
    <s v="online data analytic"/>
    <d v="2024-11-25T00:00:00"/>
    <n v="2.5323741007194246E-2"/>
    <n v="2.1813636363636366"/>
    <n v="15.996666666666668"/>
    <n v="27.422857142857143"/>
    <n v="6.2721400291727445"/>
  </r>
  <r>
    <s v="A1647"/>
    <s v="Data Analytics Course"/>
    <n v="165"/>
    <n v="4889"/>
    <n v="180.19"/>
    <n v="21"/>
    <n v="4"/>
    <n v="2.4E-2"/>
    <n v="1458"/>
    <d v="2024-11-19T00:00:00"/>
    <s v="Hyderabad"/>
    <x v="1"/>
    <s v="analytics for data"/>
    <d v="2024-11-19T00:00:00"/>
    <n v="3.3749232971977912E-2"/>
    <n v="1.092060606060606"/>
    <n v="8.5804761904761904"/>
    <n v="45.047499999999999"/>
    <n v="8.0914590154836556"/>
  </r>
  <r>
    <s v="A1648"/>
    <s v="Data Analytics Course"/>
    <n v="87"/>
    <n v="3639"/>
    <n v="220.76"/>
    <n v="22"/>
    <n v="3"/>
    <n v="3.5999999999999997E-2"/>
    <n v="1231"/>
    <d v="2024-11-14T00:00:00"/>
    <s v="Hyderabad"/>
    <x v="1"/>
    <s v="analytics for data"/>
    <d v="2024-11-14T00:00:00"/>
    <n v="2.3907666941467436E-2"/>
    <n v="2.5374712643678161"/>
    <n v="10.034545454545453"/>
    <n v="73.586666666666659"/>
    <n v="5.5761913390106903"/>
  </r>
  <r>
    <s v="A1649"/>
    <s v="Data Analytics Course"/>
    <n v="147"/>
    <n v="3959"/>
    <n v="181.18"/>
    <n v="27"/>
    <n v="9"/>
    <n v="6.0999999999999999E-2"/>
    <n v="1627"/>
    <d v="2024-11-26T00:00:00"/>
    <s v="Hyderabad"/>
    <x v="1"/>
    <s v="analytics for data"/>
    <d v="2024-11-26T00:00:00"/>
    <n v="3.7130588532457688E-2"/>
    <n v="1.2325170068027211"/>
    <n v="6.710370370370371"/>
    <n v="20.13111111111111"/>
    <n v="8.9800198697427973"/>
  </r>
  <r>
    <s v="A1650"/>
    <s v="Data Analytics Course"/>
    <n v="137"/>
    <n v="5400"/>
    <n v="180.04"/>
    <n v="10"/>
    <n v="10"/>
    <n v="7.2999999999999995E-2"/>
    <n v="1375"/>
    <d v="2024-11-29T00:00:00"/>
    <s v="Hyderabad"/>
    <x v="2"/>
    <s v="analytics for data"/>
    <d v="2024-11-29T00:00:00"/>
    <n v="2.537037037037037E-2"/>
    <n v="1.3141605839416057"/>
    <n v="18.003999999999998"/>
    <n v="18.003999999999998"/>
    <n v="7.6371917351699627"/>
  </r>
  <r>
    <s v="A1651"/>
    <s v="Data Analytics Course"/>
    <n v="188"/>
    <n v="5528"/>
    <n v="245.03"/>
    <n v="13"/>
    <n v="10"/>
    <n v="5.2999999999999999E-2"/>
    <n v="1202"/>
    <d v="2024-11-29T00:00:00"/>
    <s v="Hyderabad"/>
    <x v="0"/>
    <s v="analytics for data"/>
    <d v="2024-11-29T00:00:00"/>
    <n v="3.4008683068017367E-2"/>
    <n v="1.3033510638297872"/>
    <n v="18.848461538461539"/>
    <n v="24.503"/>
    <n v="4.9055217728441418"/>
  </r>
  <r>
    <s v="A1652"/>
    <s v="Data Analytics Course"/>
    <n v="162"/>
    <n v="5456"/>
    <n v="193.69"/>
    <n v="10"/>
    <n v="6"/>
    <n v="3.6999999999999998E-2"/>
    <n v="1992"/>
    <d v="2024-11-29T00:00:00"/>
    <s v="Hyderabad"/>
    <x v="2"/>
    <s v="online data analytic"/>
    <d v="2024-11-29T00:00:00"/>
    <n v="2.9692082111436952E-2"/>
    <n v="1.1956172839506172"/>
    <n v="19.369"/>
    <n v="32.281666666666666"/>
    <n v="10.284475192317622"/>
  </r>
  <r>
    <s v="A1653"/>
    <s v="Data Analytics Course"/>
    <n v="102"/>
    <n v="4308"/>
    <n v="221.54"/>
    <n v="13"/>
    <n v="7"/>
    <n v="0.06"/>
    <n v="1096"/>
    <d v="2024-11-08T00:00:00"/>
    <s v="Hyderabad"/>
    <x v="1"/>
    <s v="data analitics online"/>
    <d v="2024-11-08T00:00:00"/>
    <n v="2.3676880222841225E-2"/>
    <n v="2.1719607843137254"/>
    <n v="17.041538461538462"/>
    <n v="31.648571428571426"/>
    <n v="4.9471878667509257"/>
  </r>
  <r>
    <s v="A1654"/>
    <s v="Data Analytics Course"/>
    <n v="120"/>
    <n v="3245"/>
    <n v="196.09"/>
    <n v="15"/>
    <n v="9"/>
    <n v="7.4999999999999997E-2"/>
    <n v="1056"/>
    <d v="2024-11-22T00:00:00"/>
    <s v="Hyderabad"/>
    <x v="0"/>
    <s v="data anaytics training"/>
    <d v="2024-11-22T00:00:00"/>
    <n v="3.6979969183359017E-2"/>
    <n v="1.6340833333333333"/>
    <n v="13.072666666666667"/>
    <n v="21.787777777777777"/>
    <n v="5.3852822683461676"/>
  </r>
  <r>
    <s v="A1655"/>
    <s v="Data Analytics Course"/>
    <n v="125"/>
    <n v="3339"/>
    <n v="205.32"/>
    <n v="18"/>
    <n v="4"/>
    <n v="5.3999999999999999E-2"/>
    <n v="1985"/>
    <s v="28-11-2024"/>
    <s v="Hyderabad"/>
    <x v="0"/>
    <s v="data analytics course"/>
    <d v="2024-11-28T00:00:00"/>
    <n v="3.7436358191075172E-2"/>
    <n v="1.64256"/>
    <n v="11.406666666666666"/>
    <n v="51.33"/>
    <n v="9.6678355737385555"/>
  </r>
  <r>
    <s v="A1656"/>
    <s v="Data Analytics Course"/>
    <n v="155"/>
    <n v="5977"/>
    <n v="187.28"/>
    <n v="16"/>
    <n v="7"/>
    <n v="4.5999999999999999E-2"/>
    <n v="1607"/>
    <d v="2024-11-10T00:00:00"/>
    <s v="Hyderabad"/>
    <x v="0"/>
    <s v="online data analytic"/>
    <d v="2024-11-10T00:00:00"/>
    <n v="2.5932742178350343E-2"/>
    <n v="1.2082580645161289"/>
    <n v="11.705"/>
    <n v="26.754285714285714"/>
    <n v="8.5807347287483982"/>
  </r>
  <r>
    <s v="A1657"/>
    <s v="Data Analytics Course"/>
    <n v="137"/>
    <n v="4231"/>
    <n v="226.49"/>
    <n v="25"/>
    <n v="5"/>
    <n v="3.5999999999999997E-2"/>
    <n v="1078"/>
    <d v="2024-11-12T00:00:00"/>
    <s v="Hyderabad"/>
    <x v="2"/>
    <s v="analytics for data"/>
    <d v="2024-11-12T00:00:00"/>
    <n v="3.2380051997163789E-2"/>
    <n v="1.6532116788321169"/>
    <n v="9.0595999999999997"/>
    <n v="45.298000000000002"/>
    <n v="4.7595920349684313"/>
  </r>
  <r>
    <s v="A1658"/>
    <s v="Data Analytics Course"/>
    <n v="91"/>
    <n v="4506"/>
    <n v="195.99"/>
    <n v="12"/>
    <n v="3"/>
    <n v="4.4999999999999998E-2"/>
    <n v="1179"/>
    <d v="2024-11-22T00:00:00"/>
    <s v="Hyderabad"/>
    <x v="2"/>
    <s v="learn data analytics"/>
    <d v="2024-11-22T00:00:00"/>
    <n v="2.0195295162006213E-2"/>
    <n v="2.1537362637362638"/>
    <n v="16.3325"/>
    <n v="65.33"/>
    <n v="6.0156130414817079"/>
  </r>
  <r>
    <s v="A1659"/>
    <s v="Data Analytics Course"/>
    <n v="87"/>
    <n v="4869"/>
    <n v="220.97"/>
    <n v="29"/>
    <n v="5"/>
    <n v="5.7000000000000002E-2"/>
    <n v="1480"/>
    <d v="2024-11-05T00:00:00"/>
    <s v="Hyderabad"/>
    <x v="0"/>
    <s v="data anaytics training"/>
    <d v="2024-11-05T00:00:00"/>
    <n v="1.7868145409735057E-2"/>
    <n v="2.5398850574712641"/>
    <n v="7.6196551724137933"/>
    <n v="44.194000000000003"/>
    <n v="6.6977417749015702"/>
  </r>
  <r>
    <s v="A1660"/>
    <s v="Data Analytics Course"/>
    <n v="124"/>
    <n v="5716"/>
    <n v="217.84"/>
    <n v="28"/>
    <n v="8"/>
    <n v="4.5999999999999999E-2"/>
    <n v="1791"/>
    <d v="2024-11-24T00:00:00"/>
    <s v="Hyderabad"/>
    <x v="1"/>
    <s v="data anaytics training"/>
    <d v="2024-11-24T00:00:00"/>
    <n v="2.1693491952414275E-2"/>
    <n v="1.7567741935483872"/>
    <n v="7.78"/>
    <n v="27.23"/>
    <n v="8.2216305545354391"/>
  </r>
  <r>
    <s v="A1661"/>
    <s v="Data Analytics Course"/>
    <n v="128"/>
    <n v="3243"/>
    <n v="208.41"/>
    <n v="14"/>
    <n v="6"/>
    <n v="3.6999999999999998E-2"/>
    <n v="1514"/>
    <d v="2024-02-11T00:00:00"/>
    <s v="Hyderabad"/>
    <x v="1"/>
    <s v="online data analytic"/>
    <d v="2024-02-11T00:00:00"/>
    <n v="3.9469626888683315E-2"/>
    <n v="1.628203125"/>
    <n v="14.886428571428571"/>
    <n v="34.734999999999999"/>
    <n v="7.2645266541912576"/>
  </r>
  <r>
    <s v="A1662"/>
    <s v="Data Analytics Course"/>
    <n v="111"/>
    <n v="3911"/>
    <n v="239.24"/>
    <n v="28"/>
    <n v="9"/>
    <n v="4.5999999999999999E-2"/>
    <n v="1097"/>
    <d v="2024-11-01T00:00:00"/>
    <s v="Hyderabad"/>
    <x v="2"/>
    <s v="online data analytic"/>
    <d v="2024-11-01T00:00:00"/>
    <n v="2.8381488110457685E-2"/>
    <n v="2.1553153153153155"/>
    <n v="8.5442857142857154"/>
    <n v="26.582222222222224"/>
    <n v="4.5853536197960203"/>
  </r>
  <r>
    <s v="A1663"/>
    <s v="Data Analytics Course"/>
    <n v="89"/>
    <n v="3982"/>
    <n v="209.87"/>
    <n v="27"/>
    <n v="7"/>
    <n v="7.9000000000000001E-2"/>
    <n v="1920"/>
    <d v="2024-04-11T00:00:00"/>
    <s v="Hyderabad"/>
    <x v="0"/>
    <s v="data analytics course"/>
    <d v="2024-04-11T00:00:00"/>
    <n v="2.2350577599196383E-2"/>
    <n v="2.3580898876404497"/>
    <n v="7.7729629629629633"/>
    <n v="29.981428571428573"/>
    <n v="9.1485205126983367"/>
  </r>
  <r>
    <s v="A1664"/>
    <s v="Data Analytics Course"/>
    <n v="107"/>
    <n v="5299"/>
    <n v="207.36"/>
    <n v="19"/>
    <n v="8"/>
    <n v="4.5999999999999999E-2"/>
    <n v="1567"/>
    <d v="2024-11-26T00:00:00"/>
    <s v="Hyderabad"/>
    <x v="2"/>
    <s v="data anaytics training"/>
    <d v="2024-11-26T00:00:00"/>
    <n v="2.0192489148896018E-2"/>
    <n v="1.937943925233645"/>
    <n v="10.913684210526316"/>
    <n v="25.92"/>
    <n v="7.55690586419753"/>
  </r>
  <r>
    <s v="A1665"/>
    <s v="Data Analytics Course"/>
    <n v="181"/>
    <n v="4150"/>
    <n v="236.69"/>
    <n v="15"/>
    <n v="5"/>
    <n v="4.5999999999999999E-2"/>
    <n v="1251"/>
    <d v="2024-11-10T00:00:00"/>
    <s v="Hyderabad"/>
    <x v="1"/>
    <s v="data analitics online"/>
    <d v="2024-11-10T00:00:00"/>
    <n v="4.3614457831325303E-2"/>
    <n v="1.3076795580110496"/>
    <n v="15.779333333333334"/>
    <n v="47.338000000000001"/>
    <n v="5.285394397735435"/>
  </r>
  <r>
    <s v="A1666"/>
    <s v="Data Analytics Course"/>
    <n v="110"/>
    <n v="5925"/>
    <n v="188.18"/>
    <n v="29"/>
    <n v="9"/>
    <n v="8.2000000000000003E-2"/>
    <n v="1682"/>
    <s v="23-11-2024"/>
    <s v="Hyderabad"/>
    <x v="0"/>
    <s v="data anaytics training"/>
    <d v="2024-11-23T00:00:00"/>
    <n v="1.8565400843881856E-2"/>
    <n v="1.7107272727272729"/>
    <n v="6.4889655172413798"/>
    <n v="20.908888888888889"/>
    <n v="8.9382506111170148"/>
  </r>
  <r>
    <s v="A1667"/>
    <s v="Data Analytics Course"/>
    <n v="85"/>
    <n v="4010"/>
    <n v="195.26"/>
    <n v="17"/>
    <n v="4"/>
    <n v="4.2000000000000003E-2"/>
    <n v="1853"/>
    <d v="2024-06-11T00:00:00"/>
    <s v="Hyderabad"/>
    <x v="1"/>
    <s v="data analitics online"/>
    <d v="2024-06-11T00:00:00"/>
    <n v="2.119700748129676E-2"/>
    <n v="2.2971764705882354"/>
    <n v="11.485882352941175"/>
    <n v="48.814999999999998"/>
    <n v="9.4899108880467082"/>
  </r>
  <r>
    <s v="A1668"/>
    <s v="Data Analytics Course"/>
    <n v="125"/>
    <n v="5767"/>
    <n v="215.57"/>
    <n v="12"/>
    <n v="8"/>
    <n v="3.5000000000000003E-2"/>
    <n v="1020"/>
    <d v="2024-11-19T00:00:00"/>
    <s v="Hyderabad"/>
    <x v="2"/>
    <s v="data analitics online"/>
    <d v="2024-11-19T00:00:00"/>
    <n v="2.1675047685104906E-2"/>
    <n v="1.7245599999999999"/>
    <n v="17.964166666666667"/>
    <n v="26.946249999999999"/>
    <n v="4.7316416941132813"/>
  </r>
  <r>
    <s v="A1669"/>
    <s v="Data Analytics Course"/>
    <n v="163"/>
    <n v="4518.5"/>
    <n v="215.57"/>
    <n v="11"/>
    <n v="3"/>
    <n v="1.7999999999999999E-2"/>
    <n v="1819"/>
    <d v="2024-11-20T00:00:00"/>
    <s v="Hyderabad"/>
    <x v="2"/>
    <s v="data anaytics training"/>
    <d v="2024-11-20T00:00:00"/>
    <n v="3.6073918335730884E-2"/>
    <n v="1.3225153374233127"/>
    <n v="19.597272727272728"/>
    <n v="71.856666666666669"/>
    <n v="8.4380943545020184"/>
  </r>
  <r>
    <s v="A1670"/>
    <s v="Data Analytics Course"/>
    <n v="129"/>
    <n v="3787"/>
    <n v="229.81"/>
    <n v="10"/>
    <n v="6"/>
    <n v="4.7E-2"/>
    <n v="1221"/>
    <d v="2024-11-13T00:00:00"/>
    <s v="Hyderabad"/>
    <x v="0"/>
    <s v="online data analytic"/>
    <d v="2024-11-13T00:00:00"/>
    <n v="3.4063902825455503E-2"/>
    <n v="1.7814728682170542"/>
    <n v="22.981000000000002"/>
    <n v="38.301666666666669"/>
    <n v="5.3130847221617854"/>
  </r>
  <r>
    <s v="A1671"/>
    <s v="Data Analytics Course"/>
    <n v="112"/>
    <n v="4834"/>
    <n v="212.27"/>
    <n v="11"/>
    <n v="7"/>
    <n v="6.2E-2"/>
    <n v="1524"/>
    <d v="2024-11-27T00:00:00"/>
    <s v="Hyderabad"/>
    <x v="1"/>
    <s v="data analitics online"/>
    <d v="2024-11-27T00:00:00"/>
    <n v="2.3169218038891187E-2"/>
    <n v="1.8952678571428572"/>
    <n v="19.297272727272727"/>
    <n v="30.324285714285715"/>
    <n v="7.1795354972440757"/>
  </r>
  <r>
    <s v="A1672"/>
    <s v="Data Analytics Course"/>
    <n v="104"/>
    <n v="3031"/>
    <n v="188.47"/>
    <n v="13"/>
    <n v="6"/>
    <n v="4.2999999999999997E-2"/>
    <n v="1998"/>
    <d v="2024-11-05T00:00:00"/>
    <s v="Hyderabad"/>
    <x v="0"/>
    <s v="data anaytics training"/>
    <d v="2024-11-05T00:00:00"/>
    <n v="3.4312108215110527E-2"/>
    <n v="1.8122115384615385"/>
    <n v="14.497692307692308"/>
    <n v="31.411666666666665"/>
    <n v="10.601156682761182"/>
  </r>
  <r>
    <s v="A1673"/>
    <s v="Data Analytics Course"/>
    <n v="132"/>
    <n v="3754"/>
    <n v="180.88"/>
    <n v="21"/>
    <n v="10"/>
    <n v="7.5999999999999998E-2"/>
    <n v="1601"/>
    <d v="2024-11-24T00:00:00"/>
    <s v="Hyderabad"/>
    <x v="1"/>
    <s v="online data analytic"/>
    <d v="2024-11-24T00:00:00"/>
    <n v="3.5162493340436869E-2"/>
    <n v="1.3703030303030304"/>
    <n v="8.6133333333333333"/>
    <n v="18.088000000000001"/>
    <n v="8.8511720477664753"/>
  </r>
  <r>
    <s v="A1674"/>
    <s v="Data Analytics Course"/>
    <n v="113"/>
    <n v="3281"/>
    <n v="241.85"/>
    <n v="16"/>
    <n v="6"/>
    <n v="5.2999999999999999E-2"/>
    <n v="1505"/>
    <d v="2024-08-11T00:00:00"/>
    <s v="Hyderabad"/>
    <x v="2"/>
    <s v="data analitics online"/>
    <d v="2024-08-11T00:00:00"/>
    <n v="3.4440719292898506E-2"/>
    <n v="2.1402654867256636"/>
    <n v="15.115625"/>
    <n v="40.30833333333333"/>
    <n v="6.2228654124457305"/>
  </r>
  <r>
    <s v="A1675"/>
    <s v="Data Analytics Course"/>
    <n v="109"/>
    <n v="4910"/>
    <n v="236.2"/>
    <n v="20"/>
    <n v="8"/>
    <n v="5.3999999999999999E-2"/>
    <n v="1145"/>
    <d v="2024-11-08T00:00:00"/>
    <s v="Hyderabad"/>
    <x v="2"/>
    <s v="data anaytics training"/>
    <d v="2024-11-08T00:00:00"/>
    <n v="2.2199592668024438E-2"/>
    <n v="2.16697247706422"/>
    <n v="11.809999999999999"/>
    <n v="29.524999999999999"/>
    <n v="4.8475867908552077"/>
  </r>
  <r>
    <s v="A1676"/>
    <s v="Data Analytics Course"/>
    <n v="144"/>
    <n v="5026"/>
    <n v="231.82"/>
    <n v="14"/>
    <n v="4"/>
    <n v="2.8000000000000001E-2"/>
    <n v="1645"/>
    <d v="2024-11-10T00:00:00"/>
    <s v="Hyderabad"/>
    <x v="0"/>
    <s v="data analytics course"/>
    <d v="2024-11-10T00:00:00"/>
    <n v="2.8651014723438121E-2"/>
    <n v="1.609861111111111"/>
    <n v="16.55857142857143"/>
    <n v="57.954999999999998"/>
    <n v="7.0960227762919512"/>
  </r>
  <r>
    <s v="A1677"/>
    <s v="Data Analytics Course"/>
    <n v="179"/>
    <n v="5091"/>
    <n v="238.62"/>
    <n v="10"/>
    <n v="6"/>
    <n v="3.4000000000000002E-2"/>
    <n v="1259"/>
    <s v="24-11-2024"/>
    <s v="Hyderabad"/>
    <x v="1"/>
    <s v="learn data analytics"/>
    <d v="2024-11-24T00:00:00"/>
    <n v="3.5160086427028087E-2"/>
    <n v="1.3330726256983241"/>
    <n v="23.862000000000002"/>
    <n v="39.770000000000003"/>
    <n v="5.2761713184142147"/>
  </r>
  <r>
    <s v="A1678"/>
    <s v="Data Analytics Course"/>
    <n v="139"/>
    <n v="5622"/>
    <n v="190.87"/>
    <n v="14"/>
    <n v="8"/>
    <n v="4.5999999999999999E-2"/>
    <n v="1400"/>
    <s v="17-11-2024"/>
    <s v="Hyderabad"/>
    <x v="1"/>
    <s v="analytics for data"/>
    <d v="2024-11-17T00:00:00"/>
    <n v="2.4724297403059408E-2"/>
    <n v="1.3731654676258993"/>
    <n v="13.633571428571429"/>
    <n v="23.858750000000001"/>
    <n v="7.3348352281657672"/>
  </r>
  <r>
    <s v="A1679"/>
    <s v="Data Analytics Course"/>
    <n v="116"/>
    <n v="4538"/>
    <n v="221.74"/>
    <n v="23"/>
    <n v="9"/>
    <n v="7.8E-2"/>
    <n v="1639"/>
    <d v="2024-11-24T00:00:00"/>
    <s v="Hyderabad"/>
    <x v="0"/>
    <s v="data anaytics training"/>
    <d v="2024-11-24T00:00:00"/>
    <n v="2.5561921551344204E-2"/>
    <n v="1.9115517241379312"/>
    <n v="9.6408695652173915"/>
    <n v="24.637777777777778"/>
    <n v="7.3915396410210157"/>
  </r>
  <r>
    <s v="A1680"/>
    <s v="Data Analytics Course"/>
    <n v="89"/>
    <n v="3509"/>
    <n v="192.14"/>
    <n v="27"/>
    <n v="9"/>
    <n v="0.10100000000000001"/>
    <n v="1564"/>
    <d v="2024-11-12T00:00:00"/>
    <s v="Hyderabad"/>
    <x v="1"/>
    <s v="online data analytic"/>
    <d v="2024-11-12T00:00:00"/>
    <n v="2.536335138216016E-2"/>
    <n v="2.1588764044943818"/>
    <n v="7.1162962962962961"/>
    <n v="21.348888888888887"/>
    <n v="8.1398979910481941"/>
  </r>
  <r>
    <s v="A1681"/>
    <s v="Data Analytics Course"/>
    <n v="96"/>
    <n v="3346"/>
    <n v="248.48"/>
    <n v="15"/>
    <n v="7"/>
    <n v="7.2999999999999995E-2"/>
    <n v="1118"/>
    <d v="2024-11-28T00:00:00"/>
    <s v="Hyderabad"/>
    <x v="0"/>
    <s v="data analitics online"/>
    <d v="2024-11-28T00:00:00"/>
    <n v="2.8690974297668859E-2"/>
    <n v="2.5883333333333334"/>
    <n v="16.565333333333331"/>
    <n v="35.497142857142855"/>
    <n v="4.4993560849967809"/>
  </r>
  <r>
    <s v="A1682"/>
    <s v="Data Analytics Course"/>
    <n v="193"/>
    <n v="4706"/>
    <n v="213.41"/>
    <n v="24"/>
    <n v="8"/>
    <n v="4.5999999999999999E-2"/>
    <n v="1058"/>
    <d v="2024-11-09T00:00:00"/>
    <s v="Hyderabad"/>
    <x v="0"/>
    <s v="data analytics course"/>
    <d v="2024-11-09T00:00:00"/>
    <n v="4.1011474713132171E-2"/>
    <n v="1.1057512953367876"/>
    <n v="8.8920833333333338"/>
    <n v="26.67625"/>
    <n v="4.9575933648844943"/>
  </r>
  <r>
    <s v="A1683"/>
    <s v="Data Analytics Course"/>
    <n v="122"/>
    <n v="3896"/>
    <n v="194.3"/>
    <n v="23"/>
    <n v="3"/>
    <n v="2.5000000000000001E-2"/>
    <n v="1355"/>
    <s v="21-11-2024"/>
    <s v="Hyderabad"/>
    <x v="1"/>
    <s v="data analytics course"/>
    <d v="2024-11-21T00:00:00"/>
    <n v="3.1314168377823408E-2"/>
    <n v="1.5926229508196723"/>
    <n v="8.4478260869565229"/>
    <n v="64.766666666666666"/>
    <n v="6.9737519300051467"/>
  </r>
  <r>
    <s v="A1684"/>
    <s v="Data Analytics Course"/>
    <n v="133"/>
    <n v="3332"/>
    <n v="201.59"/>
    <n v="14"/>
    <n v="7"/>
    <n v="4.5999999999999999E-2"/>
    <n v="1943"/>
    <d v="2024-11-15T00:00:00"/>
    <s v="Hyderabad"/>
    <x v="2"/>
    <s v="data analytics course"/>
    <d v="2024-11-15T00:00:00"/>
    <n v="3.9915966386554619E-2"/>
    <n v="1.5157142857142858"/>
    <n v="14.399285714285714"/>
    <n v="28.798571428571428"/>
    <n v="9.6383749193908432"/>
  </r>
  <r>
    <s v="A1685"/>
    <s v="Data Analytics Course"/>
    <n v="177"/>
    <n v="5738"/>
    <n v="249.21"/>
    <n v="11"/>
    <n v="7"/>
    <n v="0.04"/>
    <n v="1435"/>
    <s v="16-11-2024"/>
    <s v="Hyderabad"/>
    <x v="1"/>
    <s v="data anaytics training"/>
    <d v="2024-11-16T00:00:00"/>
    <n v="3.0846985012199374E-2"/>
    <n v="1.4079661016949152"/>
    <n v="22.655454545454546"/>
    <n v="35.601428571428571"/>
    <n v="5.7581958990409694"/>
  </r>
  <r>
    <s v="A1686"/>
    <s v="Data Analytics Course"/>
    <n v="162"/>
    <n v="5346"/>
    <n v="223.12"/>
    <n v="25"/>
    <n v="5"/>
    <n v="3.1E-2"/>
    <n v="1052"/>
    <s v="28-11-2024"/>
    <s v="Hyderabad"/>
    <x v="0"/>
    <s v="data analytics course"/>
    <d v="2024-11-28T00:00:00"/>
    <n v="3.0303030303030304E-2"/>
    <n v="1.377283950617284"/>
    <n v="8.9247999999999994"/>
    <n v="44.624000000000002"/>
    <n v="4.7149515955539618"/>
  </r>
  <r>
    <s v="A1687"/>
    <s v="Data Analytics Course"/>
    <n v="182"/>
    <n v="5857"/>
    <n v="192.69"/>
    <n v="15"/>
    <n v="4"/>
    <n v="4.8000000000000001E-2"/>
    <n v="1384"/>
    <d v="2024-11-02T00:00:00"/>
    <s v="Hyderabad"/>
    <x v="0"/>
    <s v="data analytics course"/>
    <d v="2024-11-02T00:00:00"/>
    <n v="3.107392863240567E-2"/>
    <n v="1.0587362637362636"/>
    <n v="12.846"/>
    <n v="48.172499999999999"/>
    <n v="7.1825211479578597"/>
  </r>
  <r>
    <s v="A1688"/>
    <s v="Data Analytics Course"/>
    <n v="154"/>
    <n v="4836"/>
    <n v="233.8"/>
    <n v="26"/>
    <n v="10"/>
    <n v="4.5999999999999999E-2"/>
    <n v="1838"/>
    <d v="2024-11-30T00:00:00"/>
    <s v="Hyderabad"/>
    <x v="0"/>
    <s v="data analytics course"/>
    <d v="2024-11-30T00:00:00"/>
    <n v="3.1844499586435072E-2"/>
    <n v="1.5181818181818183"/>
    <n v="8.9923076923076923"/>
    <n v="23.380000000000003"/>
    <n v="7.8614200171086397"/>
  </r>
  <r>
    <s v="A1689"/>
    <s v="Data Analytics Course"/>
    <n v="104"/>
    <n v="5291"/>
    <n v="186.93"/>
    <n v="19"/>
    <n v="10"/>
    <n v="9.6000000000000002E-2"/>
    <n v="1805"/>
    <d v="2024-11-29T00:00:00"/>
    <s v="Hyderabad"/>
    <x v="2"/>
    <s v="data analytics course"/>
    <d v="2024-11-29T00:00:00"/>
    <n v="1.9656019656019656E-2"/>
    <n v="1.7974038461538462"/>
    <n v="9.8384210526315794"/>
    <n v="18.693000000000001"/>
    <n v="9.6560209704167335"/>
  </r>
  <r>
    <s v="A1690"/>
    <s v="Data Analytics Course"/>
    <n v="101"/>
    <n v="4840"/>
    <n v="230.68"/>
    <n v="21"/>
    <n v="9"/>
    <n v="8.8999999999999996E-2"/>
    <n v="1556"/>
    <d v="2024-11-22T00:00:00"/>
    <s v="Hyderabad"/>
    <x v="0"/>
    <s v="data anaytics training"/>
    <d v="2024-11-22T00:00:00"/>
    <n v="2.0867768595041324E-2"/>
    <n v="2.2839603960396042"/>
    <n v="10.984761904761905"/>
    <n v="25.63111111111111"/>
    <n v="6.7452748396046474"/>
  </r>
  <r>
    <s v="A1691"/>
    <s v="Data Analytics Course"/>
    <n v="173"/>
    <n v="4246"/>
    <n v="202.95"/>
    <n v="27"/>
    <n v="3"/>
    <n v="1.7000000000000001E-2"/>
    <n v="1276"/>
    <d v="2024-11-29T00:00:00"/>
    <s v="Hyderabad"/>
    <x v="2"/>
    <s v="learn data analytics"/>
    <d v="2024-11-29T00:00:00"/>
    <n v="4.0744229863400851E-2"/>
    <n v="1.1731213872832369"/>
    <n v="7.5166666666666666"/>
    <n v="67.649999999999991"/>
    <n v="6.2872628726287267"/>
  </r>
  <r>
    <s v="A1692"/>
    <s v="Data Analytics Course"/>
    <n v="186"/>
    <n v="5824"/>
    <n v="224.48"/>
    <n v="29"/>
    <n v="6"/>
    <n v="4.5999999999999999E-2"/>
    <n v="1882"/>
    <d v="2024-11-28T00:00:00"/>
    <s v="Hyderabad"/>
    <x v="1"/>
    <s v="data analitics online"/>
    <d v="2024-11-28T00:00:00"/>
    <n v="3.1936813186813184E-2"/>
    <n v="1.2068817204301074"/>
    <n v="7.7406896551724138"/>
    <n v="37.413333333333334"/>
    <n v="8.383820384889523"/>
  </r>
  <r>
    <s v="A1693"/>
    <s v="Data Analytics Course"/>
    <n v="148"/>
    <n v="5952"/>
    <n v="186.32"/>
    <n v="14"/>
    <n v="4"/>
    <n v="4.3999999999999997E-2"/>
    <n v="1469"/>
    <d v="2024-10-11T00:00:00"/>
    <s v="Hyderabad"/>
    <x v="1"/>
    <s v="data analytics course"/>
    <d v="2024-10-11T00:00:00"/>
    <n v="2.4865591397849461E-2"/>
    <n v="1.2589189189189189"/>
    <n v="13.308571428571428"/>
    <n v="46.58"/>
    <n v="7.8842851009016748"/>
  </r>
  <r>
    <s v="A1694"/>
    <s v="Data Analytics Course"/>
    <n v="181"/>
    <n v="3691"/>
    <n v="229.14"/>
    <n v="25"/>
    <n v="10"/>
    <n v="4.5999999999999999E-2"/>
    <n v="1375"/>
    <d v="2024-11-06T00:00:00"/>
    <s v="Hyderabad"/>
    <x v="1"/>
    <s v="analytics for data"/>
    <d v="2024-11-06T00:00:00"/>
    <n v="4.9038201029531291E-2"/>
    <n v="1.2659668508287292"/>
    <n v="9.1655999999999995"/>
    <n v="22.913999999999998"/>
    <n v="6.0006982630706123"/>
  </r>
  <r>
    <s v="A1695"/>
    <s v="Data Analytics Course"/>
    <n v="110"/>
    <n v="4350"/>
    <n v="243.88"/>
    <n v="16"/>
    <n v="9"/>
    <n v="4.5999999999999999E-2"/>
    <n v="1157"/>
    <s v="15-11-2024"/>
    <s v="Hyderabad"/>
    <x v="2"/>
    <s v="online data analytic"/>
    <d v="2024-11-15T00:00:00"/>
    <n v="2.528735632183908E-2"/>
    <n v="2.217090909090909"/>
    <n v="15.2425"/>
    <n v="27.097777777777779"/>
    <n v="4.7441364605543708"/>
  </r>
  <r>
    <s v="A1696"/>
    <s v="Data Analytics Course"/>
    <n v="151"/>
    <n v="5656"/>
    <n v="191.95"/>
    <n v="18"/>
    <n v="7"/>
    <n v="4.5999999999999999E-2"/>
    <n v="1813"/>
    <d v="2024-02-11T00:00:00"/>
    <s v="Hyderabad"/>
    <x v="1"/>
    <s v="data analitics online"/>
    <d v="2024-02-11T00:00:00"/>
    <n v="2.6697312588401696E-2"/>
    <n v="1.2711920529801324"/>
    <n v="10.663888888888888"/>
    <n v="27.421428571428571"/>
    <n v="9.445168012503256"/>
  </r>
  <r>
    <s v="A1697"/>
    <s v="Data Analytics Course"/>
    <n v="90"/>
    <n v="4566"/>
    <n v="228.82"/>
    <n v="29"/>
    <n v="9"/>
    <n v="5.0999999999999997E-2"/>
    <n v="1697"/>
    <d v="2024-11-13T00:00:00"/>
    <s v="Hyderabad"/>
    <x v="0"/>
    <s v="data anaytics training"/>
    <d v="2024-11-13T00:00:00"/>
    <n v="1.9710906701708279E-2"/>
    <n v="2.5424444444444445"/>
    <n v="7.8903448275862065"/>
    <n v="25.424444444444443"/>
    <n v="7.4163097631325936"/>
  </r>
  <r>
    <s v="A1698"/>
    <s v="Data Analytics Course"/>
    <n v="111"/>
    <n v="4245"/>
    <n v="245.76"/>
    <n v="22"/>
    <n v="8"/>
    <n v="7.1999999999999995E-2"/>
    <n v="1505"/>
    <d v="2024-11-07T00:00:00"/>
    <s v="Hyderabad"/>
    <x v="0"/>
    <s v="online data analytic"/>
    <d v="2024-11-07T00:00:00"/>
    <n v="2.6148409893992933E-2"/>
    <n v="2.2140540540540541"/>
    <n v="11.17090909090909"/>
    <n v="30.72"/>
    <n v="6.1238606770833339"/>
  </r>
  <r>
    <s v="A1699"/>
    <s v="Data Analytics Course"/>
    <n v="170"/>
    <n v="5053"/>
    <n v="217.41"/>
    <n v="16"/>
    <n v="9"/>
    <n v="3.1E-2"/>
    <n v="1497"/>
    <s v="17-11-2024"/>
    <s v="Hyderabad"/>
    <x v="1"/>
    <s v="data anaytics training"/>
    <d v="2024-11-17T00:00:00"/>
    <n v="3.364338017019592E-2"/>
    <n v="1.2788823529411764"/>
    <n v="13.588125"/>
    <n v="24.156666666666666"/>
    <n v="6.8856078377259555"/>
  </r>
  <r>
    <s v="A1700"/>
    <s v="Data Analytics Course"/>
    <n v="112"/>
    <n v="5093"/>
    <n v="228.8"/>
    <n v="23"/>
    <n v="7"/>
    <n v="6.2E-2"/>
    <n v="1188"/>
    <s v="17-11-2024"/>
    <s v="Hyderabad"/>
    <x v="0"/>
    <s v="analytics for data"/>
    <d v="2024-11-17T00:00:00"/>
    <n v="2.1990967995287651E-2"/>
    <n v="2.0428571428571431"/>
    <n v="9.9478260869565229"/>
    <n v="32.68571428571429"/>
    <n v="5.1923076923076916"/>
  </r>
  <r>
    <s v="A1701"/>
    <s v="Data Analytics Course"/>
    <n v="188"/>
    <n v="5336"/>
    <n v="188.73"/>
    <n v="17"/>
    <n v="3"/>
    <n v="1.6E-2"/>
    <n v="1601"/>
    <d v="2024-11-03T00:00:00"/>
    <s v="Hyderabad"/>
    <x v="2"/>
    <s v="online data analytic"/>
    <d v="2024-11-03T00:00:00"/>
    <n v="3.523238380809595E-2"/>
    <n v="1.0038829787234043"/>
    <n v="11.101764705882353"/>
    <n v="62.91"/>
    <n v="8.4830180681396712"/>
  </r>
  <r>
    <s v="A1702"/>
    <s v="Data Analytics Course"/>
    <n v="85"/>
    <n v="4963"/>
    <n v="186.21"/>
    <n v="14"/>
    <n v="6"/>
    <n v="4.5999999999999999E-2"/>
    <n v="1747"/>
    <d v="2024-05-11T00:00:00"/>
    <s v="Hyderabad"/>
    <x v="1"/>
    <s v="data analytics course"/>
    <d v="2024-05-11T00:00:00"/>
    <n v="1.7126737860165223E-2"/>
    <n v="2.1907058823529413"/>
    <n v="13.300714285714287"/>
    <n v="31.035"/>
    <n v="9.3818806723591646"/>
  </r>
  <r>
    <s v="A1703"/>
    <s v="Data Analytics Course"/>
    <n v="94"/>
    <n v="4544"/>
    <n v="235.77"/>
    <n v="23"/>
    <n v="8"/>
    <n v="4.5999999999999999E-2"/>
    <n v="1342"/>
    <d v="2024-11-05T00:00:00"/>
    <s v="Hyderabad"/>
    <x v="2"/>
    <s v="online data analytic"/>
    <d v="2024-11-05T00:00:00"/>
    <n v="2.0686619718309859E-2"/>
    <n v="2.5081914893617023"/>
    <n v="10.250869565217391"/>
    <n v="29.471250000000001"/>
    <n v="5.6919879543623022"/>
  </r>
  <r>
    <s v="A1704"/>
    <s v="Data Analytics Course"/>
    <n v="177"/>
    <n v="4901"/>
    <n v="217.54"/>
    <n v="20"/>
    <n v="10"/>
    <n v="5.6000000000000001E-2"/>
    <n v="1975"/>
    <d v="2024-11-13T00:00:00"/>
    <s v="Hyderabad"/>
    <x v="2"/>
    <s v="data analitics online"/>
    <d v="2024-11-13T00:00:00"/>
    <n v="3.6115078555396855E-2"/>
    <n v="1.2290395480225988"/>
    <n v="10.876999999999999"/>
    <n v="21.753999999999998"/>
    <n v="9.0787901075664248"/>
  </r>
  <r>
    <s v="A1705"/>
    <s v="Data Analytics Course"/>
    <n v="150"/>
    <n v="5275"/>
    <n v="192.7"/>
    <n v="14"/>
    <n v="4"/>
    <n v="2.7E-2"/>
    <n v="1170"/>
    <s v="27-11-2024"/>
    <s v="Hyderabad"/>
    <x v="2"/>
    <s v="data analitics online"/>
    <d v="2024-11-27T00:00:00"/>
    <n v="2.843601895734597E-2"/>
    <n v="1.2846666666666666"/>
    <n v="13.764285714285714"/>
    <n v="48.174999999999997"/>
    <n v="6.0716139076284383"/>
  </r>
  <r>
    <s v="A1706"/>
    <s v="Data Analytics Course"/>
    <n v="88"/>
    <n v="5225"/>
    <n v="202.97"/>
    <n v="22"/>
    <n v="6"/>
    <n v="6.8000000000000005E-2"/>
    <n v="1128"/>
    <s v="13-11-2024"/>
    <s v="Hyderabad"/>
    <x v="2"/>
    <s v="online data analytic"/>
    <d v="2024-11-13T00:00:00"/>
    <n v="1.6842105263157894E-2"/>
    <n v="2.3064772727272729"/>
    <n v="9.2259090909090915"/>
    <n v="33.828333333333333"/>
    <n v="5.5574715475193379"/>
  </r>
  <r>
    <s v="A1707"/>
    <s v="Data Analytics Course"/>
    <n v="128"/>
    <n v="4857"/>
    <n v="212.61"/>
    <n v="14"/>
    <n v="5"/>
    <n v="3.9E-2"/>
    <n v="1538"/>
    <s v="25-11-2024"/>
    <s v="Hyderabad"/>
    <x v="0"/>
    <s v="data analitics online"/>
    <d v="2024-11-25T00:00:00"/>
    <n v="2.6353716285773109E-2"/>
    <n v="1.6610156250000001"/>
    <n v="15.186428571428573"/>
    <n v="42.522000000000006"/>
    <n v="7.2339024504962133"/>
  </r>
  <r>
    <s v="A1708"/>
    <s v="Data Analytics Course"/>
    <n v="163"/>
    <n v="5310"/>
    <n v="242.76"/>
    <n v="26"/>
    <n v="9"/>
    <n v="5.5E-2"/>
    <n v="1793"/>
    <d v="2024-11-12T00:00:00"/>
    <s v="Hyderabad"/>
    <x v="1"/>
    <s v="learn data analytics"/>
    <d v="2024-11-12T00:00:00"/>
    <n v="3.0696798493408662E-2"/>
    <n v="1.4893251533742331"/>
    <n v="9.3369230769230764"/>
    <n v="26.973333333333333"/>
    <n v="7.3858955346844626"/>
  </r>
  <r>
    <s v="A1709"/>
    <s v="Data Analytics Course"/>
    <n v="147"/>
    <n v="5014"/>
    <n v="193.08"/>
    <n v="12"/>
    <n v="8"/>
    <n v="5.3999999999999999E-2"/>
    <n v="1017"/>
    <d v="2024-11-11T00:00:00"/>
    <s v="Hyderabad"/>
    <x v="2"/>
    <s v="online data analytic"/>
    <d v="2024-11-11T00:00:00"/>
    <n v="2.9317909852413244E-2"/>
    <n v="1.313469387755102"/>
    <n v="16.09"/>
    <n v="24.135000000000002"/>
    <n v="5.2672467371037905"/>
  </r>
  <r>
    <s v="A1710"/>
    <s v="Data Analytics Course"/>
    <n v="191"/>
    <n v="5855"/>
    <n v="196.54"/>
    <n v="29"/>
    <n v="3"/>
    <n v="1.6E-2"/>
    <n v="1085"/>
    <s v="21-11-2024"/>
    <s v="Hyderabad"/>
    <x v="0"/>
    <s v="data analytics course"/>
    <d v="2024-11-21T00:00:00"/>
    <n v="3.2621690862510676E-2"/>
    <n v="1.0290052356020942"/>
    <n v="6.777241379310345"/>
    <n v="65.513333333333335"/>
    <n v="5.5205047318611991"/>
  </r>
  <r>
    <s v="A1711"/>
    <s v="Data Analytics Course"/>
    <n v="139"/>
    <n v="5916"/>
    <n v="234.46"/>
    <n v="17"/>
    <n v="6"/>
    <n v="4.3999999999999997E-2"/>
    <n v="1982"/>
    <d v="2024-11-02T00:00:00"/>
    <s v="Hyderabad"/>
    <x v="0"/>
    <s v="data analytics course"/>
    <d v="2024-11-02T00:00:00"/>
    <n v="2.3495605138607167E-2"/>
    <n v="1.6867625899280576"/>
    <n v="13.791764705882354"/>
    <n v="39.076666666666668"/>
    <n v="8.4534675424379415"/>
  </r>
  <r>
    <s v="A1712"/>
    <s v="Data Analytics Course"/>
    <n v="115"/>
    <n v="3952"/>
    <n v="229.18"/>
    <n v="25"/>
    <n v="4"/>
    <n v="3.5000000000000003E-2"/>
    <n v="1440"/>
    <s v="20-11-2024"/>
    <s v="Hyderabad"/>
    <x v="2"/>
    <s v="online data analytic"/>
    <d v="2024-11-20T00:00:00"/>
    <n v="2.909919028340081E-2"/>
    <n v="1.9928695652173913"/>
    <n v="9.1672000000000011"/>
    <n v="57.295000000000002"/>
    <n v="6.2832707915175838"/>
  </r>
  <r>
    <s v="A1713"/>
    <s v="Data Analytics Course"/>
    <n v="123"/>
    <n v="4208"/>
    <n v="212.92"/>
    <n v="29"/>
    <n v="6"/>
    <n v="4.9000000000000002E-2"/>
    <n v="1184"/>
    <d v="2024-11-05T00:00:00"/>
    <s v="Hyderabad"/>
    <x v="0"/>
    <s v="learn data analytics"/>
    <d v="2024-11-05T00:00:00"/>
    <n v="2.9230038022813688E-2"/>
    <n v="1.7310569105691056"/>
    <n v="7.3420689655172406"/>
    <n v="35.486666666666665"/>
    <n v="5.5607739996242724"/>
  </r>
  <r>
    <s v="A1714"/>
    <s v="Data Analytics Course"/>
    <n v="121"/>
    <n v="5517"/>
    <n v="222.14"/>
    <n v="16"/>
    <n v="7"/>
    <n v="4.5999999999999999E-2"/>
    <n v="1682"/>
    <d v="2024-11-02T00:00:00"/>
    <s v="Hyderabad"/>
    <x v="2"/>
    <s v="learn data analytics"/>
    <d v="2024-11-02T00:00:00"/>
    <n v="2.1932209534167121E-2"/>
    <n v="1.8358677685950413"/>
    <n v="13.883749999999999"/>
    <n v="31.734285714285711"/>
    <n v="7.5718015665796345"/>
  </r>
  <r>
    <s v="A1715"/>
    <s v="Data Analytics Course"/>
    <n v="126"/>
    <n v="5460"/>
    <n v="210.83"/>
    <n v="24"/>
    <n v="10"/>
    <n v="7.9000000000000001E-2"/>
    <n v="1326"/>
    <d v="2024-11-14T00:00:00"/>
    <s v="Hyderabad"/>
    <x v="2"/>
    <s v="online data analytic"/>
    <d v="2024-11-14T00:00:00"/>
    <n v="2.3076923076923078E-2"/>
    <n v="1.6732539682539684"/>
    <n v="8.7845833333333339"/>
    <n v="21.083000000000002"/>
    <n v="6.289427500830052"/>
  </r>
  <r>
    <s v="A1716"/>
    <s v="Data Analytics Course"/>
    <n v="110"/>
    <n v="3159"/>
    <n v="197.92"/>
    <n v="26"/>
    <n v="10"/>
    <n v="9.0999999999999998E-2"/>
    <n v="1608"/>
    <d v="2024-11-18T00:00:00"/>
    <s v="Hyderabad"/>
    <x v="1"/>
    <s v="data analitics online"/>
    <d v="2024-11-18T00:00:00"/>
    <n v="3.482114593225704E-2"/>
    <n v="1.7992727272727271"/>
    <n v="7.6123076923076916"/>
    <n v="19.791999999999998"/>
    <n v="8.1244947453516581"/>
  </r>
  <r>
    <s v="A1717"/>
    <s v="Data Analytics Course"/>
    <n v="190"/>
    <n v="5545"/>
    <n v="223.96"/>
    <n v="13"/>
    <n v="7"/>
    <n v="3.6999999999999998E-2"/>
    <n v="1344"/>
    <d v="2024-11-14T00:00:00"/>
    <s v="Hyderabad"/>
    <x v="2"/>
    <s v="analytics for data"/>
    <d v="2024-11-14T00:00:00"/>
    <n v="3.4265103697024346E-2"/>
    <n v="1.1787368421052633"/>
    <n v="17.227692307692308"/>
    <n v="31.994285714285716"/>
    <n v="6.0010716199321301"/>
  </r>
  <r>
    <s v="A1718"/>
    <s v="Data Analytics Course"/>
    <n v="148"/>
    <n v="3668"/>
    <n v="245.79"/>
    <n v="15"/>
    <n v="10"/>
    <n v="6.8000000000000005E-2"/>
    <n v="1718"/>
    <d v="2024-11-25T00:00:00"/>
    <s v="Hyderabad"/>
    <x v="0"/>
    <s v="data analytics course"/>
    <d v="2024-11-25T00:00:00"/>
    <n v="4.0348964013086151E-2"/>
    <n v="1.6607432432432432"/>
    <n v="16.385999999999999"/>
    <n v="24.579000000000001"/>
    <n v="6.9897066601570446"/>
  </r>
  <r>
    <s v="A1719"/>
    <s v="Data Analytics Course"/>
    <n v="86"/>
    <n v="5663"/>
    <n v="231.79"/>
    <n v="19"/>
    <n v="10"/>
    <n v="0.11600000000000001"/>
    <n v="1547"/>
    <s v="17-11-2024"/>
    <s v="Hyderabad"/>
    <x v="1"/>
    <s v="data anaytics training"/>
    <d v="2024-11-17T00:00:00"/>
    <n v="1.5186297015716051E-2"/>
    <n v="2.6952325581395349"/>
    <n v="12.199473684210526"/>
    <n v="23.178999999999998"/>
    <n v="6.6741446999439153"/>
  </r>
  <r>
    <s v="A1720"/>
    <s v="Data Analytics Course"/>
    <n v="172"/>
    <n v="3123"/>
    <n v="216.67"/>
    <n v="15"/>
    <n v="7"/>
    <n v="4.5999999999999999E-2"/>
    <n v="1759"/>
    <d v="2024-02-11T00:00:00"/>
    <s v="Hyderabad"/>
    <x v="0"/>
    <s v="online data analytic"/>
    <d v="2024-02-11T00:00:00"/>
    <n v="5.5075248158821644E-2"/>
    <n v="1.2597093023255814"/>
    <n v="14.444666666666667"/>
    <n v="30.952857142857141"/>
    <n v="8.1183366409747553"/>
  </r>
  <r>
    <s v="A1721"/>
    <s v="Data Analytics Course"/>
    <n v="143"/>
    <n v="5638"/>
    <n v="229.41"/>
    <n v="23"/>
    <n v="4"/>
    <n v="5.8000000000000003E-2"/>
    <n v="1398"/>
    <d v="2024-11-03T00:00:00"/>
    <s v="Hyderabad"/>
    <x v="0"/>
    <s v="online data analytic"/>
    <d v="2024-11-03T00:00:00"/>
    <n v="2.5363604114934372E-2"/>
    <n v="1.6042657342657343"/>
    <n v="9.9743478260869569"/>
    <n v="57.352499999999999"/>
    <n v="6.0938930299463845"/>
  </r>
  <r>
    <s v="A1722"/>
    <s v="Data Analytics Course"/>
    <n v="172"/>
    <n v="4436"/>
    <n v="232.16"/>
    <n v="21"/>
    <n v="7"/>
    <n v="4.1000000000000002E-2"/>
    <n v="1050"/>
    <d v="2024-11-27T00:00:00"/>
    <s v="Hyderabad"/>
    <x v="1"/>
    <s v="learn data analytics"/>
    <d v="2024-11-27T00:00:00"/>
    <n v="3.87736699729486E-2"/>
    <n v="1.349767441860465"/>
    <n v="11.055238095238096"/>
    <n v="33.165714285714287"/>
    <n v="4.5227429359062716"/>
  </r>
  <r>
    <s v="A1723"/>
    <s v="Data Analytics Course"/>
    <n v="138"/>
    <n v="5555"/>
    <n v="188.55"/>
    <n v="14"/>
    <n v="8"/>
    <n v="5.8000000000000003E-2"/>
    <n v="1593"/>
    <s v="24-11-2024"/>
    <s v="Hyderabad"/>
    <x v="0"/>
    <s v="data anaytics training"/>
    <d v="2024-11-24T00:00:00"/>
    <n v="2.4842484248424841E-2"/>
    <n v="1.366304347826087"/>
    <n v="13.467857142857143"/>
    <n v="23.568750000000001"/>
    <n v="8.4486873508353213"/>
  </r>
  <r>
    <s v="A1724"/>
    <s v="Data Analytics Course"/>
    <n v="132"/>
    <n v="4972"/>
    <n v="248.45"/>
    <n v="25"/>
    <n v="9"/>
    <n v="4.5999999999999999E-2"/>
    <n v="1126"/>
    <d v="2024-11-19T00:00:00"/>
    <s v="Hyderabad"/>
    <x v="2"/>
    <s v="data analitics online"/>
    <d v="2024-11-19T00:00:00"/>
    <n v="2.6548672566371681E-2"/>
    <n v="1.8821969696969696"/>
    <n v="9.9379999999999988"/>
    <n v="27.605555555555554"/>
    <n v="4.5320990138860937"/>
  </r>
  <r>
    <s v="A1725"/>
    <s v="Data Analytics Course"/>
    <n v="174"/>
    <n v="3231"/>
    <n v="215.57"/>
    <n v="10"/>
    <n v="7"/>
    <n v="0.04"/>
    <n v="1128"/>
    <d v="2024-11-12T00:00:00"/>
    <s v="Hyderabad"/>
    <x v="1"/>
    <s v="data analytics course"/>
    <d v="2024-11-12T00:00:00"/>
    <n v="5.3853296193129063E-2"/>
    <n v="1.2389080459770114"/>
    <n v="21.556999999999999"/>
    <n v="30.795714285714286"/>
    <n v="5.2326390499605697"/>
  </r>
  <r>
    <s v="A1726"/>
    <s v="Data Analytics Course"/>
    <n v="154"/>
    <n v="3461"/>
    <n v="235.36"/>
    <n v="18"/>
    <n v="4"/>
    <n v="4.5999999999999999E-2"/>
    <n v="1212"/>
    <s v="18-11-2024"/>
    <s v="Hyderabad"/>
    <x v="2"/>
    <s v="data analitics online"/>
    <d v="2024-11-18T00:00:00"/>
    <n v="4.4495810459404796E-2"/>
    <n v="1.5283116883116885"/>
    <n v="13.075555555555557"/>
    <n v="58.84"/>
    <n v="5.1495581237253569"/>
  </r>
  <r>
    <s v="A1727"/>
    <s v="Data Analytics Course"/>
    <n v="126"/>
    <n v="3423"/>
    <n v="236.21"/>
    <n v="25"/>
    <n v="9"/>
    <n v="7.0999999999999994E-2"/>
    <n v="1106"/>
    <s v="20-11-2024"/>
    <s v="Hyderabad"/>
    <x v="2"/>
    <s v="data anaytics training"/>
    <d v="2024-11-20T00:00:00"/>
    <n v="3.6809815950920248E-2"/>
    <n v="1.8746825396825397"/>
    <n v="9.4483999999999995"/>
    <n v="26.245555555555555"/>
    <n v="4.6822742474916383"/>
  </r>
  <r>
    <s v="A1728"/>
    <s v="Data Analytics Course"/>
    <n v="138"/>
    <n v="4025"/>
    <n v="220.96"/>
    <n v="21"/>
    <n v="7"/>
    <n v="5.0999999999999997E-2"/>
    <n v="1416"/>
    <d v="2024-11-24T00:00:00"/>
    <s v="Hyderabad"/>
    <x v="2"/>
    <s v="data analitics online"/>
    <d v="2024-11-24T00:00:00"/>
    <n v="3.4285714285714287E-2"/>
    <n v="1.6011594202898551"/>
    <n v="10.521904761904763"/>
    <n v="31.565714285714286"/>
    <n v="6.4083997103548151"/>
  </r>
  <r>
    <s v="A1729"/>
    <s v="Data Analytics Course"/>
    <n v="193"/>
    <n v="3800"/>
    <n v="199.76"/>
    <n v="27"/>
    <n v="9"/>
    <n v="4.7E-2"/>
    <n v="1393"/>
    <d v="2024-11-17T00:00:00"/>
    <s v="Hyderabad"/>
    <x v="1"/>
    <s v="data analytics course"/>
    <d v="2024-11-17T00:00:00"/>
    <n v="5.0789473684210523E-2"/>
    <n v="1.0350259067357512"/>
    <n v="7.3985185185185181"/>
    <n v="22.195555555555554"/>
    <n v="6.9733680416499801"/>
  </r>
  <r>
    <s v="A1730"/>
    <s v="Data Analytics Course"/>
    <n v="156"/>
    <n v="5293"/>
    <n v="210.43"/>
    <n v="26"/>
    <n v="6"/>
    <n v="3.7999999999999999E-2"/>
    <n v="1449"/>
    <s v="28-11-2024"/>
    <s v="Hyderabad"/>
    <x v="2"/>
    <s v="data analytics course"/>
    <d v="2024-11-28T00:00:00"/>
    <n v="2.94728887209522E-2"/>
    <n v="1.3489102564102564"/>
    <n v="8.093461538461538"/>
    <n v="35.071666666666665"/>
    <n v="6.8859002993869689"/>
  </r>
  <r>
    <s v="A1731"/>
    <s v="Data Analytics Course"/>
    <n v="142"/>
    <n v="3565"/>
    <n v="180.39"/>
    <n v="26"/>
    <n v="5"/>
    <n v="3.5000000000000003E-2"/>
    <n v="1147"/>
    <d v="2024-11-01T00:00:00"/>
    <s v="Hyderabad"/>
    <x v="2"/>
    <s v="data anaytics training"/>
    <d v="2024-11-01T00:00:00"/>
    <n v="3.983169705469846E-2"/>
    <n v="1.2703521126760562"/>
    <n v="6.9380769230769221"/>
    <n v="36.077999999999996"/>
    <n v="6.3584455901103167"/>
  </r>
  <r>
    <s v="A1732"/>
    <s v="Data Analytics Course"/>
    <n v="92"/>
    <n v="4296"/>
    <n v="239.12"/>
    <n v="11"/>
    <n v="10"/>
    <n v="4.5999999999999999E-2"/>
    <n v="1169"/>
    <d v="2024-11-02T00:00:00"/>
    <s v="Hyderabad"/>
    <x v="2"/>
    <s v="data anaytics training"/>
    <d v="2024-11-02T00:00:00"/>
    <n v="2.1415270018621976E-2"/>
    <n v="2.5991304347826087"/>
    <n v="21.738181818181818"/>
    <n v="23.911999999999999"/>
    <n v="4.8887587822014051"/>
  </r>
  <r>
    <s v="A1733"/>
    <s v="Data Analytics Course"/>
    <n v="190"/>
    <n v="3567"/>
    <n v="249.26"/>
    <n v="20"/>
    <n v="7"/>
    <n v="5.7000000000000002E-2"/>
    <n v="1517"/>
    <d v="2024-11-26T00:00:00"/>
    <s v="Hyderabad"/>
    <x v="0"/>
    <s v="data analitics online"/>
    <d v="2024-11-26T00:00:00"/>
    <n v="5.3266049901878332E-2"/>
    <n v="1.3118947368421052"/>
    <n v="12.462999999999999"/>
    <n v="35.60857142857143"/>
    <n v="6.0860146032255482"/>
  </r>
  <r>
    <s v="A1734"/>
    <s v="Data Analytics Course"/>
    <n v="134"/>
    <n v="4854"/>
    <n v="198.93"/>
    <n v="21"/>
    <n v="8"/>
    <n v="0.06"/>
    <n v="1101"/>
    <d v="2024-03-11T00:00:00"/>
    <s v="Hyderabad"/>
    <x v="0"/>
    <s v="analytics for data"/>
    <d v="2024-03-11T00:00:00"/>
    <n v="2.7606098063452822E-2"/>
    <n v="1.4845522388059702"/>
    <n v="9.4728571428571424"/>
    <n v="24.866250000000001"/>
    <n v="5.5346101643794299"/>
  </r>
  <r>
    <s v="A1735"/>
    <s v="Data Analytics Course"/>
    <n v="144"/>
    <n v="4518.5"/>
    <n v="186.47"/>
    <n v="29"/>
    <n v="8"/>
    <n v="5.6000000000000001E-2"/>
    <n v="1437"/>
    <s v="29-11-2024"/>
    <s v="Hyderabad"/>
    <x v="1"/>
    <s v="data analytics course"/>
    <d v="2024-11-29T00:00:00"/>
    <n v="3.1868983069602744E-2"/>
    <n v="1.2949305555555555"/>
    <n v="6.43"/>
    <n v="23.30875"/>
    <n v="7.7063334584651688"/>
  </r>
  <r>
    <s v="A1736"/>
    <s v="Data Analytics Course"/>
    <n v="117"/>
    <n v="4630"/>
    <n v="196.66"/>
    <n v="15"/>
    <n v="8"/>
    <n v="4.5999999999999999E-2"/>
    <n v="1361"/>
    <s v="17-11-2024"/>
    <s v="Hyderabad"/>
    <x v="0"/>
    <s v="online data analytic"/>
    <d v="2024-11-17T00:00:00"/>
    <n v="2.5269978401727861E-2"/>
    <n v="1.6808547008547008"/>
    <n v="13.110666666666667"/>
    <n v="24.5825"/>
    <n v="6.9205735787653824"/>
  </r>
  <r>
    <s v="A1737"/>
    <s v="Data Analytics Course"/>
    <n v="160"/>
    <n v="3448"/>
    <n v="210.38"/>
    <n v="19"/>
    <n v="7"/>
    <n v="4.3999999999999997E-2"/>
    <n v="1705"/>
    <s v="14-11-2024"/>
    <s v="Hyderabad"/>
    <x v="0"/>
    <s v="data analytics course"/>
    <d v="2024-11-14T00:00:00"/>
    <n v="4.6403712296983757E-2"/>
    <n v="1.314875"/>
    <n v="11.072631578947368"/>
    <n v="30.054285714285715"/>
    <n v="8.1043825458693792"/>
  </r>
  <r>
    <s v="A1738"/>
    <s v="Data Analytics Course"/>
    <n v="146"/>
    <n v="5297"/>
    <n v="198.89"/>
    <n v="30"/>
    <n v="8"/>
    <n v="5.5E-2"/>
    <n v="2000"/>
    <d v="2024-11-02T00:00:00"/>
    <s v="Hyderabad"/>
    <x v="0"/>
    <s v="data anaytics training"/>
    <d v="2024-11-02T00:00:00"/>
    <n v="2.756277138002643E-2"/>
    <n v="1.3622602739726026"/>
    <n v="6.6296666666666662"/>
    <n v="24.861249999999998"/>
    <n v="10.055809744079642"/>
  </r>
  <r>
    <s v="A1739"/>
    <s v="Data Analytics Course"/>
    <n v="175"/>
    <n v="3818"/>
    <n v="190.89"/>
    <n v="30"/>
    <n v="10"/>
    <n v="3.9E-2"/>
    <n v="1088"/>
    <d v="2024-11-10T00:00:00"/>
    <s v="Hyderabad"/>
    <x v="2"/>
    <s v="data analitics online"/>
    <d v="2024-11-10T00:00:00"/>
    <n v="4.5835515976951284E-2"/>
    <n v="1.0908"/>
    <n v="6.3629999999999995"/>
    <n v="19.088999999999999"/>
    <n v="5.6996175808057004"/>
  </r>
  <r>
    <s v="A1740"/>
    <s v="Data Analytics Course"/>
    <n v="122"/>
    <n v="4791"/>
    <n v="223.16"/>
    <n v="12"/>
    <n v="4"/>
    <n v="3.3000000000000002E-2"/>
    <n v="1246"/>
    <d v="2024-05-11T00:00:00"/>
    <s v="Hyderabad"/>
    <x v="2"/>
    <s v="learn data analytics"/>
    <d v="2024-05-11T00:00:00"/>
    <n v="2.546441243999165E-2"/>
    <n v="1.8291803278688525"/>
    <n v="18.596666666666668"/>
    <n v="55.79"/>
    <n v="5.5834378920953576"/>
  </r>
  <r>
    <s v="A1741"/>
    <s v="Data Analytics Course"/>
    <n v="85"/>
    <n v="3713"/>
    <n v="225.74"/>
    <n v="23"/>
    <n v="5"/>
    <n v="4.7E-2"/>
    <n v="1867"/>
    <s v="24-11-2024"/>
    <s v="Hyderabad"/>
    <x v="2"/>
    <s v="data analitics online"/>
    <d v="2024-11-24T00:00:00"/>
    <n v="2.2892539725289523E-2"/>
    <n v="2.655764705882353"/>
    <n v="9.8147826086956531"/>
    <n v="45.148000000000003"/>
    <n v="8.2705767697350936"/>
  </r>
  <r>
    <s v="A1742"/>
    <s v="Data Analytics Course"/>
    <n v="167"/>
    <n v="3634"/>
    <n v="202.75"/>
    <n v="30"/>
    <n v="10"/>
    <n v="0.06"/>
    <n v="1503"/>
    <d v="2024-11-23T00:00:00"/>
    <s v="Hyderabad"/>
    <x v="0"/>
    <s v="data anaytics training"/>
    <d v="2024-11-23T00:00:00"/>
    <n v="4.5954870665932859E-2"/>
    <n v="1.2140718562874251"/>
    <n v="6.7583333333333337"/>
    <n v="20.274999999999999"/>
    <n v="7.4130702836004936"/>
  </r>
  <r>
    <s v="A1743"/>
    <s v="Data Analytics Course"/>
    <n v="158"/>
    <n v="3025"/>
    <n v="180.5"/>
    <n v="24"/>
    <n v="9"/>
    <n v="4.5999999999999999E-2"/>
    <n v="1725"/>
    <s v="26-11-2024"/>
    <s v="Hyderabad"/>
    <x v="2"/>
    <s v="data anaytics training"/>
    <d v="2024-11-26T00:00:00"/>
    <n v="5.2231404958677688E-2"/>
    <n v="1.1424050632911393"/>
    <n v="7.520833333333333"/>
    <n v="20.055555555555557"/>
    <n v="9.5567867036011087"/>
  </r>
  <r>
    <s v="A1744"/>
    <s v="Data Analytics Course"/>
    <n v="176"/>
    <n v="5868"/>
    <n v="184.46"/>
    <n v="20"/>
    <n v="4"/>
    <n v="2.3E-2"/>
    <n v="1229"/>
    <d v="2024-11-20T00:00:00"/>
    <s v="Hyderabad"/>
    <x v="0"/>
    <s v="data analytics course"/>
    <d v="2024-11-20T00:00:00"/>
    <n v="2.9993183367416496E-2"/>
    <n v="1.0480681818181818"/>
    <n v="9.2230000000000008"/>
    <n v="46.115000000000002"/>
    <n v="6.6626910983411038"/>
  </r>
  <r>
    <s v="A1745"/>
    <s v="Data Analytics Course"/>
    <n v="111"/>
    <n v="3050"/>
    <n v="208.87"/>
    <n v="10"/>
    <n v="7"/>
    <n v="6.3E-2"/>
    <n v="1774"/>
    <d v="2024-11-26T00:00:00"/>
    <s v="Hyderabad"/>
    <x v="2"/>
    <s v="analytics for data"/>
    <d v="2024-11-26T00:00:00"/>
    <n v="3.6393442622950821E-2"/>
    <n v="1.8817117117117117"/>
    <n v="20.887"/>
    <n v="29.838571428571431"/>
    <n v="8.4933212045770095"/>
  </r>
  <r>
    <s v="A1746"/>
    <s v="Data Analytics Course"/>
    <n v="186"/>
    <n v="5301"/>
    <n v="215.57"/>
    <n v="14"/>
    <n v="9"/>
    <n v="4.5999999999999999E-2"/>
    <n v="1230"/>
    <d v="2024-11-17T00:00:00"/>
    <s v="Hyderabad"/>
    <x v="0"/>
    <s v="learn data analytics"/>
    <d v="2024-11-17T00:00:00"/>
    <n v="3.5087719298245612E-2"/>
    <n v="1.1589784946236559"/>
    <n v="15.397857142857143"/>
    <n v="23.952222222222222"/>
    <n v="5.7058032193718979"/>
  </r>
  <r>
    <s v="A1747"/>
    <s v="Data Analytics Course"/>
    <n v="177"/>
    <n v="3042"/>
    <n v="239.64"/>
    <n v="26"/>
    <n v="4"/>
    <n v="2.3E-2"/>
    <n v="1646"/>
    <d v="2024-11-20T00:00:00"/>
    <s v="Hyderabad"/>
    <x v="1"/>
    <s v="data analytics course"/>
    <d v="2024-11-20T00:00:00"/>
    <n v="5.8185404339250492E-2"/>
    <n v="1.3538983050847457"/>
    <n v="9.2169230769230772"/>
    <n v="59.91"/>
    <n v="6.8686362877649811"/>
  </r>
  <r>
    <s v="A1748"/>
    <s v="Data Analytics Course"/>
    <n v="150"/>
    <n v="5272"/>
    <n v="239.06"/>
    <n v="13"/>
    <n v="9"/>
    <n v="0.06"/>
    <n v="1232"/>
    <d v="2024-01-11T00:00:00"/>
    <s v="Hyderabad"/>
    <x v="0"/>
    <s v="online data analytic"/>
    <d v="2024-01-11T00:00:00"/>
    <n v="2.8452200303490136E-2"/>
    <n v="1.5937333333333334"/>
    <n v="18.389230769230771"/>
    <n v="26.562222222222221"/>
    <n v="5.1535179452857021"/>
  </r>
  <r>
    <s v="A1749"/>
    <s v="Data Analytics Course"/>
    <n v="160"/>
    <n v="4279"/>
    <n v="191.56"/>
    <n v="22"/>
    <n v="10"/>
    <n v="3.9E-2"/>
    <n v="1234"/>
    <d v="2024-12-11T00:00:00"/>
    <s v="Hyderabad"/>
    <x v="1"/>
    <s v="data analytics course"/>
    <d v="2024-12-11T00:00:00"/>
    <n v="3.7391913998597801E-2"/>
    <n v="1.1972499999999999"/>
    <n v="8.7072727272727271"/>
    <n v="19.155999999999999"/>
    <n v="6.4418458968469405"/>
  </r>
  <r>
    <s v="A1750"/>
    <s v="Data Analytics Course"/>
    <n v="147"/>
    <n v="5659"/>
    <n v="188.07"/>
    <n v="22"/>
    <n v="4"/>
    <n v="4.4999999999999998E-2"/>
    <n v="1796"/>
    <s v="25-11-2024"/>
    <s v="Hyderabad"/>
    <x v="1"/>
    <s v="analytics for data"/>
    <d v="2024-11-25T00:00:00"/>
    <n v="2.5976320904753492E-2"/>
    <n v="1.2793877551020407"/>
    <n v="8.5486363636363638"/>
    <n v="47.017499999999998"/>
    <n v="9.5496357739139679"/>
  </r>
  <r>
    <s v="A1751"/>
    <s v="Data Analytics Course"/>
    <n v="198"/>
    <n v="4816"/>
    <n v="224.96"/>
    <n v="21"/>
    <n v="4"/>
    <n v="4.2000000000000003E-2"/>
    <n v="1601"/>
    <d v="2024-05-11T00:00:00"/>
    <s v="Hyderabad"/>
    <x v="1"/>
    <s v="online data analytic"/>
    <d v="2024-05-11T00:00:00"/>
    <n v="4.1112956810631228E-2"/>
    <n v="1.1361616161616162"/>
    <n v="10.712380952380952"/>
    <n v="56.24"/>
    <n v="7.1168207681365576"/>
  </r>
  <r>
    <s v="A1752"/>
    <s v="Data Analytics Course"/>
    <n v="145"/>
    <n v="3874"/>
    <n v="215.57"/>
    <n v="10"/>
    <n v="10"/>
    <n v="6.9000000000000006E-2"/>
    <n v="1153"/>
    <d v="2024-11-30T00:00:00"/>
    <s v="Hyderabad"/>
    <x v="1"/>
    <s v="data anaytics training"/>
    <d v="2024-11-30T00:00:00"/>
    <n v="3.7429013939081053E-2"/>
    <n v="1.4866896551724138"/>
    <n v="21.556999999999999"/>
    <n v="21.556999999999999"/>
    <n v="5.3486106601104053"/>
  </r>
  <r>
    <s v="A1753"/>
    <s v="Data Analytics Course"/>
    <n v="94"/>
    <n v="5221"/>
    <n v="225.23"/>
    <n v="17"/>
    <n v="3"/>
    <n v="3.5999999999999997E-2"/>
    <n v="1209"/>
    <s v="19-11-2024"/>
    <s v="Hyderabad"/>
    <x v="2"/>
    <s v="learn data analytics"/>
    <d v="2024-11-19T00:00:00"/>
    <n v="1.800421375215476E-2"/>
    <n v="2.3960638297872339"/>
    <n v="13.248823529411764"/>
    <n v="75.076666666666668"/>
    <n v="5.3678462016605248"/>
  </r>
  <r>
    <s v="A1754"/>
    <s v="Data Analytics Course"/>
    <n v="90"/>
    <n v="5859"/>
    <n v="187.29"/>
    <n v="17"/>
    <n v="5"/>
    <n v="5.6000000000000001E-2"/>
    <n v="1375"/>
    <s v="16-11-2024"/>
    <s v="Hyderabad"/>
    <x v="1"/>
    <s v="analytics for data"/>
    <d v="2024-11-16T00:00:00"/>
    <n v="1.5360983102918587E-2"/>
    <n v="2.081"/>
    <n v="11.01705882352941"/>
    <n v="37.457999999999998"/>
    <n v="7.3415558759143575"/>
  </r>
  <r>
    <s v="A1755"/>
    <s v="Data Analytics Course"/>
    <n v="182"/>
    <n v="5055"/>
    <n v="232.64"/>
    <n v="26"/>
    <n v="8"/>
    <n v="3.5999999999999997E-2"/>
    <n v="1815"/>
    <d v="2024-10-11T00:00:00"/>
    <s v="Hyderabad"/>
    <x v="1"/>
    <s v="data anaytics training"/>
    <d v="2024-10-11T00:00:00"/>
    <n v="3.6003956478733924E-2"/>
    <n v="1.2782417582417582"/>
    <n v="8.9476923076923072"/>
    <n v="29.08"/>
    <n v="7.8017537826685013"/>
  </r>
  <r>
    <s v="A1756"/>
    <s v="Data Analytics Course"/>
    <n v="139"/>
    <n v="4373"/>
    <n v="199.32"/>
    <n v="16"/>
    <n v="5"/>
    <n v="4.5999999999999999E-2"/>
    <n v="1150"/>
    <d v="2024-11-02T00:00:00"/>
    <s v="Hyderabad"/>
    <x v="0"/>
    <s v="data anaytics training"/>
    <d v="2024-11-02T00:00:00"/>
    <n v="3.1785959295678026E-2"/>
    <n v="1.4339568345323741"/>
    <n v="12.4575"/>
    <n v="39.863999999999997"/>
    <n v="5.769616696769015"/>
  </r>
  <r>
    <s v="A1757"/>
    <s v="Data Analytics Course"/>
    <n v="139"/>
    <n v="4518.5"/>
    <n v="234.85"/>
    <n v="11"/>
    <n v="8"/>
    <n v="4.5999999999999999E-2"/>
    <n v="1398"/>
    <d v="2024-11-04T00:00:00"/>
    <s v="Hyderabad"/>
    <x v="0"/>
    <s v="data anaytics training"/>
    <d v="2024-11-04T00:00:00"/>
    <n v="3.0762421157463759E-2"/>
    <n v="1.6895683453237409"/>
    <n v="21.349999999999998"/>
    <n v="29.356249999999999"/>
    <n v="5.9527357888013626"/>
  </r>
  <r>
    <s v="A1758"/>
    <s v="Data Analytics Course"/>
    <n v="103"/>
    <n v="3547"/>
    <n v="232.35"/>
    <n v="11"/>
    <n v="8"/>
    <n v="7.8E-2"/>
    <n v="1663"/>
    <s v="26-11-2024"/>
    <s v="Hyderabad"/>
    <x v="2"/>
    <s v="learn data analytics"/>
    <d v="2024-11-26T00:00:00"/>
    <n v="2.9038624189455877E-2"/>
    <n v="2.2558252427184464"/>
    <n v="21.122727272727271"/>
    <n v="29.043749999999999"/>
    <n v="7.15730578868087"/>
  </r>
  <r>
    <s v="A1759"/>
    <s v="Data Analytics Course"/>
    <n v="148"/>
    <n v="3128"/>
    <n v="197.02"/>
    <n v="27"/>
    <n v="9"/>
    <n v="6.0999999999999999E-2"/>
    <n v="1214"/>
    <d v="2024-11-12T00:00:00"/>
    <s v="Hyderabad"/>
    <x v="2"/>
    <s v="data anaytics training"/>
    <d v="2024-11-12T00:00:00"/>
    <n v="4.7314578005115092E-2"/>
    <n v="1.3312162162162162"/>
    <n v="7.297037037037037"/>
    <n v="21.891111111111112"/>
    <n v="6.1618109836564816"/>
  </r>
  <r>
    <s v="A1760"/>
    <s v="Data Analytics Course"/>
    <n v="151"/>
    <n v="5201"/>
    <n v="198.56"/>
    <n v="15"/>
    <n v="10"/>
    <n v="6.6000000000000003E-2"/>
    <n v="1716"/>
    <d v="2024-11-05T00:00:00"/>
    <s v="Hyderabad"/>
    <x v="2"/>
    <s v="data anaytics training"/>
    <d v="2024-11-05T00:00:00"/>
    <n v="2.9032878292636032E-2"/>
    <n v="1.3149668874172185"/>
    <n v="13.237333333333334"/>
    <n v="19.856000000000002"/>
    <n v="8.6422240128928287"/>
  </r>
  <r>
    <s v="A1761"/>
    <s v="Data Analytics Course"/>
    <n v="148"/>
    <n v="5510"/>
    <n v="210.42"/>
    <n v="27"/>
    <n v="4"/>
    <n v="4.8000000000000001E-2"/>
    <n v="1352"/>
    <d v="2024-11-06T00:00:00"/>
    <s v="Hyderabad"/>
    <x v="1"/>
    <s v="learn data analytics"/>
    <d v="2024-11-06T00:00:00"/>
    <n v="2.6860254083484573E-2"/>
    <n v="1.4217567567567566"/>
    <n v="7.793333333333333"/>
    <n v="52.604999999999997"/>
    <n v="6.4252447485980424"/>
  </r>
  <r>
    <s v="A1762"/>
    <s v="Data Analytics Course"/>
    <n v="103"/>
    <n v="5628"/>
    <n v="195.6"/>
    <n v="24"/>
    <n v="8"/>
    <n v="3.4000000000000002E-2"/>
    <n v="1065"/>
    <d v="2024-11-09T00:00:00"/>
    <s v="Hyderabad"/>
    <x v="1"/>
    <s v="analytics for data"/>
    <d v="2024-11-09T00:00:00"/>
    <n v="1.8301350390902631E-2"/>
    <n v="1.8990291262135921"/>
    <n v="8.15"/>
    <n v="24.45"/>
    <n v="5.4447852760736195"/>
  </r>
  <r>
    <s v="A1763"/>
    <s v="Data Analytics Course"/>
    <n v="115"/>
    <n v="5445"/>
    <n v="183.55"/>
    <n v="21"/>
    <n v="7"/>
    <n v="5.8999999999999997E-2"/>
    <n v="1721"/>
    <d v="2024-11-07T00:00:00"/>
    <s v="Hyderabad"/>
    <x v="2"/>
    <s v="data analytics course"/>
    <d v="2024-11-07T00:00:00"/>
    <n v="2.1120293847566574E-2"/>
    <n v="1.5960869565217393"/>
    <n v="8.7404761904761905"/>
    <n v="26.221428571428572"/>
    <n v="9.376191773358757"/>
  </r>
  <r>
    <s v="A1764"/>
    <s v="Data Analytics Course"/>
    <n v="160"/>
    <n v="5936"/>
    <n v="239.87"/>
    <n v="29"/>
    <n v="4"/>
    <n v="4.5999999999999999E-2"/>
    <n v="1320"/>
    <d v="2024-11-24T00:00:00"/>
    <s v="Hyderabad"/>
    <x v="1"/>
    <s v="analytics for data"/>
    <d v="2024-11-24T00:00:00"/>
    <n v="2.6954177897574125E-2"/>
    <n v="1.4991875000000001"/>
    <n v="8.2713793103448285"/>
    <n v="59.967500000000001"/>
    <n v="5.5029807812565137"/>
  </r>
  <r>
    <s v="A1765"/>
    <s v="Data Analytics Course"/>
    <n v="166"/>
    <n v="5808"/>
    <n v="194.79"/>
    <n v="14"/>
    <n v="8"/>
    <n v="4.8000000000000001E-2"/>
    <n v="1799"/>
    <d v="2024-11-14T00:00:00"/>
    <s v="Hyderabad"/>
    <x v="2"/>
    <s v="data anaytics training"/>
    <d v="2024-11-14T00:00:00"/>
    <n v="2.8581267217630855E-2"/>
    <n v="1.173433734939759"/>
    <n v="13.913571428571428"/>
    <n v="24.348749999999999"/>
    <n v="9.2355870424559789"/>
  </r>
  <r>
    <s v="A1766"/>
    <s v="Data Analytics Course"/>
    <n v="187"/>
    <n v="3282"/>
    <n v="234.91"/>
    <n v="10"/>
    <n v="7"/>
    <n v="4.1000000000000002E-2"/>
    <n v="1525"/>
    <s v="29-11-2024"/>
    <s v="Hyderabad"/>
    <x v="1"/>
    <s v="online data analytic"/>
    <d v="2024-11-29T00:00:00"/>
    <n v="5.6977452772699576E-2"/>
    <n v="1.2562032085561496"/>
    <n v="23.491"/>
    <n v="33.558571428571426"/>
    <n v="6.4918479417649317"/>
  </r>
  <r>
    <s v="A1767"/>
    <s v="Data Analytics Course"/>
    <n v="172"/>
    <n v="3334"/>
    <n v="243.12"/>
    <n v="30"/>
    <n v="9"/>
    <n v="5.1999999999999998E-2"/>
    <n v="1505"/>
    <d v="2024-11-08T00:00:00"/>
    <s v="Hyderabad"/>
    <x v="1"/>
    <s v="online data analytic"/>
    <d v="2024-11-08T00:00:00"/>
    <n v="5.1589682063587279E-2"/>
    <n v="1.4134883720930234"/>
    <n v="8.104000000000001"/>
    <n v="27.013333333333335"/>
    <n v="6.1903586706153337"/>
  </r>
  <r>
    <s v="A1768"/>
    <s v="Data Analytics Course"/>
    <n v="172"/>
    <n v="5546"/>
    <n v="241.81"/>
    <n v="24"/>
    <n v="10"/>
    <n v="5.8000000000000003E-2"/>
    <n v="1681"/>
    <d v="2024-11-03T00:00:00"/>
    <s v="Hyderabad"/>
    <x v="0"/>
    <s v="learn data analytics"/>
    <d v="2024-11-03T00:00:00"/>
    <n v="3.1013342949873783E-2"/>
    <n v="1.4058720930232558"/>
    <n v="10.075416666666667"/>
    <n v="24.181000000000001"/>
    <n v="6.9517389686117195"/>
  </r>
  <r>
    <s v="A1769"/>
    <s v="Data Analytics Course"/>
    <n v="187"/>
    <n v="5734"/>
    <n v="187.44"/>
    <n v="10"/>
    <n v="8"/>
    <n v="4.2999999999999997E-2"/>
    <n v="1183"/>
    <s v="23-11-2024"/>
    <s v="Hyderabad"/>
    <x v="2"/>
    <s v="analytics for data"/>
    <d v="2024-11-23T00:00:00"/>
    <n v="3.2612486920125569E-2"/>
    <n v="1.0023529411764707"/>
    <n v="18.744"/>
    <n v="23.43"/>
    <n v="6.3113529662825441"/>
  </r>
  <r>
    <s v="A1770"/>
    <s v="Data Analytics Course"/>
    <n v="196"/>
    <n v="4964"/>
    <n v="249.47"/>
    <n v="26"/>
    <n v="9"/>
    <n v="4.5999999999999999E-2"/>
    <n v="1996"/>
    <d v="2024-11-19T00:00:00"/>
    <s v="Hyderabad"/>
    <x v="1"/>
    <s v="learn data analytics"/>
    <d v="2024-11-19T00:00:00"/>
    <n v="3.9484286865431102E-2"/>
    <n v="1.2728061224489795"/>
    <n v="9.5950000000000006"/>
    <n v="27.718888888888888"/>
    <n v="8.0009620395237899"/>
  </r>
  <r>
    <s v="A1771"/>
    <s v="Data Analytics Course"/>
    <n v="131"/>
    <n v="4774"/>
    <n v="240.53"/>
    <n v="24"/>
    <n v="7"/>
    <n v="5.2999999999999999E-2"/>
    <n v="1505"/>
    <d v="2024-09-11T00:00:00"/>
    <s v="Hyderabad"/>
    <x v="2"/>
    <s v="data anaytics training"/>
    <d v="2024-09-11T00:00:00"/>
    <n v="2.7440301633850021E-2"/>
    <n v="1.8361068702290075"/>
    <n v="10.022083333333333"/>
    <n v="34.361428571428569"/>
    <n v="6.2570157568702447"/>
  </r>
  <r>
    <s v="A1772"/>
    <s v="Data Analytics Course"/>
    <n v="103"/>
    <n v="5244"/>
    <n v="205.9"/>
    <n v="22"/>
    <n v="7"/>
    <n v="3.2000000000000001E-2"/>
    <n v="1954"/>
    <d v="2024-11-16T00:00:00"/>
    <s v="Hyderabad"/>
    <x v="1"/>
    <s v="analytics for data"/>
    <d v="2024-11-16T00:00:00"/>
    <n v="1.9641495041952707E-2"/>
    <n v="1.9990291262135922"/>
    <n v="9.3590909090909093"/>
    <n v="29.414285714285715"/>
    <n v="9.490043710539096"/>
  </r>
  <r>
    <s v="A1773"/>
    <s v="Data Analytics Course"/>
    <n v="114"/>
    <n v="3064"/>
    <n v="196.01"/>
    <n v="23"/>
    <n v="6"/>
    <n v="5.2999999999999999E-2"/>
    <n v="1348"/>
    <s v="30-11-2024"/>
    <s v="Hyderabad"/>
    <x v="1"/>
    <s v="learn data analytics"/>
    <d v="2024-11-30T00:00:00"/>
    <n v="3.7206266318537858E-2"/>
    <n v="1.7193859649122807"/>
    <n v="8.5221739130434777"/>
    <n v="32.668333333333329"/>
    <n v="6.8772001428498548"/>
  </r>
  <r>
    <s v="A1774"/>
    <s v="Data Analytics Course"/>
    <n v="116"/>
    <n v="3265"/>
    <n v="199.21"/>
    <n v="24"/>
    <n v="10"/>
    <n v="8.5999999999999993E-2"/>
    <n v="1006"/>
    <s v="21-11-2024"/>
    <s v="Hyderabad"/>
    <x v="1"/>
    <s v="learn data analytics"/>
    <d v="2024-11-21T00:00:00"/>
    <n v="3.5528330781010718E-2"/>
    <n v="1.7173275862068966"/>
    <n v="8.300416666666667"/>
    <n v="19.920999999999999"/>
    <n v="5.0499472918026198"/>
  </r>
  <r>
    <s v="A1775"/>
    <s v="Data Analytics Course"/>
    <n v="164"/>
    <n v="5351"/>
    <n v="217.9"/>
    <n v="10"/>
    <n v="9"/>
    <n v="5.5E-2"/>
    <n v="1431"/>
    <d v="2024-11-12T00:00:00"/>
    <s v="Hyderabad"/>
    <x v="2"/>
    <s v="online data analytic"/>
    <d v="2024-11-12T00:00:00"/>
    <n v="3.0648476920201832E-2"/>
    <n v="1.3286585365853658"/>
    <n v="21.79"/>
    <n v="24.211111111111112"/>
    <n v="6.5672326755392376"/>
  </r>
  <r>
    <s v="A1776"/>
    <s v="Data Analytics Course"/>
    <n v="160"/>
    <n v="5830"/>
    <n v="215.57"/>
    <n v="15"/>
    <n v="10"/>
    <n v="6.2E-2"/>
    <n v="1270"/>
    <s v="26-11-2024"/>
    <s v="Hyderabad"/>
    <x v="1"/>
    <s v="online data analytic"/>
    <d v="2024-11-26T00:00:00"/>
    <n v="2.7444253859348199E-2"/>
    <n v="1.3473124999999999"/>
    <n v="14.371333333333332"/>
    <n v="21.556999999999999"/>
    <n v="5.8913577956116345"/>
  </r>
  <r>
    <s v="A1777"/>
    <s v="Data Analytics Course"/>
    <n v="112"/>
    <n v="4808"/>
    <n v="221.57"/>
    <n v="17"/>
    <n v="7"/>
    <n v="6.2E-2"/>
    <n v="1186"/>
    <d v="2024-11-25T00:00:00"/>
    <s v="Hyderabad"/>
    <x v="0"/>
    <s v="data analitics online"/>
    <d v="2024-11-25T00:00:00"/>
    <n v="2.329450915141431E-2"/>
    <n v="1.9783035714285713"/>
    <n v="13.033529411764706"/>
    <n v="31.65285714285714"/>
    <n v="5.3527102044500614"/>
  </r>
  <r>
    <s v="A1778"/>
    <s v="Data Analytics Course"/>
    <n v="87"/>
    <n v="5506"/>
    <n v="188.77"/>
    <n v="11"/>
    <n v="5"/>
    <n v="4.5999999999999999E-2"/>
    <n v="1774"/>
    <d v="2024-11-22T00:00:00"/>
    <s v="Hyderabad"/>
    <x v="1"/>
    <s v="learn data analytics"/>
    <d v="2024-11-22T00:00:00"/>
    <n v="1.580094442426444E-2"/>
    <n v="2.169770114942529"/>
    <n v="17.16090909090909"/>
    <n v="37.754000000000005"/>
    <n v="9.3976797160565759"/>
  </r>
  <r>
    <s v="A1779"/>
    <s v="Data Analytics Course"/>
    <n v="139"/>
    <n v="4798"/>
    <n v="198.45"/>
    <n v="20"/>
    <n v="10"/>
    <n v="4.5999999999999999E-2"/>
    <n v="1937"/>
    <d v="2024-11-14T00:00:00"/>
    <s v="Hyderabad"/>
    <x v="1"/>
    <s v="data anaytics training"/>
    <d v="2024-11-14T00:00:00"/>
    <n v="2.897040433513964E-2"/>
    <n v="1.4276978417266186"/>
    <n v="9.9224999999999994"/>
    <n v="19.844999999999999"/>
    <n v="9.7606449987402382"/>
  </r>
  <r>
    <s v="A1780"/>
    <s v="Data Analytics Course"/>
    <n v="139"/>
    <n v="5763"/>
    <n v="214.49"/>
    <n v="15"/>
    <n v="5"/>
    <n v="4.4999999999999998E-2"/>
    <n v="1781"/>
    <d v="2024-11-01T00:00:00"/>
    <s v="Hyderabad"/>
    <x v="0"/>
    <s v="data analitics online"/>
    <d v="2024-11-01T00:00:00"/>
    <n v="2.4119382266180808E-2"/>
    <n v="1.5430935251798561"/>
    <n v="14.299333333333333"/>
    <n v="42.898000000000003"/>
    <n v="8.303417408737003"/>
  </r>
  <r>
    <s v="A1781"/>
    <s v="Data Analytics Course"/>
    <n v="193"/>
    <n v="3271"/>
    <n v="187.76"/>
    <n v="30"/>
    <n v="9"/>
    <n v="5.2999999999999999E-2"/>
    <n v="1209"/>
    <d v="2024-11-13T00:00:00"/>
    <s v="Hyderabad"/>
    <x v="2"/>
    <s v="online data analytic"/>
    <d v="2024-11-13T00:00:00"/>
    <n v="5.9003362885967595E-2"/>
    <n v="0.97284974093264243"/>
    <n v="6.2586666666666666"/>
    <n v="20.862222222222222"/>
    <n v="6.4390711546655304"/>
  </r>
  <r>
    <s v="A1782"/>
    <s v="Data Analytics Course"/>
    <n v="151"/>
    <n v="4402"/>
    <n v="248.65"/>
    <n v="21"/>
    <n v="4"/>
    <n v="4.5999999999999999E-2"/>
    <n v="1722"/>
    <s v="19-11-2024"/>
    <s v="Hyderabad"/>
    <x v="0"/>
    <s v="data analitics online"/>
    <d v="2024-11-19T00:00:00"/>
    <n v="3.4302589731940024E-2"/>
    <n v="1.6466887417218543"/>
    <n v="11.84047619047619"/>
    <n v="62.162500000000001"/>
    <n v="6.9253971445807361"/>
  </r>
  <r>
    <s v="A1783"/>
    <s v="Data Analytics Course"/>
    <n v="90"/>
    <n v="4281"/>
    <n v="216.36"/>
    <n v="24"/>
    <n v="4"/>
    <n v="4.5999999999999999E-2"/>
    <n v="1768"/>
    <d v="2024-11-04T00:00:00"/>
    <s v="Hyderabad"/>
    <x v="1"/>
    <s v="learn data analytics"/>
    <d v="2024-11-04T00:00:00"/>
    <n v="2.1023125437981779E-2"/>
    <n v="2.4040000000000004"/>
    <n v="9.0150000000000006"/>
    <n v="54.09"/>
    <n v="8.1715659086707326"/>
  </r>
  <r>
    <s v="A1784"/>
    <s v="Data Analytics Course"/>
    <n v="169"/>
    <n v="4480"/>
    <n v="215.57"/>
    <n v="11"/>
    <n v="10"/>
    <n v="5.8999999999999997E-2"/>
    <n v="1769"/>
    <d v="2024-11-28T00:00:00"/>
    <s v="Hyderabad"/>
    <x v="2"/>
    <s v="online data analytic"/>
    <d v="2024-11-28T00:00:00"/>
    <n v="3.7723214285714284E-2"/>
    <n v="1.2755621301775149"/>
    <n v="19.597272727272728"/>
    <n v="21.556999999999999"/>
    <n v="8.2061511342023472"/>
  </r>
  <r>
    <s v="A1785"/>
    <s v="Data Analytics Course"/>
    <n v="197"/>
    <n v="4373"/>
    <n v="218.3"/>
    <n v="18"/>
    <n v="9"/>
    <n v="5.8999999999999997E-2"/>
    <n v="1988"/>
    <d v="2024-11-14T00:00:00"/>
    <s v="Hyderabad"/>
    <x v="0"/>
    <s v="learn data analytics"/>
    <d v="2024-11-14T00:00:00"/>
    <n v="4.5049165332723531E-2"/>
    <n v="1.1081218274111675"/>
    <n v="12.127777777777778"/>
    <n v="24.255555555555556"/>
    <n v="9.1067338524965642"/>
  </r>
  <r>
    <s v="A1786"/>
    <s v="Data Analytics Course"/>
    <n v="132"/>
    <n v="4518.5"/>
    <n v="219.44"/>
    <n v="17"/>
    <n v="3"/>
    <n v="5.5E-2"/>
    <n v="1949"/>
    <d v="2024-11-24T00:00:00"/>
    <s v="Hyderabad"/>
    <x v="0"/>
    <s v="learn data analytics"/>
    <d v="2024-11-24T00:00:00"/>
    <n v="2.9213234480469183E-2"/>
    <n v="1.6624242424242424"/>
    <n v="12.908235294117647"/>
    <n v="73.146666666666661"/>
    <n v="8.8816988698505295"/>
  </r>
  <r>
    <s v="A1787"/>
    <s v="Data Analytics Course"/>
    <n v="96"/>
    <n v="5503"/>
    <n v="243.51"/>
    <n v="11"/>
    <n v="6"/>
    <n v="6.2E-2"/>
    <n v="1687"/>
    <d v="2024-11-02T00:00:00"/>
    <s v="Hyderabad"/>
    <x v="0"/>
    <s v="data analitics online"/>
    <d v="2024-11-02T00:00:00"/>
    <n v="1.7445029983645284E-2"/>
    <n v="2.5365625000000001"/>
    <n v="22.137272727272727"/>
    <n v="40.585000000000001"/>
    <n v="6.9278469056712249"/>
  </r>
  <r>
    <s v="A1788"/>
    <s v="Data Analytics Course"/>
    <n v="160"/>
    <n v="4154"/>
    <n v="230.16"/>
    <n v="15"/>
    <n v="6"/>
    <n v="4.5999999999999999E-2"/>
    <n v="1667"/>
    <d v="2024-11-16T00:00:00"/>
    <s v="Hyderabad"/>
    <x v="1"/>
    <s v="online data analytic"/>
    <d v="2024-11-16T00:00:00"/>
    <n v="3.8517091959557055E-2"/>
    <n v="1.4384999999999999"/>
    <n v="15.343999999999999"/>
    <n v="38.36"/>
    <n v="7.2427876259993047"/>
  </r>
  <r>
    <s v="A1789"/>
    <s v="Data Analytics Course"/>
    <n v="162"/>
    <n v="5161"/>
    <n v="240.72"/>
    <n v="16"/>
    <n v="7"/>
    <n v="4.5999999999999999E-2"/>
    <n v="1649"/>
    <d v="2024-11-15T00:00:00"/>
    <s v="Hyderabad"/>
    <x v="2"/>
    <s v="learn data analytics"/>
    <d v="2024-11-15T00:00:00"/>
    <n v="3.1389265646192599E-2"/>
    <n v="1.4859259259259259"/>
    <n v="15.045"/>
    <n v="34.388571428571431"/>
    <n v="6.8502824858757059"/>
  </r>
  <r>
    <s v="A1790"/>
    <s v="Data Analytics Course"/>
    <n v="171"/>
    <n v="5517"/>
    <n v="233.86"/>
    <n v="23"/>
    <n v="5"/>
    <n v="2.9000000000000001E-2"/>
    <n v="1349"/>
    <s v="24-11-2024"/>
    <s v="Hyderabad"/>
    <x v="2"/>
    <s v="data analytics course"/>
    <d v="2024-11-24T00:00:00"/>
    <n v="3.0995106035889071E-2"/>
    <n v="1.3676023391812866"/>
    <n v="10.167826086956522"/>
    <n v="46.772000000000006"/>
    <n v="5.7684084494997006"/>
  </r>
  <r>
    <s v="A1791"/>
    <s v="Data Analytics Course"/>
    <n v="110"/>
    <n v="4161"/>
    <n v="204.28"/>
    <n v="16"/>
    <n v="10"/>
    <n v="4.5999999999999999E-2"/>
    <n v="1447"/>
    <d v="2024-11-14T00:00:00"/>
    <s v="Hyderabad"/>
    <x v="1"/>
    <s v="data analitics online"/>
    <d v="2024-11-14T00:00:00"/>
    <n v="2.6435952895938475E-2"/>
    <n v="1.8570909090909091"/>
    <n v="12.7675"/>
    <n v="20.428000000000001"/>
    <n v="7.0834149206970825"/>
  </r>
  <r>
    <s v="A1792"/>
    <s v="Data Analytics Course"/>
    <n v="103"/>
    <n v="5332"/>
    <n v="243.72"/>
    <n v="16"/>
    <n v="3"/>
    <n v="2.9000000000000001E-2"/>
    <n v="1882"/>
    <d v="2024-11-28T00:00:00"/>
    <s v="Hyderabad"/>
    <x v="0"/>
    <s v="online data analytic"/>
    <d v="2024-11-28T00:00:00"/>
    <n v="1.9317329332333082E-2"/>
    <n v="2.3662135922330099"/>
    <n v="15.2325"/>
    <n v="81.239999999999995"/>
    <n v="7.7219760380764813"/>
  </r>
  <r>
    <s v="A1793"/>
    <s v="Data Analytics Course"/>
    <n v="167"/>
    <n v="3620"/>
    <n v="243.81"/>
    <n v="24"/>
    <n v="8"/>
    <n v="5.2999999999999999E-2"/>
    <n v="1001"/>
    <d v="2024-11-05T00:00:00"/>
    <s v="Hyderabad"/>
    <x v="0"/>
    <s v="data analytics course"/>
    <d v="2024-11-05T00:00:00"/>
    <n v="4.613259668508287E-2"/>
    <n v="1.4599401197604791"/>
    <n v="10.15875"/>
    <n v="30.47625"/>
    <n v="4.1056560436405398"/>
  </r>
  <r>
    <s v="A1794"/>
    <s v="Data Analytics Course"/>
    <n v="132"/>
    <n v="4117"/>
    <n v="239.04"/>
    <n v="28"/>
    <n v="3"/>
    <n v="2.3E-2"/>
    <n v="1761"/>
    <d v="2024-11-07T00:00:00"/>
    <s v="Hyderabad"/>
    <x v="1"/>
    <s v="analytics for data"/>
    <d v="2024-11-07T00:00:00"/>
    <n v="3.2062181199902839E-2"/>
    <n v="1.8109090909090908"/>
    <n v="8.5371428571428574"/>
    <n v="79.679999999999993"/>
    <n v="7.3669678714859437"/>
  </r>
  <r>
    <s v="A1795"/>
    <s v="Data Analytics Course"/>
    <n v="145"/>
    <n v="5400"/>
    <n v="219.89"/>
    <n v="29"/>
    <n v="3"/>
    <n v="4.5999999999999999E-2"/>
    <n v="1152"/>
    <s v="20-11-2024"/>
    <s v="Hyderabad"/>
    <x v="2"/>
    <s v="data analytics course"/>
    <d v="2024-11-20T00:00:00"/>
    <n v="2.6851851851851852E-2"/>
    <n v="1.5164827586206895"/>
    <n v="7.5824137931034477"/>
    <n v="73.296666666666667"/>
    <n v="5.2389831279276002"/>
  </r>
  <r>
    <s v="A1796"/>
    <s v="Data Analytics Course"/>
    <n v="140"/>
    <n v="5220"/>
    <n v="183.39"/>
    <n v="25"/>
    <n v="8"/>
    <n v="5.7000000000000002E-2"/>
    <n v="1918"/>
    <d v="2024-11-11T00:00:00"/>
    <s v="Hyderabad"/>
    <x v="0"/>
    <s v="learn data analytics"/>
    <d v="2024-11-11T00:00:00"/>
    <n v="2.681992337164751E-2"/>
    <n v="1.3099285714285713"/>
    <n v="7.3355999999999995"/>
    <n v="22.923749999999998"/>
    <n v="10.458585528109495"/>
  </r>
  <r>
    <s v="A1797"/>
    <s v="Data Analytics Course"/>
    <n v="122"/>
    <n v="4518.5"/>
    <n v="217.66"/>
    <n v="25"/>
    <n v="10"/>
    <n v="5.2999999999999999E-2"/>
    <n v="1799"/>
    <d v="2024-11-26T00:00:00"/>
    <s v="Hyderabad"/>
    <x v="2"/>
    <s v="data analitics online"/>
    <d v="2024-11-26T00:00:00"/>
    <n v="2.7000110656191213E-2"/>
    <n v="1.7840983606557377"/>
    <n v="8.7064000000000004"/>
    <n v="21.765999999999998"/>
    <n v="8.2651842322888918"/>
  </r>
  <r>
    <s v="A1798"/>
    <s v="Data Analytics Course"/>
    <n v="87"/>
    <n v="4081"/>
    <n v="180.63"/>
    <n v="20"/>
    <n v="4"/>
    <n v="4.5999999999999999E-2"/>
    <n v="1665"/>
    <d v="2024-11-08T00:00:00"/>
    <s v="Hyderabad"/>
    <x v="2"/>
    <s v="data analitics online"/>
    <d v="2024-11-08T00:00:00"/>
    <n v="2.1318304337172262E-2"/>
    <n v="2.076206896551724"/>
    <n v="9.0314999999999994"/>
    <n v="45.157499999999999"/>
    <n v="9.2177379172894867"/>
  </r>
  <r>
    <s v="A1799"/>
    <s v="Data Analytics Course"/>
    <n v="141"/>
    <n v="4239"/>
    <n v="199.82"/>
    <n v="15"/>
    <n v="5"/>
    <n v="3.5000000000000003E-2"/>
    <n v="1639"/>
    <d v="2024-11-27T00:00:00"/>
    <s v="Hyderabad"/>
    <x v="1"/>
    <s v="data anaytics training"/>
    <d v="2024-11-27T00:00:00"/>
    <n v="3.3262561924982309E-2"/>
    <n v="1.4171631205673758"/>
    <n v="13.321333333333333"/>
    <n v="39.963999999999999"/>
    <n v="8.2023821439295368"/>
  </r>
  <r>
    <s v="A1800"/>
    <s v="Data Analytics Course"/>
    <n v="157"/>
    <n v="3367"/>
    <n v="248.9"/>
    <n v="20"/>
    <n v="8"/>
    <n v="5.0999999999999997E-2"/>
    <n v="1470"/>
    <s v="30-11-2024"/>
    <s v="Hyderabad"/>
    <x v="2"/>
    <s v="data anaytics training"/>
    <d v="2024-11-30T00:00:00"/>
    <n v="4.6629046629046628E-2"/>
    <n v="1.5853503184713376"/>
    <n v="12.445"/>
    <n v="31.112500000000001"/>
    <n v="5.9059863398955406"/>
  </r>
  <r>
    <s v="A1801"/>
    <s v="Data Analytics Course"/>
    <n v="95"/>
    <n v="5721"/>
    <n v="208.53"/>
    <n v="16"/>
    <n v="6"/>
    <n v="6.3E-2"/>
    <n v="1863"/>
    <d v="2024-11-05T00:00:00"/>
    <s v="Hyderabad"/>
    <x v="1"/>
    <s v="data analytics course"/>
    <d v="2024-11-05T00:00:00"/>
    <n v="1.6605488550952632E-2"/>
    <n v="2.1950526315789474"/>
    <n v="13.033125"/>
    <n v="34.755000000000003"/>
    <n v="8.933966335779024"/>
  </r>
  <r>
    <s v="A1802"/>
    <s v="Data Analytics Course"/>
    <n v="160"/>
    <n v="5166"/>
    <n v="210.21"/>
    <n v="20"/>
    <n v="7"/>
    <n v="4.3999999999999997E-2"/>
    <n v="1850"/>
    <d v="2024-11-21T00:00:00"/>
    <s v="Hyderabad"/>
    <x v="0"/>
    <s v="data analytics course"/>
    <d v="2024-11-21T00:00:00"/>
    <n v="3.097173828881146E-2"/>
    <n v="1.3138125"/>
    <n v="10.5105"/>
    <n v="30.03"/>
    <n v="8.8007230864373724"/>
  </r>
  <r>
    <s v="A1803"/>
    <s v="Data Analytics Course"/>
    <n v="133"/>
    <n v="5430"/>
    <n v="217.34"/>
    <n v="16"/>
    <n v="6"/>
    <n v="4.4999999999999998E-2"/>
    <n v="1199"/>
    <d v="2024-11-14T00:00:00"/>
    <s v="Hyderabad"/>
    <x v="1"/>
    <s v="data analitics online"/>
    <d v="2024-11-14T00:00:00"/>
    <n v="2.4493554327808472E-2"/>
    <n v="1.6341353383458648"/>
    <n v="13.58375"/>
    <n v="36.223333333333336"/>
    <n v="5.5167019416582317"/>
  </r>
  <r>
    <s v="A1804"/>
    <s v="Data Analytics Course"/>
    <n v="154"/>
    <n v="3452"/>
    <n v="215.61"/>
    <n v="21"/>
    <n v="7"/>
    <n v="5.8000000000000003E-2"/>
    <n v="1631"/>
    <d v="2024-11-02T00:00:00"/>
    <s v="Hyderabad"/>
    <x v="1"/>
    <s v="analytics for data"/>
    <d v="2024-11-02T00:00:00"/>
    <n v="4.4611819235225954E-2"/>
    <n v="1.4000649350649352"/>
    <n v="10.267142857142858"/>
    <n v="30.801428571428573"/>
    <n v="7.564584202959046"/>
  </r>
  <r>
    <s v="A1805"/>
    <s v="Data Analytics Course"/>
    <n v="188"/>
    <n v="4518.5"/>
    <n v="220.11"/>
    <n v="13"/>
    <n v="4"/>
    <n v="2.1000000000000001E-2"/>
    <n v="1262"/>
    <s v="29-11-2024"/>
    <s v="Hyderabad"/>
    <x v="2"/>
    <s v="data analitics online"/>
    <d v="2024-11-29T00:00:00"/>
    <n v="4.1606727896425805E-2"/>
    <n v="1.1707978723404255"/>
    <n v="16.931538461538462"/>
    <n v="55.027500000000003"/>
    <n v="5.7334968879196762"/>
  </r>
  <r>
    <s v="A1806"/>
    <s v="Data Analytics Course"/>
    <n v="186"/>
    <n v="5073"/>
    <n v="233.58"/>
    <n v="15"/>
    <n v="4"/>
    <n v="4.5999999999999999E-2"/>
    <n v="1965"/>
    <d v="2024-11-04T00:00:00"/>
    <s v="Hyderabad"/>
    <x v="2"/>
    <s v="online data analytic"/>
    <d v="2024-11-04T00:00:00"/>
    <n v="3.666469544648137E-2"/>
    <n v="1.2558064516129033"/>
    <n v="15.572000000000001"/>
    <n v="58.395000000000003"/>
    <n v="8.4125353198047765"/>
  </r>
  <r>
    <s v="A1807"/>
    <s v="Data Analytics Course"/>
    <n v="101"/>
    <n v="5757"/>
    <n v="249.33"/>
    <n v="25"/>
    <n v="9"/>
    <n v="3.5000000000000003E-2"/>
    <n v="1129"/>
    <d v="2024-11-01T00:00:00"/>
    <s v="Hyderabad"/>
    <x v="1"/>
    <s v="learn data analytics"/>
    <d v="2024-11-01T00:00:00"/>
    <n v="1.7543859649122806E-2"/>
    <n v="2.4686138613861388"/>
    <n v="9.9732000000000003"/>
    <n v="27.703333333333333"/>
    <n v="4.5281354028797178"/>
  </r>
  <r>
    <s v="A1808"/>
    <s v="Data Analytics Course"/>
    <n v="150"/>
    <n v="3323"/>
    <n v="227.55"/>
    <n v="14"/>
    <n v="4"/>
    <n v="2.7E-2"/>
    <n v="1931"/>
    <d v="2024-11-18T00:00:00"/>
    <s v="Hyderabad"/>
    <x v="1"/>
    <s v="data analytics course"/>
    <d v="2024-11-18T00:00:00"/>
    <n v="4.5139933794763769E-2"/>
    <n v="1.5170000000000001"/>
    <n v="16.25357142857143"/>
    <n v="56.887500000000003"/>
    <n v="8.4860470226323876"/>
  </r>
  <r>
    <s v="A1809"/>
    <s v="Data Analytics Course"/>
    <n v="127"/>
    <n v="5417"/>
    <n v="229.06"/>
    <n v="26"/>
    <n v="8"/>
    <n v="6.3E-2"/>
    <n v="1086"/>
    <d v="2024-11-21T00:00:00"/>
    <s v="Hyderabad"/>
    <x v="2"/>
    <s v="learn data analytics"/>
    <d v="2024-11-21T00:00:00"/>
    <n v="2.3444711094701864E-2"/>
    <n v="1.8036220472440945"/>
    <n v="8.81"/>
    <n v="28.6325"/>
    <n v="4.7411158648389069"/>
  </r>
  <r>
    <s v="A1810"/>
    <s v="Data Analytics Course"/>
    <n v="117"/>
    <n v="5445"/>
    <n v="213.9"/>
    <n v="10"/>
    <n v="5"/>
    <n v="4.2999999999999997E-2"/>
    <n v="1804"/>
    <s v="19-11-2024"/>
    <s v="Hyderabad"/>
    <x v="0"/>
    <s v="data analytics course"/>
    <d v="2024-11-19T00:00:00"/>
    <n v="2.1487603305785124E-2"/>
    <n v="1.8282051282051281"/>
    <n v="21.39"/>
    <n v="42.78"/>
    <n v="8.4338475923328655"/>
  </r>
  <r>
    <s v="A1811"/>
    <s v="Data Analytics Course"/>
    <n v="152"/>
    <n v="5173"/>
    <n v="230.47"/>
    <n v="15"/>
    <n v="5"/>
    <n v="3.5999999999999997E-2"/>
    <n v="1779"/>
    <d v="2024-11-26T00:00:00"/>
    <s v="Hyderabad"/>
    <x v="0"/>
    <s v="learn data analytics"/>
    <d v="2024-11-26T00:00:00"/>
    <n v="2.938333655519041E-2"/>
    <n v="1.5162500000000001"/>
    <n v="15.364666666666666"/>
    <n v="46.094000000000001"/>
    <n v="7.7190089816462013"/>
  </r>
  <r>
    <s v="A1812"/>
    <s v="Data Analytics Course"/>
    <n v="87"/>
    <n v="3643"/>
    <n v="220.76"/>
    <n v="27"/>
    <n v="7"/>
    <n v="4.5999999999999999E-2"/>
    <n v="1393"/>
    <d v="2024-11-03T00:00:00"/>
    <s v="Hyderabad"/>
    <x v="0"/>
    <s v="data analitics online"/>
    <d v="2024-11-03T00:00:00"/>
    <n v="2.3881416415042548E-2"/>
    <n v="2.5374712643678161"/>
    <n v="8.1762962962962966"/>
    <n v="31.537142857142857"/>
    <n v="6.3100199311469476"/>
  </r>
  <r>
    <s v="A1813"/>
    <s v="Data Analytics Course"/>
    <n v="181"/>
    <n v="3863"/>
    <n v="180.12"/>
    <n v="17"/>
    <n v="7"/>
    <n v="3.5000000000000003E-2"/>
    <n v="1892"/>
    <d v="2024-11-28T00:00:00"/>
    <s v="Hyderabad"/>
    <x v="0"/>
    <s v="data analytics course"/>
    <d v="2024-11-28T00:00:00"/>
    <n v="4.6854776080766242E-2"/>
    <n v="0.99513812154696135"/>
    <n v="10.595294117647059"/>
    <n v="25.731428571428573"/>
    <n v="10.504108372196313"/>
  </r>
  <r>
    <s v="A1814"/>
    <s v="Data Analytics Course"/>
    <n v="147"/>
    <n v="3661"/>
    <n v="191.67"/>
    <n v="17"/>
    <n v="4"/>
    <n v="2.7E-2"/>
    <n v="1505"/>
    <s v="24-11-2024"/>
    <s v="Hyderabad"/>
    <x v="0"/>
    <s v="online data analytic"/>
    <d v="2024-11-24T00:00:00"/>
    <n v="4.0152963671128104E-2"/>
    <n v="1.3038775510204081"/>
    <n v="11.27470588235294"/>
    <n v="47.917499999999997"/>
    <n v="7.8520373558720724"/>
  </r>
  <r>
    <s v="A1815"/>
    <s v="Data Analytics Course"/>
    <n v="173"/>
    <n v="5463"/>
    <n v="232.38"/>
    <n v="17"/>
    <n v="5"/>
    <n v="2.9000000000000001E-2"/>
    <n v="1568"/>
    <d v="2024-11-26T00:00:00"/>
    <s v="Hyderabad"/>
    <x v="0"/>
    <s v="analytics for data"/>
    <d v="2024-11-26T00:00:00"/>
    <n v="3.1667581914698886E-2"/>
    <n v="1.3432369942196531"/>
    <n v="13.669411764705883"/>
    <n v="46.475999999999999"/>
    <n v="6.7475686375763839"/>
  </r>
  <r>
    <s v="A1816"/>
    <s v="Data Analytics Course"/>
    <n v="123"/>
    <n v="3459"/>
    <n v="211.88"/>
    <n v="21"/>
    <n v="4"/>
    <n v="3.3000000000000002E-2"/>
    <n v="1223"/>
    <s v="24-11-2024"/>
    <s v="Hyderabad"/>
    <x v="2"/>
    <s v="learn data analytics"/>
    <d v="2024-11-24T00:00:00"/>
    <n v="3.5559410234171723E-2"/>
    <n v="1.7226016260162602"/>
    <n v="10.08952380952381"/>
    <n v="52.97"/>
    <n v="5.772135170851425"/>
  </r>
  <r>
    <s v="A1817"/>
    <s v="Data Analytics Course"/>
    <n v="162"/>
    <n v="3906"/>
    <n v="237.24"/>
    <n v="13"/>
    <n v="5"/>
    <n v="3.3000000000000002E-2"/>
    <n v="1062"/>
    <d v="2024-11-10T00:00:00"/>
    <s v="Hyderabad"/>
    <x v="0"/>
    <s v="data anaytics training"/>
    <d v="2024-11-10T00:00:00"/>
    <n v="4.1474654377880185E-2"/>
    <n v="1.4644444444444444"/>
    <n v="18.24923076923077"/>
    <n v="47.448"/>
    <n v="4.4764795144157814"/>
  </r>
  <r>
    <s v="A1818"/>
    <s v="Data Analytics Course"/>
    <n v="135"/>
    <n v="4645"/>
    <n v="182.94"/>
    <n v="12"/>
    <n v="7"/>
    <n v="4.5999999999999999E-2"/>
    <n v="1927"/>
    <d v="2024-11-30T00:00:00"/>
    <s v="Hyderabad"/>
    <x v="0"/>
    <s v="online data analytic"/>
    <d v="2024-11-30T00:00:00"/>
    <n v="2.9063509149623249E-2"/>
    <n v="1.3551111111111112"/>
    <n v="15.244999999999999"/>
    <n v="26.134285714285713"/>
    <n v="10.533508254072373"/>
  </r>
  <r>
    <s v="A1819"/>
    <s v="Data Analytics Course"/>
    <n v="169"/>
    <n v="3317"/>
    <n v="232.35"/>
    <n v="29"/>
    <n v="3"/>
    <n v="4.9000000000000002E-2"/>
    <n v="1988"/>
    <d v="2024-11-24T00:00:00"/>
    <s v="Hyderabad"/>
    <x v="1"/>
    <s v="data anaytics training"/>
    <d v="2024-11-24T00:00:00"/>
    <n v="5.0949653301175762E-2"/>
    <n v="1.3748520710059171"/>
    <n v="8.0120689655172406"/>
    <n v="77.45"/>
    <n v="8.556057671616097"/>
  </r>
  <r>
    <s v="A1820"/>
    <s v="Data Analytics Course"/>
    <n v="120"/>
    <n v="3235"/>
    <n v="220.67"/>
    <n v="11"/>
    <n v="4"/>
    <n v="4.5999999999999999E-2"/>
    <n v="1890"/>
    <d v="2024-11-17T00:00:00"/>
    <s v="Hyderabad"/>
    <x v="1"/>
    <s v="learn data analytics"/>
    <d v="2024-11-17T00:00:00"/>
    <n v="3.7094281298299843E-2"/>
    <n v="1.8389166666666665"/>
    <n v="20.060909090909089"/>
    <n v="55.167499999999997"/>
    <n v="8.5648253047537057"/>
  </r>
  <r>
    <s v="A1821"/>
    <s v="Data Analytics Course"/>
    <n v="139"/>
    <n v="4823"/>
    <n v="234.73"/>
    <n v="30"/>
    <n v="5"/>
    <n v="4.5999999999999999E-2"/>
    <n v="1361"/>
    <s v="25-11-2024"/>
    <s v="Hyderabad"/>
    <x v="1"/>
    <s v="data anaytics training"/>
    <d v="2024-11-25T00:00:00"/>
    <n v="2.8820236367406177E-2"/>
    <n v="1.688705035971223"/>
    <n v="7.8243333333333327"/>
    <n v="46.945999999999998"/>
    <n v="5.7981510671835732"/>
  </r>
  <r>
    <s v="A1822"/>
    <s v="Data Analytics Course"/>
    <n v="167"/>
    <n v="4403"/>
    <n v="189.36"/>
    <n v="25"/>
    <n v="4"/>
    <n v="0.03"/>
    <n v="1572"/>
    <d v="2024-06-11T00:00:00"/>
    <s v="Hyderabad"/>
    <x v="0"/>
    <s v="learn data analytics"/>
    <d v="2024-06-11T00:00:00"/>
    <n v="3.7928684987508517E-2"/>
    <n v="1.1338922155688624"/>
    <n v="7.5744000000000007"/>
    <n v="47.34"/>
    <n v="8.3016476552598224"/>
  </r>
  <r>
    <s v="A1823"/>
    <s v="Data Analytics Course"/>
    <n v="101"/>
    <n v="3530"/>
    <n v="184.83"/>
    <n v="22"/>
    <n v="5"/>
    <n v="4.5999999999999999E-2"/>
    <n v="1802"/>
    <s v="13-11-2024"/>
    <s v="Hyderabad"/>
    <x v="1"/>
    <s v="learn data analytics"/>
    <d v="2024-11-13T00:00:00"/>
    <n v="2.8611898016997168E-2"/>
    <n v="1.83"/>
    <n v="8.4013636363636373"/>
    <n v="36.966000000000001"/>
    <n v="9.7494995401179452"/>
  </r>
  <r>
    <s v="A1824"/>
    <s v="Data Analytics Course"/>
    <n v="129"/>
    <n v="4679"/>
    <n v="239.21"/>
    <n v="19"/>
    <n v="3"/>
    <n v="2.3E-2"/>
    <n v="1215"/>
    <d v="2024-11-04T00:00:00"/>
    <s v="Hyderabad"/>
    <x v="1"/>
    <s v="data analitics online"/>
    <d v="2024-11-04T00:00:00"/>
    <n v="2.7569993588373583E-2"/>
    <n v="1.8543410852713178"/>
    <n v="12.59"/>
    <n v="79.736666666666665"/>
    <n v="5.0792190961916308"/>
  </r>
  <r>
    <s v="A1825"/>
    <s v="Data Analytics Course"/>
    <n v="153"/>
    <n v="5396"/>
    <n v="233.79"/>
    <n v="13"/>
    <n v="8"/>
    <n v="4.5999999999999999E-2"/>
    <n v="1571"/>
    <d v="2024-01-11T00:00:00"/>
    <s v="Hyderabad"/>
    <x v="1"/>
    <s v="data anaytics training"/>
    <d v="2024-01-11T00:00:00"/>
    <n v="2.8354336545589325E-2"/>
    <n v="1.5280392156862745"/>
    <n v="17.983846153846152"/>
    <n v="29.223749999999999"/>
    <n v="6.7197057188074769"/>
  </r>
  <r>
    <s v="A1826"/>
    <s v="Data Analytics Course"/>
    <n v="139"/>
    <n v="3976"/>
    <n v="248.65"/>
    <n v="16"/>
    <n v="4"/>
    <n v="4.5999999999999999E-2"/>
    <n v="1160"/>
    <s v="15-11-2024"/>
    <s v="Hyderabad"/>
    <x v="1"/>
    <s v="data anaytics training"/>
    <d v="2024-11-15T00:00:00"/>
    <n v="3.4959758551307847E-2"/>
    <n v="1.7888489208633094"/>
    <n v="15.540625"/>
    <n v="62.162500000000001"/>
    <n v="4.665192036999799"/>
  </r>
  <r>
    <s v="A1827"/>
    <s v="Data Analytics Course"/>
    <n v="108"/>
    <n v="5545"/>
    <n v="209.82"/>
    <n v="11"/>
    <n v="8"/>
    <n v="7.3999999999999996E-2"/>
    <n v="1491"/>
    <d v="2024-11-08T00:00:00"/>
    <s v="Hyderabad"/>
    <x v="1"/>
    <s v="analytics for data"/>
    <d v="2024-11-08T00:00:00"/>
    <n v="1.9477006311992787E-2"/>
    <n v="1.9427777777777777"/>
    <n v="19.074545454545454"/>
    <n v="26.227499999999999"/>
    <n v="7.1060909350872175"/>
  </r>
  <r>
    <s v="A1828"/>
    <s v="Data Analytics Course"/>
    <n v="85"/>
    <n v="4772"/>
    <n v="211.62"/>
    <n v="15"/>
    <n v="10"/>
    <n v="0.11799999999999999"/>
    <n v="1669"/>
    <s v="19-11-2024"/>
    <s v="Hyderabad"/>
    <x v="1"/>
    <s v="learn data analytics"/>
    <d v="2024-11-19T00:00:00"/>
    <n v="1.7812238055322716E-2"/>
    <n v="2.4896470588235293"/>
    <n v="14.108000000000001"/>
    <n v="21.161999999999999"/>
    <n v="7.8867781873168887"/>
  </r>
  <r>
    <s v="A1829"/>
    <s v="Data Analytics Course"/>
    <n v="109"/>
    <n v="4941"/>
    <n v="242.54"/>
    <n v="18"/>
    <n v="9"/>
    <n v="8.3000000000000004E-2"/>
    <n v="1278"/>
    <d v="2024-11-11T00:00:00"/>
    <s v="Hyderabad"/>
    <x v="0"/>
    <s v="data anaytics training"/>
    <d v="2024-11-11T00:00:00"/>
    <n v="2.2060311677798018E-2"/>
    <n v="2.225137614678899"/>
    <n v="13.474444444444444"/>
    <n v="26.948888888888888"/>
    <n v="5.2692339407932716"/>
  </r>
  <r>
    <s v="A1830"/>
    <s v="Data Analytics Course"/>
    <n v="119"/>
    <n v="4369"/>
    <n v="216.29"/>
    <n v="16"/>
    <n v="4"/>
    <n v="4.5999999999999999E-2"/>
    <n v="1505"/>
    <d v="2024-11-22T00:00:00"/>
    <s v="Hyderabad"/>
    <x v="2"/>
    <s v="learn data analytics"/>
    <d v="2024-11-22T00:00:00"/>
    <n v="2.7237354085603113E-2"/>
    <n v="1.8175630252100841"/>
    <n v="13.518125"/>
    <n v="54.072499999999998"/>
    <n v="6.9582504970178931"/>
  </r>
  <r>
    <s v="A1831"/>
    <s v="Data Analytics Course"/>
    <n v="143"/>
    <n v="5526"/>
    <n v="185.94"/>
    <n v="15"/>
    <n v="8"/>
    <n v="5.6000000000000001E-2"/>
    <n v="1712"/>
    <s v="25-11-2024"/>
    <s v="Hyderabad"/>
    <x v="0"/>
    <s v="analytics for data"/>
    <d v="2024-11-25T00:00:00"/>
    <n v="2.5877669200144771E-2"/>
    <n v="1.3002797202797203"/>
    <n v="12.395999999999999"/>
    <n v="23.2425"/>
    <n v="9.2072711627406694"/>
  </r>
  <r>
    <s v="A1832"/>
    <s v="Data Analytics Course"/>
    <n v="161"/>
    <n v="5302"/>
    <n v="184.29"/>
    <n v="13"/>
    <n v="8"/>
    <n v="3.5999999999999997E-2"/>
    <n v="1703"/>
    <s v="30-11-2024"/>
    <s v="Hyderabad"/>
    <x v="2"/>
    <s v="learn data analytics"/>
    <d v="2024-11-30T00:00:00"/>
    <n v="3.0365899660505468E-2"/>
    <n v="1.1446583850931678"/>
    <n v="14.176153846153845"/>
    <n v="23.036249999999999"/>
    <n v="9.2408703673557984"/>
  </r>
  <r>
    <s v="A1833"/>
    <s v="Data Analytics Course"/>
    <n v="146"/>
    <n v="4424"/>
    <n v="196.88"/>
    <n v="20"/>
    <n v="3"/>
    <n v="2.1000000000000001E-2"/>
    <n v="1757"/>
    <s v="30-11-2024"/>
    <s v="Hyderabad"/>
    <x v="2"/>
    <s v="online data analytic"/>
    <d v="2024-11-30T00:00:00"/>
    <n v="3.3001808318264013E-2"/>
    <n v="1.3484931506849316"/>
    <n v="9.8439999999999994"/>
    <n v="65.626666666666665"/>
    <n v="8.9242177976432355"/>
  </r>
  <r>
    <s v="A1834"/>
    <s v="Data Analytics Course"/>
    <n v="82"/>
    <n v="5971"/>
    <n v="235.52"/>
    <n v="14"/>
    <n v="8"/>
    <n v="9.8000000000000004E-2"/>
    <n v="1568"/>
    <d v="2024-06-11T00:00:00"/>
    <s v="Hyderabad"/>
    <x v="1"/>
    <s v="learn data analytics"/>
    <d v="2024-06-11T00:00:00"/>
    <n v="1.3733043041366605E-2"/>
    <n v="2.8721951219512198"/>
    <n v="16.822857142857142"/>
    <n v="29.44"/>
    <n v="6.6576086956521738"/>
  </r>
  <r>
    <s v="A1835"/>
    <s v="Data Analytics Course"/>
    <n v="88"/>
    <n v="3733"/>
    <n v="244.35"/>
    <n v="12"/>
    <n v="8"/>
    <n v="9.0999999999999998E-2"/>
    <n v="1622"/>
    <d v="2024-11-27T00:00:00"/>
    <s v="Hyderabad"/>
    <x v="1"/>
    <s v="online data analytic"/>
    <d v="2024-11-27T00:00:00"/>
    <n v="2.3573533351192069E-2"/>
    <n v="2.7767045454545456"/>
    <n v="20.362500000000001"/>
    <n v="30.543749999999999"/>
    <n v="6.6380192347043181"/>
  </r>
  <r>
    <s v="A1836"/>
    <s v="Data Analytics Course"/>
    <n v="127"/>
    <n v="4403"/>
    <n v="244.3"/>
    <n v="15"/>
    <n v="7"/>
    <n v="5.5E-2"/>
    <n v="1832"/>
    <s v="22-11-2024"/>
    <s v="Hyderabad"/>
    <x v="2"/>
    <s v="data analytics course"/>
    <d v="2024-11-22T00:00:00"/>
    <n v="2.8843970020440608E-2"/>
    <n v="1.9236220472440946"/>
    <n v="16.286666666666669"/>
    <n v="34.9"/>
    <n v="7.4989766680311085"/>
  </r>
  <r>
    <s v="A1837"/>
    <s v="Data Analytics Course"/>
    <n v="179"/>
    <n v="5118"/>
    <n v="189.59"/>
    <n v="15"/>
    <n v="6"/>
    <n v="3.4000000000000002E-2"/>
    <n v="1892"/>
    <d v="2024-11-28T00:00:00"/>
    <s v="Hyderabad"/>
    <x v="2"/>
    <s v="data analytics course"/>
    <d v="2024-11-28T00:00:00"/>
    <n v="3.4974599452911294E-2"/>
    <n v="1.0591620111731843"/>
    <n v="12.639333333333333"/>
    <n v="31.598333333333333"/>
    <n v="9.9794292947940288"/>
  </r>
  <r>
    <s v="A1838"/>
    <s v="Data Analytics Course"/>
    <n v="199"/>
    <n v="4407"/>
    <n v="240.05"/>
    <n v="21"/>
    <n v="9"/>
    <n v="4.4999999999999998E-2"/>
    <n v="1054"/>
    <s v="13-11-2024"/>
    <s v="Hyderabad"/>
    <x v="0"/>
    <s v="data analitics online"/>
    <d v="2024-11-13T00:00:00"/>
    <n v="4.5155434535965509E-2"/>
    <n v="1.2062814070351759"/>
    <n v="11.430952380952382"/>
    <n v="26.672222222222224"/>
    <n v="4.3907519266819408"/>
  </r>
  <r>
    <s v="A1839"/>
    <s v="Data Analytics Course"/>
    <n v="191"/>
    <n v="3190"/>
    <n v="211.1"/>
    <n v="10"/>
    <n v="7"/>
    <n v="3.6999999999999998E-2"/>
    <n v="1505"/>
    <s v="22-11-2024"/>
    <s v="Hyderabad"/>
    <x v="2"/>
    <s v="learn data analytics"/>
    <d v="2024-11-22T00:00:00"/>
    <n v="5.9874608150470222E-2"/>
    <n v="1.1052356020942409"/>
    <n v="21.11"/>
    <n v="30.157142857142855"/>
    <n v="7.1293225959261015"/>
  </r>
  <r>
    <s v="A1840"/>
    <s v="Data Analytics Course"/>
    <n v="99"/>
    <n v="4880"/>
    <n v="245.13"/>
    <n v="25"/>
    <n v="8"/>
    <n v="4.5999999999999999E-2"/>
    <n v="1236"/>
    <d v="2024-11-19T00:00:00"/>
    <s v="Hyderabad"/>
    <x v="2"/>
    <s v="data analytics course"/>
    <d v="2024-11-19T00:00:00"/>
    <n v="2.028688524590164E-2"/>
    <n v="2.4760606060606061"/>
    <n v="9.8051999999999992"/>
    <n v="30.641249999999999"/>
    <n v="5.0422224941867579"/>
  </r>
  <r>
    <s v="A1841"/>
    <s v="Data Analytics Course"/>
    <n v="122"/>
    <n v="5774"/>
    <n v="224.4"/>
    <n v="23"/>
    <n v="10"/>
    <n v="4.5999999999999999E-2"/>
    <n v="1330"/>
    <d v="2024-11-14T00:00:00"/>
    <s v="Hyderabad"/>
    <x v="1"/>
    <s v="learn data analytics"/>
    <d v="2024-11-14T00:00:00"/>
    <n v="2.1129199861447869E-2"/>
    <n v="1.839344262295082"/>
    <n v="9.7565217391304344"/>
    <n v="22.44"/>
    <n v="5.9269162210338679"/>
  </r>
  <r>
    <s v="A1842"/>
    <s v="Data Analytics Course"/>
    <n v="178"/>
    <n v="4103"/>
    <n v="207.23"/>
    <n v="17"/>
    <n v="8"/>
    <n v="4.4999999999999998E-2"/>
    <n v="1612"/>
    <d v="2024-11-15T00:00:00"/>
    <s v="Hyderabad"/>
    <x v="1"/>
    <s v="analytics for data"/>
    <d v="2024-11-15T00:00:00"/>
    <n v="4.3382890567877162E-2"/>
    <n v="1.1642134831460673"/>
    <n v="12.19"/>
    <n v="25.903749999999999"/>
    <n v="7.7787965062973514"/>
  </r>
  <r>
    <s v="A1843"/>
    <s v="Data Analytics Course"/>
    <n v="157"/>
    <n v="4414"/>
    <n v="240.57"/>
    <n v="17"/>
    <n v="9"/>
    <n v="5.7000000000000002E-2"/>
    <n v="1483"/>
    <d v="2024-11-27T00:00:00"/>
    <s v="Hyderabad"/>
    <x v="0"/>
    <s v="learn data analytics"/>
    <d v="2024-11-27T00:00:00"/>
    <n v="3.5568645219755321E-2"/>
    <n v="1.5322929936305731"/>
    <n v="14.151176470588235"/>
    <n v="26.73"/>
    <n v="6.1645259176123375"/>
  </r>
  <r>
    <s v="A1844"/>
    <s v="Data Analytics Course"/>
    <n v="199"/>
    <n v="5319"/>
    <n v="216.7"/>
    <n v="25"/>
    <n v="9"/>
    <n v="4.4999999999999998E-2"/>
    <n v="1505"/>
    <d v="2024-01-11T00:00:00"/>
    <s v="Hyderabad"/>
    <x v="0"/>
    <s v="online data analytic"/>
    <d v="2024-01-11T00:00:00"/>
    <n v="3.7413047565331828E-2"/>
    <n v="1.0889447236180905"/>
    <n v="8.6679999999999993"/>
    <n v="24.077777777777776"/>
    <n v="6.9450853714813112"/>
  </r>
  <r>
    <s v="A1845"/>
    <s v="Data Analytics Course"/>
    <n v="192"/>
    <n v="3320"/>
    <n v="208.09"/>
    <n v="17"/>
    <n v="3"/>
    <n v="1.6E-2"/>
    <n v="1169"/>
    <s v="18-11-2024"/>
    <s v="Hyderabad"/>
    <x v="1"/>
    <s v="data anaytics training"/>
    <d v="2024-11-18T00:00:00"/>
    <n v="5.7831325301204821E-2"/>
    <n v="1.0838020833333333"/>
    <n v="12.240588235294117"/>
    <n v="69.36333333333333"/>
    <n v="5.6177615454851262"/>
  </r>
  <r>
    <s v="A1846"/>
    <s v="Data Analytics Course"/>
    <n v="144"/>
    <n v="4146"/>
    <n v="246.1"/>
    <n v="18"/>
    <n v="10"/>
    <n v="6.9000000000000006E-2"/>
    <n v="1074"/>
    <s v="15-11-2024"/>
    <s v="Hyderabad"/>
    <x v="0"/>
    <s v="analytics for data"/>
    <d v="2024-11-15T00:00:00"/>
    <n v="3.4732272069464547E-2"/>
    <n v="1.7090277777777778"/>
    <n v="13.672222222222222"/>
    <n v="24.61"/>
    <n v="4.36407964242178"/>
  </r>
  <r>
    <s v="A1847"/>
    <s v="Data Analytics Course"/>
    <n v="147"/>
    <n v="4720"/>
    <n v="227.6"/>
    <n v="23"/>
    <n v="8"/>
    <n v="4.5999999999999999E-2"/>
    <n v="1907"/>
    <d v="2024-11-05T00:00:00"/>
    <s v="Hyderabad"/>
    <x v="2"/>
    <s v="online data analytic"/>
    <d v="2024-11-05T00:00:00"/>
    <n v="3.1144067796610171E-2"/>
    <n v="1.5482993197278911"/>
    <n v="9.8956521739130441"/>
    <n v="28.45"/>
    <n v="8.3787346221441119"/>
  </r>
  <r>
    <s v="A1848"/>
    <s v="Data Analytics Course"/>
    <n v="121"/>
    <n v="3557"/>
    <n v="237.03"/>
    <n v="16"/>
    <n v="7"/>
    <n v="4.5999999999999999E-2"/>
    <n v="1255"/>
    <d v="2024-11-25T00:00:00"/>
    <s v="Hyderabad"/>
    <x v="1"/>
    <s v="data analitics online"/>
    <d v="2024-11-25T00:00:00"/>
    <n v="3.4017430418892325E-2"/>
    <n v="1.9589256198347107"/>
    <n v="14.814375"/>
    <n v="33.861428571428569"/>
    <n v="5.2946884360629456"/>
  </r>
  <r>
    <s v="A1849"/>
    <s v="Data Analytics Course"/>
    <n v="193"/>
    <n v="5899"/>
    <n v="227.24"/>
    <n v="12"/>
    <n v="9"/>
    <n v="4.2000000000000003E-2"/>
    <n v="1832"/>
    <d v="2024-02-11T00:00:00"/>
    <s v="Hyderabad"/>
    <x v="0"/>
    <s v="analytics for data"/>
    <d v="2024-02-11T00:00:00"/>
    <n v="3.271740973046279E-2"/>
    <n v="1.1774093264248706"/>
    <n v="18.936666666666667"/>
    <n v="25.248888888888889"/>
    <n v="8.0619609223728208"/>
  </r>
  <r>
    <s v="A1850"/>
    <s v="Data Analytics Course"/>
    <n v="170"/>
    <n v="4968"/>
    <n v="216.78"/>
    <n v="21"/>
    <n v="5"/>
    <n v="4.4999999999999998E-2"/>
    <n v="1997"/>
    <d v="2024-11-24T00:00:00"/>
    <s v="Hyderabad"/>
    <x v="2"/>
    <s v="data analytics course"/>
    <d v="2024-11-24T00:00:00"/>
    <n v="3.4219001610305957E-2"/>
    <n v="1.2751764705882354"/>
    <n v="10.322857142857142"/>
    <n v="43.356000000000002"/>
    <n v="9.212104437678752"/>
  </r>
  <r>
    <s v="A1851"/>
    <s v="Data Analytics Course"/>
    <n v="198"/>
    <n v="5934"/>
    <n v="199.61"/>
    <n v="14"/>
    <n v="6"/>
    <n v="0.03"/>
    <n v="1505"/>
    <s v="13-11-2024"/>
    <s v="Hyderabad"/>
    <x v="2"/>
    <s v="learn data analytics"/>
    <d v="2024-11-13T00:00:00"/>
    <n v="3.3367037411526794E-2"/>
    <n v="1.0081313131313132"/>
    <n v="14.257857142857144"/>
    <n v="33.268333333333338"/>
    <n v="7.5397024197184503"/>
  </r>
  <r>
    <s v="A1852"/>
    <s v="Data Analytics Course"/>
    <n v="133"/>
    <n v="4078"/>
    <n v="189.42"/>
    <n v="21"/>
    <n v="6"/>
    <n v="4.4999999999999998E-2"/>
    <n v="1969"/>
    <s v="21-11-2024"/>
    <s v="Hyderabad"/>
    <x v="0"/>
    <s v="data analitics online"/>
    <d v="2024-11-21T00:00:00"/>
    <n v="3.2614026483570376E-2"/>
    <n v="1.4242105263157894"/>
    <n v="9.02"/>
    <n v="31.569999999999997"/>
    <n v="10.394889663182347"/>
  </r>
  <r>
    <s v="A1853"/>
    <s v="Data Analytics Course"/>
    <n v="82"/>
    <n v="4163"/>
    <n v="208.08"/>
    <n v="30"/>
    <n v="8"/>
    <n v="9.8000000000000004E-2"/>
    <n v="1297"/>
    <d v="2024-11-04T00:00:00"/>
    <s v="Hyderabad"/>
    <x v="1"/>
    <s v="data analytics course"/>
    <d v="2024-11-04T00:00:00"/>
    <n v="1.969733365361518E-2"/>
    <n v="2.5375609756097561"/>
    <n v="6.9360000000000008"/>
    <n v="26.01"/>
    <n v="6.2331795463283353"/>
  </r>
  <r>
    <s v="A1854"/>
    <s v="Data Analytics Course"/>
    <n v="90"/>
    <n v="4330"/>
    <n v="249.24"/>
    <n v="20"/>
    <n v="4"/>
    <n v="4.3999999999999997E-2"/>
    <n v="1618"/>
    <d v="2024-11-15T00:00:00"/>
    <s v="Hyderabad"/>
    <x v="2"/>
    <s v="data anaytics training"/>
    <d v="2024-11-15T00:00:00"/>
    <n v="2.0785219399538105E-2"/>
    <n v="2.7693333333333334"/>
    <n v="12.462"/>
    <n v="62.31"/>
    <n v="6.4917348740170118"/>
  </r>
  <r>
    <s v="A1855"/>
    <s v="Data Analytics Course"/>
    <n v="122"/>
    <n v="5882"/>
    <n v="189.76"/>
    <n v="25"/>
    <n v="7"/>
    <n v="5.7000000000000002E-2"/>
    <n v="1357"/>
    <d v="2024-11-25T00:00:00"/>
    <s v="Hyderabad"/>
    <x v="2"/>
    <s v="analytics for data"/>
    <d v="2024-11-25T00:00:00"/>
    <n v="2.0741244474668481E-2"/>
    <n v="1.5554098360655737"/>
    <n v="7.5903999999999998"/>
    <n v="27.108571428571427"/>
    <n v="7.1511382799325469"/>
  </r>
  <r>
    <s v="A1856"/>
    <s v="Data Analytics Course"/>
    <n v="105"/>
    <n v="5645"/>
    <n v="218.24"/>
    <n v="17"/>
    <n v="6"/>
    <n v="4.5999999999999999E-2"/>
    <n v="1420"/>
    <d v="2024-11-02T00:00:00"/>
    <s v="Hyderabad"/>
    <x v="1"/>
    <s v="online data analytic"/>
    <d v="2024-11-02T00:00:00"/>
    <n v="1.8600531443755536E-2"/>
    <n v="2.0784761904761906"/>
    <n v="12.83764705882353"/>
    <n v="36.373333333333335"/>
    <n v="6.5065982404692075"/>
  </r>
  <r>
    <s v="A1857"/>
    <s v="Data Analytics Course"/>
    <n v="179"/>
    <n v="3848"/>
    <n v="213.26"/>
    <n v="12"/>
    <n v="5"/>
    <n v="4.5999999999999999E-2"/>
    <n v="1807"/>
    <d v="2024-11-29T00:00:00"/>
    <s v="Hyderabad"/>
    <x v="0"/>
    <s v="data analytics course"/>
    <d v="2024-11-29T00:00:00"/>
    <n v="4.651767151767152E-2"/>
    <n v="1.1913966480446927"/>
    <n v="17.771666666666665"/>
    <n v="42.652000000000001"/>
    <n v="8.4732251711525848"/>
  </r>
  <r>
    <s v="A1858"/>
    <s v="Data Analytics Course"/>
    <n v="91"/>
    <n v="5609"/>
    <n v="228.27"/>
    <n v="12"/>
    <n v="10"/>
    <n v="0.11"/>
    <n v="1098"/>
    <d v="2024-11-11T00:00:00"/>
    <s v="Hyderabad"/>
    <x v="0"/>
    <s v="analytics for data"/>
    <d v="2024-11-11T00:00:00"/>
    <n v="1.6223925833481905E-2"/>
    <n v="2.5084615384615385"/>
    <n v="19.022500000000001"/>
    <n v="22.827000000000002"/>
    <n v="4.8100933105532917"/>
  </r>
  <r>
    <s v="A1859"/>
    <s v="Data Analytics Course"/>
    <n v="168"/>
    <n v="4390"/>
    <n v="195.52"/>
    <n v="22"/>
    <n v="10"/>
    <n v="0.06"/>
    <n v="1553"/>
    <d v="2024-11-04T00:00:00"/>
    <s v="Hyderabad"/>
    <x v="0"/>
    <s v="data analytics course"/>
    <d v="2024-11-04T00:00:00"/>
    <n v="3.826879271070615E-2"/>
    <n v="1.1638095238095238"/>
    <n v="8.8872727272727285"/>
    <n v="19.552"/>
    <n v="7.9429214402618653"/>
  </r>
  <r>
    <s v="A1860"/>
    <s v="Data Analytics Course"/>
    <n v="162"/>
    <n v="4774"/>
    <n v="210.8"/>
    <n v="20"/>
    <n v="7"/>
    <n v="4.2999999999999997E-2"/>
    <n v="1387"/>
    <d v="2024-11-29T00:00:00"/>
    <s v="Hyderabad"/>
    <x v="2"/>
    <s v="analytics for data"/>
    <d v="2024-11-29T00:00:00"/>
    <n v="3.3933808127356517E-2"/>
    <n v="1.3012345679012347"/>
    <n v="10.540000000000001"/>
    <n v="30.114285714285717"/>
    <n v="6.5796963946869065"/>
  </r>
  <r>
    <s v="A1861"/>
    <s v="Data Analytics Course"/>
    <n v="130"/>
    <n v="5787"/>
    <n v="218.79"/>
    <n v="13"/>
    <n v="10"/>
    <n v="7.6999999999999999E-2"/>
    <n v="1679"/>
    <d v="2024-11-09T00:00:00"/>
    <s v="Hyderabad"/>
    <x v="1"/>
    <s v="online data analytic"/>
    <d v="2024-11-09T00:00:00"/>
    <n v="2.2464143770520133E-2"/>
    <n v="1.6829999999999998"/>
    <n v="16.829999999999998"/>
    <n v="21.878999999999998"/>
    <n v="7.6740253210841445"/>
  </r>
  <r>
    <s v="A1862"/>
    <s v="Data Analytics Course"/>
    <n v="97"/>
    <n v="5192"/>
    <n v="184.79"/>
    <n v="13"/>
    <n v="10"/>
    <n v="4.5999999999999999E-2"/>
    <n v="1382"/>
    <d v="2024-11-05T00:00:00"/>
    <s v="Hyderabad"/>
    <x v="1"/>
    <s v="learn data analytics"/>
    <d v="2024-11-05T00:00:00"/>
    <n v="1.8682588597842834E-2"/>
    <n v="1.9050515463917526"/>
    <n v="14.214615384615383"/>
    <n v="18.478999999999999"/>
    <n v="7.4787596731424868"/>
  </r>
  <r>
    <s v="A1863"/>
    <s v="Data Analytics Course"/>
    <n v="142"/>
    <n v="4223"/>
    <n v="222.28"/>
    <n v="27"/>
    <n v="5"/>
    <n v="3.7999999999999999E-2"/>
    <n v="1506"/>
    <d v="2024-11-07T00:00:00"/>
    <s v="Hyderabad"/>
    <x v="0"/>
    <s v="learn data analytics"/>
    <d v="2024-11-07T00:00:00"/>
    <n v="3.3625384797537294E-2"/>
    <n v="1.5653521126760563"/>
    <n v="8.2325925925925922"/>
    <n v="44.456000000000003"/>
    <n v="6.7752384380061184"/>
  </r>
  <r>
    <s v="A1864"/>
    <s v="Data Analytics Course"/>
    <n v="138"/>
    <n v="3146"/>
    <n v="197.89"/>
    <n v="22"/>
    <n v="7"/>
    <n v="4.5999999999999999E-2"/>
    <n v="1505"/>
    <d v="2024-11-08T00:00:00"/>
    <s v="Hyderabad"/>
    <x v="0"/>
    <s v="learn data analytics"/>
    <d v="2024-11-08T00:00:00"/>
    <n v="4.3865225683407505E-2"/>
    <n v="1.4339855072463767"/>
    <n v="8.9949999999999992"/>
    <n v="28.27"/>
    <n v="7.6052352316943761"/>
  </r>
  <r>
    <s v="A1865"/>
    <s v="Data Analytics Course"/>
    <n v="186"/>
    <n v="3988"/>
    <n v="237.69"/>
    <n v="15"/>
    <n v="5"/>
    <n v="2.7E-2"/>
    <n v="1603"/>
    <d v="2024-11-14T00:00:00"/>
    <s v="Hyderabad"/>
    <x v="2"/>
    <s v="data analytics course"/>
    <d v="2024-11-14T00:00:00"/>
    <n v="4.6639919759277837E-2"/>
    <n v="1.2779032258064515"/>
    <n v="15.846"/>
    <n v="47.537999999999997"/>
    <n v="6.7440784214733478"/>
  </r>
  <r>
    <s v="A1866"/>
    <s v="Data Analytics Course"/>
    <n v="170"/>
    <n v="3437"/>
    <n v="232.08"/>
    <n v="23"/>
    <n v="5"/>
    <n v="2.9000000000000001E-2"/>
    <n v="1405"/>
    <d v="2024-11-29T00:00:00"/>
    <s v="Hyderabad"/>
    <x v="1"/>
    <s v="learn data analytics"/>
    <d v="2024-11-29T00:00:00"/>
    <n v="4.9461739889438465E-2"/>
    <n v="1.3651764705882354"/>
    <n v="10.090434782608696"/>
    <n v="46.416000000000004"/>
    <n v="6.0539469148569456"/>
  </r>
  <r>
    <s v="A1867"/>
    <s v="Data Analytics Course"/>
    <n v="85"/>
    <n v="3718"/>
    <n v="224.14"/>
    <n v="21"/>
    <n v="6"/>
    <n v="7.0999999999999994E-2"/>
    <n v="1938"/>
    <d v="2024-11-04T00:00:00"/>
    <s v="Hyderabad"/>
    <x v="0"/>
    <s v="online data analytic"/>
    <d v="2024-11-04T00:00:00"/>
    <n v="2.2861753630984399E-2"/>
    <n v="2.6369411764705881"/>
    <n v="10.673333333333332"/>
    <n v="37.356666666666662"/>
    <n v="8.6463817257071476"/>
  </r>
  <r>
    <s v="A1868"/>
    <s v="Data Analytics Course"/>
    <n v="115"/>
    <n v="5343"/>
    <n v="239.92"/>
    <n v="20"/>
    <n v="8"/>
    <n v="4.5999999999999999E-2"/>
    <n v="1381"/>
    <d v="2024-11-15T00:00:00"/>
    <s v="Hyderabad"/>
    <x v="0"/>
    <s v="learn data analytics"/>
    <d v="2024-11-15T00:00:00"/>
    <n v="2.152348867677335E-2"/>
    <n v="2.0862608695652174"/>
    <n v="11.995999999999999"/>
    <n v="29.99"/>
    <n v="5.7560853617872629"/>
  </r>
  <r>
    <s v="A1869"/>
    <s v="Data Analytics Course"/>
    <n v="167"/>
    <n v="5170"/>
    <n v="241.21"/>
    <n v="24"/>
    <n v="4"/>
    <n v="3.7999999999999999E-2"/>
    <n v="1515"/>
    <s v="21-11-2024"/>
    <s v="Hyderabad"/>
    <x v="1"/>
    <s v="data analytics course"/>
    <d v="2024-11-21T00:00:00"/>
    <n v="3.2301740812379111E-2"/>
    <n v="1.44437125748503"/>
    <n v="10.050416666666667"/>
    <n v="60.302500000000002"/>
    <n v="6.2808341279383111"/>
  </r>
  <r>
    <s v="A1870"/>
    <s v="Data Analytics Course"/>
    <n v="113"/>
    <n v="5916"/>
    <n v="234.58"/>
    <n v="18"/>
    <n v="5"/>
    <n v="4.3999999999999997E-2"/>
    <n v="1165"/>
    <d v="2024-11-12T00:00:00"/>
    <s v="Hyderabad"/>
    <x v="1"/>
    <s v="data analytics course"/>
    <d v="2024-11-12T00:00:00"/>
    <n v="1.9100743745774171E-2"/>
    <n v="2.0759292035398231"/>
    <n v="13.032222222222224"/>
    <n v="46.916000000000004"/>
    <n v="4.9663227896666378"/>
  </r>
  <r>
    <s v="A1871"/>
    <s v="Data Analytics Course"/>
    <n v="175"/>
    <n v="4958"/>
    <n v="245.96"/>
    <n v="22"/>
    <n v="10"/>
    <n v="4.5999999999999999E-2"/>
    <n v="1777"/>
    <d v="2024-11-21T00:00:00"/>
    <s v="Hyderabad"/>
    <x v="1"/>
    <s v="online data analytic"/>
    <d v="2024-11-21T00:00:00"/>
    <n v="3.5296490520371114E-2"/>
    <n v="1.4054857142857142"/>
    <n v="11.18"/>
    <n v="24.596"/>
    <n v="7.2247519921938528"/>
  </r>
  <r>
    <s v="A1872"/>
    <s v="Data Analytics Course"/>
    <n v="112"/>
    <n v="5538"/>
    <n v="225.66"/>
    <n v="22"/>
    <n v="4"/>
    <n v="4.1000000000000002E-2"/>
    <n v="1505"/>
    <d v="2024-11-22T00:00:00"/>
    <s v="Hyderabad"/>
    <x v="0"/>
    <s v="online data analytic"/>
    <d v="2024-11-22T00:00:00"/>
    <n v="2.0223907547851208E-2"/>
    <n v="2.0148214285714285"/>
    <n v="10.257272727272728"/>
    <n v="56.414999999999999"/>
    <n v="6.6693255339891877"/>
  </r>
  <r>
    <s v="A1873"/>
    <s v="Data Analytics Course"/>
    <n v="194"/>
    <n v="5309"/>
    <n v="191.4"/>
    <n v="19"/>
    <n v="10"/>
    <n v="4.5999999999999999E-2"/>
    <n v="1764"/>
    <s v="13-11-2024"/>
    <s v="Hyderabad"/>
    <x v="0"/>
    <s v="data anaytics training"/>
    <d v="2024-11-13T00:00:00"/>
    <n v="3.6541721604821997E-2"/>
    <n v="0.98659793814432994"/>
    <n v="10.073684210526316"/>
    <n v="19.14"/>
    <n v="9.216300940438872"/>
  </r>
  <r>
    <s v="A1874"/>
    <s v="Data Analytics Course"/>
    <n v="139"/>
    <n v="4539"/>
    <n v="244.4"/>
    <n v="18"/>
    <n v="6"/>
    <n v="4.5999999999999999E-2"/>
    <n v="1638"/>
    <d v="2024-11-28T00:00:00"/>
    <s v="Hyderabad"/>
    <x v="1"/>
    <s v="analytics for data"/>
    <d v="2024-11-28T00:00:00"/>
    <n v="3.0623485349195859E-2"/>
    <n v="1.758273381294964"/>
    <n v="13.577777777777778"/>
    <n v="40.733333333333334"/>
    <n v="6.7021276595744679"/>
  </r>
  <r>
    <s v="A1875"/>
    <s v="Data Analytics Course"/>
    <n v="82"/>
    <n v="4622"/>
    <n v="203.99"/>
    <n v="17"/>
    <n v="9"/>
    <n v="0.11"/>
    <n v="1375"/>
    <d v="2024-11-12T00:00:00"/>
    <s v="Hyderabad"/>
    <x v="1"/>
    <s v="online data analytic"/>
    <d v="2024-11-12T00:00:00"/>
    <n v="1.7741237559498052E-2"/>
    <n v="2.4876829268292684"/>
    <n v="11.999411764705883"/>
    <n v="22.665555555555557"/>
    <n v="6.7405264963968818"/>
  </r>
  <r>
    <s v="A1876"/>
    <s v="Data Analytics Course"/>
    <n v="139"/>
    <n v="3355"/>
    <n v="193.57"/>
    <n v="26"/>
    <n v="9"/>
    <n v="4.5999999999999999E-2"/>
    <n v="1961"/>
    <d v="2024-11-11T00:00:00"/>
    <s v="Hyderabad"/>
    <x v="1"/>
    <s v="learn data analytics"/>
    <d v="2024-11-11T00:00:00"/>
    <n v="4.1430700447093891E-2"/>
    <n v="1.392589928057554"/>
    <n v="7.4449999999999994"/>
    <n v="21.507777777777775"/>
    <n v="10.130702071602006"/>
  </r>
  <r>
    <s v="A1877"/>
    <s v="Data Analytics Course"/>
    <n v="179"/>
    <n v="4992"/>
    <n v="221.48"/>
    <n v="27"/>
    <n v="10"/>
    <n v="3.6999999999999998E-2"/>
    <n v="1062"/>
    <d v="2024-11-06T00:00:00"/>
    <s v="Hyderabad"/>
    <x v="2"/>
    <s v="learn data analytics"/>
    <d v="2024-11-06T00:00:00"/>
    <n v="3.5857371794871792E-2"/>
    <n v="1.23731843575419"/>
    <n v="8.2029629629629621"/>
    <n v="22.148"/>
    <n v="4.7950153512732525"/>
  </r>
  <r>
    <s v="A1878"/>
    <s v="Data Analytics Course"/>
    <n v="93"/>
    <n v="3015"/>
    <n v="232.01"/>
    <n v="21"/>
    <n v="4"/>
    <n v="4.2999999999999997E-2"/>
    <n v="1770"/>
    <d v="2024-11-26T00:00:00"/>
    <s v="Hyderabad"/>
    <x v="1"/>
    <s v="learn data analytics"/>
    <d v="2024-11-26T00:00:00"/>
    <n v="3.0845771144278607E-2"/>
    <n v="2.4947311827956988"/>
    <n v="11.048095238095238"/>
    <n v="58.002499999999998"/>
    <n v="7.6289815094176978"/>
  </r>
  <r>
    <s v="A1879"/>
    <s v="Data Analytics Course"/>
    <n v="152"/>
    <n v="4662"/>
    <n v="249.13"/>
    <n v="24"/>
    <n v="7"/>
    <n v="4.5999999999999999E-2"/>
    <n v="1951"/>
    <d v="2024-11-11T00:00:00"/>
    <s v="Hyderabad"/>
    <x v="0"/>
    <s v="online data analytic"/>
    <d v="2024-11-11T00:00:00"/>
    <n v="3.2604032604032607E-2"/>
    <n v="1.6390131578947369"/>
    <n v="10.380416666666667"/>
    <n v="35.589999999999996"/>
    <n v="7.8312527596034203"/>
  </r>
  <r>
    <s v="A1880"/>
    <s v="Data Analytics Course"/>
    <n v="81"/>
    <n v="3766"/>
    <n v="213.12"/>
    <n v="27"/>
    <n v="7"/>
    <n v="8.5999999999999993E-2"/>
    <n v="1183"/>
    <s v="27-11-2024"/>
    <s v="Hyderabad"/>
    <x v="0"/>
    <s v="online data analytic"/>
    <d v="2024-11-27T00:00:00"/>
    <n v="2.1508231545406268E-2"/>
    <n v="2.6311111111111112"/>
    <n v="7.8933333333333335"/>
    <n v="30.445714285714285"/>
    <n v="5.5508633633633631"/>
  </r>
  <r>
    <s v="A1881"/>
    <s v="Data Analytics Course"/>
    <n v="130"/>
    <n v="5774"/>
    <n v="241.97"/>
    <n v="11"/>
    <n v="7"/>
    <n v="4.3999999999999997E-2"/>
    <n v="1708"/>
    <d v="2024-11-20T00:00:00"/>
    <s v="Hyderabad"/>
    <x v="0"/>
    <s v="data analytics course"/>
    <d v="2024-11-20T00:00:00"/>
    <n v="2.2514721163837893E-2"/>
    <n v="1.8613076923076923"/>
    <n v="21.997272727272726"/>
    <n v="34.567142857142855"/>
    <n v="7.0587262883828572"/>
  </r>
  <r>
    <s v="A1882"/>
    <s v="Data Analytics Course"/>
    <n v="110"/>
    <n v="4542"/>
    <n v="227.95"/>
    <n v="20"/>
    <n v="4"/>
    <n v="3.5999999999999997E-2"/>
    <n v="1423"/>
    <d v="2024-11-11T00:00:00"/>
    <s v="Hyderabad"/>
    <x v="0"/>
    <s v="data anaytics training"/>
    <d v="2024-11-11T00:00:00"/>
    <n v="2.4218405988551298E-2"/>
    <n v="2.0722727272727273"/>
    <n v="11.397499999999999"/>
    <n v="56.987499999999997"/>
    <n v="6.2425970607589383"/>
  </r>
  <r>
    <s v="A1883"/>
    <s v="Data Analytics Course"/>
    <n v="122"/>
    <n v="5179"/>
    <n v="215.57"/>
    <n v="11"/>
    <n v="4"/>
    <n v="3.3000000000000002E-2"/>
    <n v="1507"/>
    <d v="2024-11-18T00:00:00"/>
    <s v="Hyderabad"/>
    <x v="2"/>
    <s v="analytics for data"/>
    <d v="2024-11-18T00:00:00"/>
    <n v="2.3556671172040935E-2"/>
    <n v="1.766967213114754"/>
    <n v="19.597272727272728"/>
    <n v="53.892499999999998"/>
    <n v="6.9907686598320735"/>
  </r>
  <r>
    <s v="A1884"/>
    <s v="Data Analytics Course"/>
    <n v="113"/>
    <n v="5265"/>
    <n v="184.21"/>
    <n v="27"/>
    <n v="5"/>
    <n v="4.3999999999999997E-2"/>
    <n v="1353"/>
    <s v="20-11-2024"/>
    <s v="Hyderabad"/>
    <x v="2"/>
    <s v="data analitics online"/>
    <d v="2024-11-20T00:00:00"/>
    <n v="2.1462488129154796E-2"/>
    <n v="1.6301769911504425"/>
    <n v="6.822592592592593"/>
    <n v="36.841999999999999"/>
    <n v="7.3448781282232236"/>
  </r>
  <r>
    <s v="A1885"/>
    <s v="Data Analytics Course"/>
    <n v="140"/>
    <n v="5297"/>
    <n v="223.9"/>
    <n v="28"/>
    <n v="6"/>
    <n v="4.2999999999999997E-2"/>
    <n v="1630"/>
    <d v="2024-11-21T00:00:00"/>
    <s v="Hyderabad"/>
    <x v="1"/>
    <s v="data analytics course"/>
    <d v="2024-11-21T00:00:00"/>
    <n v="2.6430054747970548E-2"/>
    <n v="1.5992857142857144"/>
    <n v="7.9964285714285719"/>
    <n v="37.31666666666667"/>
    <n v="7.2800357302367127"/>
  </r>
  <r>
    <s v="A1886"/>
    <s v="Data Analytics Course"/>
    <n v="170"/>
    <n v="3347"/>
    <n v="248.44"/>
    <n v="27"/>
    <n v="3"/>
    <n v="4.5999999999999999E-2"/>
    <n v="1719"/>
    <d v="2024-11-20T00:00:00"/>
    <s v="Hyderabad"/>
    <x v="0"/>
    <s v="learn data analytics"/>
    <d v="2024-11-20T00:00:00"/>
    <n v="5.0791753809381536E-2"/>
    <n v="1.4614117647058824"/>
    <n v="9.2014814814814816"/>
    <n v="82.813333333333333"/>
    <n v="6.9191756560940272"/>
  </r>
  <r>
    <s v="A1887"/>
    <s v="Data Analytics Course"/>
    <n v="176"/>
    <n v="5960"/>
    <n v="245.33"/>
    <n v="19"/>
    <n v="8"/>
    <n v="4.4999999999999998E-2"/>
    <n v="1761"/>
    <d v="2024-11-25T00:00:00"/>
    <s v="Hyderabad"/>
    <x v="2"/>
    <s v="analytics for data"/>
    <d v="2024-11-25T00:00:00"/>
    <n v="2.9530201342281879E-2"/>
    <n v="1.3939204545454547"/>
    <n v="12.912105263157896"/>
    <n v="30.666250000000002"/>
    <n v="7.1780866587861247"/>
  </r>
  <r>
    <s v="A1888"/>
    <s v="Data Analytics Course"/>
    <n v="139"/>
    <n v="5143"/>
    <n v="246.3"/>
    <n v="19"/>
    <n v="5"/>
    <n v="4.5999999999999999E-2"/>
    <n v="1346"/>
    <d v="2024-05-11T00:00:00"/>
    <s v="Hyderabad"/>
    <x v="1"/>
    <s v="data anaytics training"/>
    <d v="2024-05-11T00:00:00"/>
    <n v="2.7027027027027029E-2"/>
    <n v="1.7719424460431656"/>
    <n v="12.963157894736844"/>
    <n v="49.260000000000005"/>
    <n v="5.4648802273650015"/>
  </r>
  <r>
    <s v="A1889"/>
    <s v="Data Analytics Course"/>
    <n v="195"/>
    <n v="5265"/>
    <n v="242"/>
    <n v="10"/>
    <n v="4"/>
    <n v="5.3999999999999999E-2"/>
    <n v="1699"/>
    <d v="2024-11-08T00:00:00"/>
    <s v="Hyderabad"/>
    <x v="2"/>
    <s v="online data analytic"/>
    <d v="2024-11-08T00:00:00"/>
    <n v="3.7037037037037035E-2"/>
    <n v="1.2410256410256411"/>
    <n v="24.2"/>
    <n v="60.5"/>
    <n v="7.0206611570247937"/>
  </r>
  <r>
    <s v="A1890"/>
    <s v="Data Analytics Course"/>
    <n v="162"/>
    <n v="4396"/>
    <n v="183.96"/>
    <n v="18"/>
    <n v="4"/>
    <n v="4.2999999999999997E-2"/>
    <n v="1054"/>
    <d v="2024-11-18T00:00:00"/>
    <s v="Hyderabad"/>
    <x v="2"/>
    <s v="data analitics online"/>
    <d v="2024-11-18T00:00:00"/>
    <n v="3.6851683348498636E-2"/>
    <n v="1.1355555555555557"/>
    <n v="10.220000000000001"/>
    <n v="45.99"/>
    <n v="5.7295064144379211"/>
  </r>
  <r>
    <s v="A1891"/>
    <s v="Data Analytics Course"/>
    <n v="138"/>
    <n v="4381"/>
    <n v="191.55"/>
    <n v="28"/>
    <n v="7"/>
    <n v="4.5999999999999999E-2"/>
    <n v="1756"/>
    <d v="2024-11-01T00:00:00"/>
    <s v="Hyderabad"/>
    <x v="2"/>
    <s v="data anaytics training"/>
    <d v="2024-11-01T00:00:00"/>
    <n v="3.1499657612417256E-2"/>
    <n v="1.3880434782608697"/>
    <n v="6.8410714285714294"/>
    <n v="27.364285714285717"/>
    <n v="9.167319237796919"/>
  </r>
  <r>
    <s v="A1892"/>
    <s v="Data Analytics Course"/>
    <n v="177"/>
    <n v="3965"/>
    <n v="225.82"/>
    <n v="15"/>
    <n v="4"/>
    <n v="2.3E-2"/>
    <n v="1530"/>
    <s v="22-11-2024"/>
    <s v="Hyderabad"/>
    <x v="1"/>
    <s v="online data analytic"/>
    <d v="2024-11-22T00:00:00"/>
    <n v="4.4640605296342999E-2"/>
    <n v="1.2758192090395479"/>
    <n v="15.054666666666666"/>
    <n v="56.454999999999998"/>
    <n v="6.7753077672482513"/>
  </r>
  <r>
    <s v="A1893"/>
    <s v="Data Analytics Course"/>
    <n v="159"/>
    <n v="3366"/>
    <n v="217.27"/>
    <n v="21"/>
    <n v="7"/>
    <n v="4.3999999999999997E-2"/>
    <n v="1515"/>
    <d v="2024-11-17T00:00:00"/>
    <s v="Hyderabad"/>
    <x v="2"/>
    <s v="online data analytic"/>
    <d v="2024-11-17T00:00:00"/>
    <n v="4.7237076648841352E-2"/>
    <n v="1.3664779874213837"/>
    <n v="10.346190476190477"/>
    <n v="31.03857142857143"/>
    <n v="6.9728908731071932"/>
  </r>
  <r>
    <s v="A1894"/>
    <s v="Data Analytics Course"/>
    <n v="111"/>
    <n v="4026"/>
    <n v="229.01"/>
    <n v="13"/>
    <n v="3"/>
    <n v="4.5999999999999999E-2"/>
    <n v="1438"/>
    <d v="2024-11-01T00:00:00"/>
    <s v="Hyderabad"/>
    <x v="0"/>
    <s v="learn data analytics"/>
    <d v="2024-11-01T00:00:00"/>
    <n v="2.7570789865871834E-2"/>
    <n v="2.0631531531531531"/>
    <n v="17.616153846153846"/>
    <n v="76.336666666666659"/>
    <n v="6.2792017815815901"/>
  </r>
  <r>
    <s v="A1895"/>
    <s v="Data Analytics Course"/>
    <n v="184"/>
    <n v="5560"/>
    <n v="189.14"/>
    <n v="14"/>
    <n v="6"/>
    <n v="4.5999999999999999E-2"/>
    <n v="1250"/>
    <d v="2024-11-17T00:00:00"/>
    <s v="Hyderabad"/>
    <x v="2"/>
    <s v="data analitics online"/>
    <d v="2024-11-17T00:00:00"/>
    <n v="3.3093525179856115E-2"/>
    <n v="1.0279347826086955"/>
    <n v="13.51"/>
    <n v="31.52333333333333"/>
    <n v="6.6088611610447296"/>
  </r>
  <r>
    <s v="A1896"/>
    <s v="Data Analytics Course"/>
    <n v="128"/>
    <n v="4500"/>
    <n v="188.21"/>
    <n v="10"/>
    <n v="3"/>
    <n v="4.5999999999999999E-2"/>
    <n v="1087"/>
    <d v="2024-11-14T00:00:00"/>
    <s v="Hyderabad"/>
    <x v="0"/>
    <s v="online data analytic"/>
    <d v="2024-11-14T00:00:00"/>
    <n v="2.8444444444444446E-2"/>
    <n v="1.4703906250000001"/>
    <n v="18.821000000000002"/>
    <n v="62.736666666666672"/>
    <n v="5.7754635779182824"/>
  </r>
  <r>
    <s v="A1897"/>
    <s v="Data Analytics Course"/>
    <n v="164"/>
    <n v="3851"/>
    <n v="219.15"/>
    <n v="22"/>
    <n v="6"/>
    <n v="4.9000000000000002E-2"/>
    <n v="1487"/>
    <d v="2024-11-09T00:00:00"/>
    <s v="Hyderabad"/>
    <x v="1"/>
    <s v="learn data analytics"/>
    <d v="2024-11-09T00:00:00"/>
    <n v="4.2586341210075304E-2"/>
    <n v="1.3362804878048782"/>
    <n v="9.961363636363636"/>
    <n v="36.524999999999999"/>
    <n v="6.7853068674423911"/>
  </r>
  <r>
    <s v="A1898"/>
    <s v="Data Analytics Course"/>
    <n v="120"/>
    <n v="3464"/>
    <n v="228.3"/>
    <n v="19"/>
    <n v="4"/>
    <n v="5.8000000000000003E-2"/>
    <n v="1426"/>
    <s v="22-11-2024"/>
    <s v="Hyderabad"/>
    <x v="2"/>
    <s v="online data analytic"/>
    <d v="2024-11-22T00:00:00"/>
    <n v="3.4642032332563508E-2"/>
    <n v="1.9025000000000001"/>
    <n v="12.015789473684212"/>
    <n v="57.075000000000003"/>
    <n v="6.2461673236968895"/>
  </r>
  <r>
    <s v="A1899"/>
    <s v="Data Analytics Course"/>
    <n v="89"/>
    <n v="3248"/>
    <n v="239.42"/>
    <n v="10"/>
    <n v="4"/>
    <n v="4.5999999999999999E-2"/>
    <n v="1505"/>
    <d v="2024-11-11T00:00:00"/>
    <s v="Hyderabad"/>
    <x v="1"/>
    <s v="learn data analytics"/>
    <d v="2024-11-11T00:00:00"/>
    <n v="2.7401477832512317E-2"/>
    <n v="2.6901123595505618"/>
    <n v="23.942"/>
    <n v="59.854999999999997"/>
    <n v="6.286024559351767"/>
  </r>
  <r>
    <s v="A1900"/>
    <s v="Data Analytics Course"/>
    <n v="91"/>
    <n v="3721"/>
    <n v="231.45"/>
    <n v="24"/>
    <n v="6"/>
    <n v="0.06"/>
    <n v="1505"/>
    <d v="2024-11-14T00:00:00"/>
    <s v="Hyderabad"/>
    <x v="2"/>
    <s v="online data analytic"/>
    <d v="2024-11-14T00:00:00"/>
    <n v="2.445579145391024E-2"/>
    <n v="2.5434065934065933"/>
    <n v="9.6437499999999989"/>
    <n v="38.574999999999996"/>
    <n v="6.5024843378699506"/>
  </r>
  <r>
    <s v="A1901"/>
    <s v="Data Analytics Course"/>
    <n v="143"/>
    <n v="4143"/>
    <n v="191.68"/>
    <n v="20"/>
    <n v="5"/>
    <n v="3.5000000000000003E-2"/>
    <n v="1460"/>
    <d v="2024-11-30T00:00:00"/>
    <s v="Hyderabad"/>
    <x v="2"/>
    <s v="analytics for data"/>
    <d v="2024-11-30T00:00:00"/>
    <n v="3.4516051170649285E-2"/>
    <n v="1.3404195804195804"/>
    <n v="9.5839999999999996"/>
    <n v="38.335999999999999"/>
    <n v="7.6168614357262099"/>
  </r>
  <r>
    <s v="A1902"/>
    <s v="Data Analytics Course"/>
    <n v="176"/>
    <n v="5768"/>
    <n v="238.94"/>
    <n v="14"/>
    <n v="8"/>
    <n v="4.4999999999999998E-2"/>
    <n v="1016"/>
    <d v="2024-11-02T00:00:00"/>
    <s v="Hyderabad"/>
    <x v="2"/>
    <s v="data analitics online"/>
    <d v="2024-11-02T00:00:00"/>
    <n v="3.0513176144244106E-2"/>
    <n v="1.3576136363636364"/>
    <n v="17.067142857142859"/>
    <n v="29.8675"/>
    <n v="4.252113501297397"/>
  </r>
  <r>
    <s v="A1903"/>
    <s v="Data Analytics Course"/>
    <n v="151"/>
    <n v="4408"/>
    <n v="214.29"/>
    <n v="20"/>
    <n v="5"/>
    <n v="3.3000000000000002E-2"/>
    <n v="1900"/>
    <s v="21-11-2024"/>
    <s v="Hyderabad"/>
    <x v="0"/>
    <s v="data analytics course"/>
    <d v="2024-11-21T00:00:00"/>
    <n v="3.4255898366606169E-2"/>
    <n v="1.419139072847682"/>
    <n v="10.714499999999999"/>
    <n v="42.857999999999997"/>
    <n v="8.8664893368799298"/>
  </r>
  <r>
    <s v="A1904"/>
    <s v="Data Analytics Course"/>
    <n v="134"/>
    <n v="3623"/>
    <n v="221.65"/>
    <n v="19"/>
    <n v="5"/>
    <n v="4.7E-2"/>
    <n v="1937"/>
    <d v="2024-11-24T00:00:00"/>
    <s v="Hyderabad"/>
    <x v="0"/>
    <s v="data analitics online"/>
    <d v="2024-11-24T00:00:00"/>
    <n v="3.6985923268009938E-2"/>
    <n v="1.6541044776119402"/>
    <n v="11.66578947368421"/>
    <n v="44.33"/>
    <n v="8.739002932551319"/>
  </r>
  <r>
    <s v="A1905"/>
    <s v="Data Analytics Course"/>
    <n v="191"/>
    <n v="3057"/>
    <n v="223.28"/>
    <n v="27"/>
    <n v="6"/>
    <n v="3.1E-2"/>
    <n v="1208"/>
    <d v="2024-11-03T00:00:00"/>
    <s v="Hyderabad"/>
    <x v="0"/>
    <s v="data analitics online"/>
    <d v="2024-11-03T00:00:00"/>
    <n v="6.2479555119398102E-2"/>
    <n v="1.1690052356020944"/>
    <n v="8.2696296296296303"/>
    <n v="37.213333333333331"/>
    <n v="5.4102472232174845"/>
  </r>
  <r>
    <s v="A1906"/>
    <s v="Data Analytics Course"/>
    <n v="170"/>
    <n v="3144"/>
    <n v="215.57"/>
    <n v="21"/>
    <n v="3"/>
    <n v="3.1E-2"/>
    <n v="1695"/>
    <d v="2024-11-05T00:00:00"/>
    <s v="Hyderabad"/>
    <x v="0"/>
    <s v="data analitics online"/>
    <d v="2024-11-05T00:00:00"/>
    <n v="5.407124681933842E-2"/>
    <n v="1.2680588235294117"/>
    <n v="10.265238095238095"/>
    <n v="71.856666666666669"/>
    <n v="7.8628751681588351"/>
  </r>
  <r>
    <s v="A1907"/>
    <s v="Data Analytics Course"/>
    <n v="112"/>
    <n v="3989"/>
    <n v="228.74"/>
    <n v="10"/>
    <n v="8"/>
    <n v="4.5999999999999999E-2"/>
    <n v="1812"/>
    <s v="13-11-2024"/>
    <s v="Hyderabad"/>
    <x v="1"/>
    <s v="analytics for data"/>
    <d v="2024-11-13T00:00:00"/>
    <n v="2.8077212333918276E-2"/>
    <n v="2.0423214285714288"/>
    <n v="22.874000000000002"/>
    <n v="28.592500000000001"/>
    <n v="7.921657777389175"/>
  </r>
  <r>
    <s v="A1908"/>
    <s v="Data Analytics Course"/>
    <n v="169"/>
    <n v="3619"/>
    <n v="246.66"/>
    <n v="28"/>
    <n v="3"/>
    <n v="1.7999999999999999E-2"/>
    <n v="1354"/>
    <d v="2024-11-25T00:00:00"/>
    <s v="Hyderabad"/>
    <x v="0"/>
    <s v="online data analytic"/>
    <d v="2024-11-25T00:00:00"/>
    <n v="4.6697982868195632E-2"/>
    <n v="1.4595266272189349"/>
    <n v="8.8092857142857142"/>
    <n v="82.22"/>
    <n v="5.4893375496635048"/>
  </r>
  <r>
    <s v="A1909"/>
    <s v="Data Analytics Course"/>
    <n v="172"/>
    <n v="4696"/>
    <n v="242.17"/>
    <n v="26"/>
    <n v="3"/>
    <n v="1.7000000000000001E-2"/>
    <n v="1719"/>
    <d v="2024-11-06T00:00:00"/>
    <s v="Hyderabad"/>
    <x v="0"/>
    <s v="data analytics course"/>
    <d v="2024-11-06T00:00:00"/>
    <n v="3.6626916524701875E-2"/>
    <n v="1.4079651162790696"/>
    <n v="9.3142307692307682"/>
    <n v="80.723333333333329"/>
    <n v="7.0983193624313499"/>
  </r>
  <r>
    <s v="A1910"/>
    <s v="Data Analytics Course"/>
    <n v="162"/>
    <n v="5684"/>
    <n v="219.08"/>
    <n v="30"/>
    <n v="7"/>
    <n v="4.5999999999999999E-2"/>
    <n v="1295"/>
    <d v="2024-11-26T00:00:00"/>
    <s v="Hyderabad"/>
    <x v="0"/>
    <s v="data analytics course"/>
    <d v="2024-11-26T00:00:00"/>
    <n v="2.8501055594651655E-2"/>
    <n v="1.3523456790123458"/>
    <n v="7.3026666666666671"/>
    <n v="31.297142857142859"/>
    <n v="5.9110827095125069"/>
  </r>
  <r>
    <s v="A1911"/>
    <s v="Data Analytics Course"/>
    <n v="183"/>
    <n v="4197"/>
    <n v="243.19"/>
    <n v="29"/>
    <n v="8"/>
    <n v="4.5999999999999999E-2"/>
    <n v="1593"/>
    <d v="2024-11-09T00:00:00"/>
    <s v="Hyderabad"/>
    <x v="1"/>
    <s v="data anaytics training"/>
    <d v="2024-11-09T00:00:00"/>
    <n v="4.360257326661901E-2"/>
    <n v="1.3289071038251365"/>
    <n v="8.3858620689655172"/>
    <n v="30.39875"/>
    <n v="6.5504338171799832"/>
  </r>
  <r>
    <s v="A1912"/>
    <s v="Data Analytics Course"/>
    <n v="108"/>
    <n v="5949"/>
    <n v="184.25"/>
    <n v="23"/>
    <n v="8"/>
    <n v="7.3999999999999996E-2"/>
    <n v="1986"/>
    <d v="2024-11-23T00:00:00"/>
    <s v="Hyderabad"/>
    <x v="0"/>
    <s v="data anaytics training"/>
    <d v="2024-11-23T00:00:00"/>
    <n v="1.8154311649016642E-2"/>
    <n v="1.7060185185185186"/>
    <n v="8.0108695652173907"/>
    <n v="23.03125"/>
    <n v="10.778833107191316"/>
  </r>
  <r>
    <s v="A1913"/>
    <s v="Data Analytics Course"/>
    <n v="126"/>
    <n v="3784"/>
    <n v="215.57"/>
    <n v="24"/>
    <n v="5"/>
    <n v="4.5999999999999999E-2"/>
    <n v="1951"/>
    <s v="28-11-2024"/>
    <s v="Hyderabad"/>
    <x v="1"/>
    <s v="analytics for data"/>
    <d v="2024-11-28T00:00:00"/>
    <n v="3.3298097251585626E-2"/>
    <n v="1.7108730158730159"/>
    <n v="8.9820833333333336"/>
    <n v="43.113999999999997"/>
    <n v="9.0504244560931486"/>
  </r>
  <r>
    <s v="A1914"/>
    <s v="Data Analytics Course"/>
    <n v="174"/>
    <n v="3570"/>
    <n v="222.65"/>
    <n v="25"/>
    <n v="3"/>
    <n v="1.7000000000000001E-2"/>
    <n v="1505"/>
    <d v="2024-11-19T00:00:00"/>
    <s v="Hyderabad"/>
    <x v="2"/>
    <s v="learn data analytics"/>
    <d v="2024-11-19T00:00:00"/>
    <n v="4.8739495798319328E-2"/>
    <n v="1.2795977011494253"/>
    <n v="8.9060000000000006"/>
    <n v="74.216666666666669"/>
    <n v="6.7594879856276666"/>
  </r>
  <r>
    <s v="A1915"/>
    <s v="Data Analytics Course"/>
    <n v="122"/>
    <n v="4632"/>
    <n v="236.57"/>
    <n v="13"/>
    <n v="6"/>
    <n v="4.5999999999999999E-2"/>
    <n v="1001"/>
    <d v="2024-11-15T00:00:00"/>
    <s v="Hyderabad"/>
    <x v="0"/>
    <s v="data analytics course"/>
    <d v="2024-11-15T00:00:00"/>
    <n v="2.6338514680483593E-2"/>
    <n v="1.9390983606557377"/>
    <n v="18.197692307692307"/>
    <n v="39.428333333333335"/>
    <n v="4.2313057445999069"/>
  </r>
  <r>
    <s v="A1916"/>
    <s v="Data Analytics Course"/>
    <n v="191"/>
    <n v="3457"/>
    <n v="237.6"/>
    <n v="20"/>
    <n v="10"/>
    <n v="5.1999999999999998E-2"/>
    <n v="1505"/>
    <d v="2024-11-05T00:00:00"/>
    <s v="Hyderabad"/>
    <x v="0"/>
    <s v="data analytics course"/>
    <d v="2024-11-05T00:00:00"/>
    <n v="5.5250216951113686E-2"/>
    <n v="1.243979057591623"/>
    <n v="11.879999999999999"/>
    <n v="23.759999999999998"/>
    <n v="6.3341750841750839"/>
  </r>
  <r>
    <s v="A1917"/>
    <s v="Data Analytics Course"/>
    <n v="122"/>
    <n v="4525"/>
    <n v="202.89"/>
    <n v="23"/>
    <n v="8"/>
    <n v="3.4000000000000002E-2"/>
    <n v="1499"/>
    <s v="22-11-2024"/>
    <s v="Hyderabad"/>
    <x v="2"/>
    <s v="data anaytics training"/>
    <d v="2024-11-22T00:00:00"/>
    <n v="2.696132596685083E-2"/>
    <n v="1.6630327868852457"/>
    <n v="8.8213043478260857"/>
    <n v="25.361249999999998"/>
    <n v="7.3882399329686042"/>
  </r>
  <r>
    <s v="A1918"/>
    <s v="Data Analytics Course"/>
    <n v="175"/>
    <n v="4850"/>
    <n v="186.25"/>
    <n v="28"/>
    <n v="10"/>
    <n v="5.7000000000000002E-2"/>
    <n v="1978"/>
    <d v="2024-11-18T00:00:00"/>
    <s v="Hyderabad"/>
    <x v="0"/>
    <s v="analytics for data"/>
    <d v="2024-11-18T00:00:00"/>
    <n v="3.608247422680412E-2"/>
    <n v="1.0642857142857143"/>
    <n v="6.6517857142857144"/>
    <n v="18.625"/>
    <n v="10.62013422818792"/>
  </r>
  <r>
    <s v="A1919"/>
    <s v="Data Analytics Course"/>
    <n v="123"/>
    <n v="4938"/>
    <n v="180.64"/>
    <n v="24"/>
    <n v="9"/>
    <n v="7.2999999999999995E-2"/>
    <n v="1746"/>
    <s v="21-11-2024"/>
    <s v="Hyderabad"/>
    <x v="2"/>
    <s v="data analytics course"/>
    <d v="2024-11-21T00:00:00"/>
    <n v="2.490886998784933E-2"/>
    <n v="1.4686178861788617"/>
    <n v="7.5266666666666664"/>
    <n v="20.071111111111108"/>
    <n v="9.665633303808681"/>
  </r>
  <r>
    <s v="A1920"/>
    <s v="Data Analytics Course"/>
    <n v="135"/>
    <n v="5748"/>
    <n v="239.22"/>
    <n v="20"/>
    <n v="7"/>
    <n v="5.0999999999999997E-2"/>
    <n v="1222"/>
    <d v="2024-11-21T00:00:00"/>
    <s v="Hyderabad"/>
    <x v="2"/>
    <s v="analytics for data"/>
    <d v="2024-11-21T00:00:00"/>
    <n v="2.348643006263048E-2"/>
    <n v="1.772"/>
    <n v="11.961"/>
    <n v="34.174285714285716"/>
    <n v="5.1082685394197807"/>
  </r>
  <r>
    <s v="A1921"/>
    <s v="Data Analytics Course"/>
    <n v="139"/>
    <n v="4622"/>
    <n v="187.85"/>
    <n v="24"/>
    <n v="5"/>
    <n v="4.5999999999999999E-2"/>
    <n v="1998"/>
    <d v="2024-11-11T00:00:00"/>
    <s v="Hyderabad"/>
    <x v="2"/>
    <s v="analytics for data"/>
    <d v="2024-11-11T00:00:00"/>
    <n v="3.0073561228905237E-2"/>
    <n v="1.3514388489208633"/>
    <n v="7.8270833333333334"/>
    <n v="37.57"/>
    <n v="10.636145861059356"/>
  </r>
  <r>
    <s v="A1922"/>
    <s v="Data Analytics Course"/>
    <n v="90"/>
    <n v="5596"/>
    <n v="188.04"/>
    <n v="12"/>
    <n v="4"/>
    <n v="4.3999999999999997E-2"/>
    <n v="1505"/>
    <d v="2024-11-17T00:00:00"/>
    <s v="Hyderabad"/>
    <x v="1"/>
    <s v="online data analytic"/>
    <d v="2024-11-17T00:00:00"/>
    <n v="1.6082916368834882E-2"/>
    <n v="2.0893333333333333"/>
    <n v="15.67"/>
    <n v="47.01"/>
    <n v="8.0036162518613061"/>
  </r>
  <r>
    <s v="A1923"/>
    <s v="Data Analytics Course"/>
    <n v="139"/>
    <n v="5308"/>
    <n v="234.1"/>
    <n v="27"/>
    <n v="8"/>
    <n v="4.5999999999999999E-2"/>
    <n v="1150"/>
    <d v="2024-11-16T00:00:00"/>
    <s v="Hyderabad"/>
    <x v="2"/>
    <s v="analytics for data"/>
    <d v="2024-11-16T00:00:00"/>
    <n v="2.6186887716654107E-2"/>
    <n v="1.6841726618705035"/>
    <n v="8.6703703703703709"/>
    <n v="29.262499999999999"/>
    <n v="4.9124305852199912"/>
  </r>
  <r>
    <s v="A1924"/>
    <s v="Data Analytics Course"/>
    <n v="89"/>
    <n v="3069"/>
    <n v="205.37"/>
    <n v="19"/>
    <n v="6"/>
    <n v="4.5999999999999999E-2"/>
    <n v="1518"/>
    <d v="2024-11-28T00:00:00"/>
    <s v="Hyderabad"/>
    <x v="0"/>
    <s v="data analitics online"/>
    <d v="2024-11-28T00:00:00"/>
    <n v="2.8999674160964484E-2"/>
    <n v="2.3075280898876405"/>
    <n v="10.808947368421054"/>
    <n v="34.228333333333332"/>
    <n v="7.3915372254954468"/>
  </r>
  <r>
    <s v="A1925"/>
    <s v="Data Analytics Course"/>
    <n v="139"/>
    <n v="4221"/>
    <n v="180.83"/>
    <n v="24"/>
    <n v="10"/>
    <n v="3.3000000000000002E-2"/>
    <n v="1082"/>
    <d v="2024-11-13T00:00:00"/>
    <s v="Hyderabad"/>
    <x v="2"/>
    <s v="learn data analytics"/>
    <d v="2024-11-13T00:00:00"/>
    <n v="3.2930585169391138E-2"/>
    <n v="1.3009352517985613"/>
    <n v="7.5345833333333339"/>
    <n v="18.083000000000002"/>
    <n v="5.9835204335563787"/>
  </r>
  <r>
    <s v="A1926"/>
    <s v="Data Analytics Course"/>
    <n v="148"/>
    <n v="4514"/>
    <n v="203.54"/>
    <n v="23"/>
    <n v="3"/>
    <n v="4.7E-2"/>
    <n v="1622"/>
    <d v="2024-05-11T00:00:00"/>
    <s v="Hyderabad"/>
    <x v="0"/>
    <s v="data analitics online"/>
    <d v="2024-05-11T00:00:00"/>
    <n v="3.2786885245901641E-2"/>
    <n v="1.3752702702702702"/>
    <n v="8.8495652173913033"/>
    <n v="67.846666666666664"/>
    <n v="7.9689495922177462"/>
  </r>
  <r>
    <s v="A1927"/>
    <s v="Data Analytics Course"/>
    <n v="96"/>
    <n v="3468"/>
    <n v="228.41"/>
    <n v="16"/>
    <n v="9"/>
    <n v="9.4E-2"/>
    <n v="1035"/>
    <d v="2024-04-11T00:00:00"/>
    <s v="Hyderabad"/>
    <x v="0"/>
    <s v="learn data analytics"/>
    <d v="2024-04-11T00:00:00"/>
    <n v="2.768166089965398E-2"/>
    <n v="2.3792708333333334"/>
    <n v="14.275625"/>
    <n v="25.378888888888888"/>
    <n v="4.5313252484567226"/>
  </r>
  <r>
    <s v="A1928"/>
    <s v="Data Analytics Course"/>
    <n v="126"/>
    <n v="3613"/>
    <n v="208.74"/>
    <n v="18"/>
    <n v="7"/>
    <n v="4.5999999999999999E-2"/>
    <n v="1106"/>
    <d v="2024-11-06T00:00:00"/>
    <s v="Hyderabad"/>
    <x v="0"/>
    <s v="learn data analytics"/>
    <d v="2024-11-06T00:00:00"/>
    <n v="3.4874065873235535E-2"/>
    <n v="1.6566666666666667"/>
    <n v="11.596666666666668"/>
    <n v="29.82"/>
    <n v="5.2984574111334668"/>
  </r>
  <r>
    <s v="A1929"/>
    <s v="Data Analytics Course"/>
    <n v="115"/>
    <n v="3234"/>
    <n v="227.77"/>
    <n v="30"/>
    <n v="3"/>
    <n v="2.5999999999999999E-2"/>
    <n v="1272"/>
    <s v="13-11-2024"/>
    <s v="Hyderabad"/>
    <x v="2"/>
    <s v="learn data analytics"/>
    <d v="2024-11-13T00:00:00"/>
    <n v="3.5559678416821276E-2"/>
    <n v="1.980608695652174"/>
    <n v="7.5923333333333334"/>
    <n v="75.923333333333332"/>
    <n v="5.584580936910041"/>
  </r>
  <r>
    <s v="A1930"/>
    <s v="Data Analytics Course"/>
    <n v="135"/>
    <n v="5436"/>
    <n v="245.86"/>
    <n v="28"/>
    <n v="9"/>
    <n v="6.7000000000000004E-2"/>
    <n v="1453"/>
    <d v="2024-11-03T00:00:00"/>
    <s v="Hyderabad"/>
    <x v="0"/>
    <s v="data analitics online"/>
    <d v="2024-11-03T00:00:00"/>
    <n v="2.4834437086092714E-2"/>
    <n v="1.8211851851851852"/>
    <n v="8.7807142857142857"/>
    <n v="27.317777777777778"/>
    <n v="5.90986740421378"/>
  </r>
  <r>
    <s v="A1931"/>
    <s v="Data Analytics Course"/>
    <n v="158"/>
    <n v="4519"/>
    <n v="191.84"/>
    <n v="26"/>
    <n v="4"/>
    <n v="2.5000000000000001E-2"/>
    <n v="1505"/>
    <d v="2024-11-29T00:00:00"/>
    <s v="Hyderabad"/>
    <x v="0"/>
    <s v="data analitics online"/>
    <d v="2024-11-29T00:00:00"/>
    <n v="3.4963487497233901E-2"/>
    <n v="1.2141772151898735"/>
    <n v="7.3784615384615382"/>
    <n v="47.96"/>
    <n v="7.8450792326939114"/>
  </r>
  <r>
    <s v="A1932"/>
    <s v="Data Analytics Course"/>
    <n v="80"/>
    <n v="3777"/>
    <n v="199.52"/>
    <n v="12"/>
    <n v="7"/>
    <n v="4.5999999999999999E-2"/>
    <n v="1694"/>
    <d v="2024-11-22T00:00:00"/>
    <s v="Hyderabad"/>
    <x v="0"/>
    <s v="learn data analytics"/>
    <d v="2024-11-22T00:00:00"/>
    <n v="2.1180831347630394E-2"/>
    <n v="2.4940000000000002"/>
    <n v="16.626666666666669"/>
    <n v="28.502857142857145"/>
    <n v="8.4903769045709705"/>
  </r>
  <r>
    <s v="A1933"/>
    <s v="Data Analytics Course"/>
    <n v="190"/>
    <n v="3461"/>
    <n v="205.22"/>
    <n v="28"/>
    <n v="10"/>
    <n v="4.5999999999999999E-2"/>
    <n v="1616"/>
    <s v="25-11-2024"/>
    <s v="Hyderabad"/>
    <x v="1"/>
    <s v="online data analytic"/>
    <d v="2024-11-25T00:00:00"/>
    <n v="5.4897428488876049E-2"/>
    <n v="1.0801052631578947"/>
    <n v="7.3292857142857146"/>
    <n v="20.521999999999998"/>
    <n v="7.8744761719130691"/>
  </r>
  <r>
    <s v="A1934"/>
    <s v="Data Analytics Course"/>
    <n v="135"/>
    <n v="4575"/>
    <n v="241.92"/>
    <n v="10"/>
    <n v="5"/>
    <n v="4.5999999999999999E-2"/>
    <n v="1553"/>
    <s v="22-11-2024"/>
    <s v="Hyderabad"/>
    <x v="0"/>
    <s v="data analytics course"/>
    <d v="2024-11-22T00:00:00"/>
    <n v="2.9508196721311476E-2"/>
    <n v="1.7919999999999998"/>
    <n v="24.192"/>
    <n v="48.384"/>
    <n v="6.4194775132275135"/>
  </r>
  <r>
    <s v="A1935"/>
    <s v="Data Analytics Course"/>
    <n v="149"/>
    <n v="3471"/>
    <n v="242.14"/>
    <n v="23"/>
    <n v="4"/>
    <n v="2.7E-2"/>
    <n v="1937"/>
    <d v="2024-11-19T00:00:00"/>
    <s v="Hyderabad"/>
    <x v="0"/>
    <s v="data anaytics training"/>
    <d v="2024-11-19T00:00:00"/>
    <n v="4.2927110342840677E-2"/>
    <n v="1.6251006711409395"/>
    <n v="10.527826086956521"/>
    <n v="60.534999999999997"/>
    <n v="7.9995044189311972"/>
  </r>
  <r>
    <s v="A1936"/>
    <s v="Data Analytics Course"/>
    <n v="164"/>
    <n v="3115"/>
    <n v="232.62"/>
    <n v="10"/>
    <n v="7"/>
    <n v="4.5999999999999999E-2"/>
    <n v="1802"/>
    <d v="2024-04-11T00:00:00"/>
    <s v="Hyderabad"/>
    <x v="2"/>
    <s v="data analitics online"/>
    <d v="2024-04-11T00:00:00"/>
    <n v="5.264847512038523E-2"/>
    <n v="1.4184146341463415"/>
    <n v="23.262"/>
    <n v="33.231428571428573"/>
    <n v="7.7465394205141429"/>
  </r>
  <r>
    <s v="A1937"/>
    <s v="Data Analytics Course"/>
    <n v="132"/>
    <n v="5428"/>
    <n v="180.73"/>
    <n v="10"/>
    <n v="7"/>
    <n v="3.9E-2"/>
    <n v="1732"/>
    <s v="16-11-2024"/>
    <s v="Hyderabad"/>
    <x v="0"/>
    <s v="data analytics course"/>
    <d v="2024-11-16T00:00:00"/>
    <n v="2.4318349299926309E-2"/>
    <n v="1.3691666666666666"/>
    <n v="18.073"/>
    <n v="25.818571428571428"/>
    <n v="9.5833563879820733"/>
  </r>
  <r>
    <s v="A1938"/>
    <s v="Data Analytics Course"/>
    <n v="198"/>
    <n v="4499"/>
    <n v="245.24"/>
    <n v="27"/>
    <n v="7"/>
    <n v="3.5000000000000003E-2"/>
    <n v="1165"/>
    <d v="2024-11-01T00:00:00"/>
    <s v="Hyderabad"/>
    <x v="2"/>
    <s v="online data analytic"/>
    <d v="2024-11-01T00:00:00"/>
    <n v="4.4009779951100246E-2"/>
    <n v="1.2385858585858587"/>
    <n v="9.0829629629629629"/>
    <n v="35.034285714285716"/>
    <n v="4.7504485402055128"/>
  </r>
  <r>
    <s v="A1939"/>
    <s v="Data Analytics Course"/>
    <n v="153"/>
    <n v="3285"/>
    <n v="226.26"/>
    <n v="12"/>
    <n v="7"/>
    <n v="4.5999999999999999E-2"/>
    <n v="1838"/>
    <d v="2024-11-21T00:00:00"/>
    <s v="Hyderabad"/>
    <x v="0"/>
    <s v="online data analytic"/>
    <d v="2024-11-21T00:00:00"/>
    <n v="4.6575342465753428E-2"/>
    <n v="1.4788235294117646"/>
    <n v="18.855"/>
    <n v="32.322857142857139"/>
    <n v="8.1233978608680282"/>
  </r>
  <r>
    <s v="A1940"/>
    <s v="Data Analytics Course"/>
    <n v="142"/>
    <n v="3431"/>
    <n v="235.09"/>
    <n v="19"/>
    <n v="7"/>
    <n v="4.5999999999999999E-2"/>
    <n v="1334"/>
    <d v="2024-11-08T00:00:00"/>
    <s v="Hyderabad"/>
    <x v="0"/>
    <s v="data analitics online"/>
    <d v="2024-11-08T00:00:00"/>
    <n v="4.1387350626639466E-2"/>
    <n v="1.6555633802816903"/>
    <n v="12.373157894736842"/>
    <n v="33.584285714285713"/>
    <n v="5.6744225615721637"/>
  </r>
  <r>
    <s v="A1941"/>
    <s v="Data Analytics Course"/>
    <n v="91"/>
    <n v="4600"/>
    <n v="194.14"/>
    <n v="19"/>
    <n v="7"/>
    <n v="7.6999999999999999E-2"/>
    <n v="1255"/>
    <d v="2024-11-19T00:00:00"/>
    <s v="Hyderabad"/>
    <x v="1"/>
    <s v="data analitics online"/>
    <d v="2024-11-19T00:00:00"/>
    <n v="1.9782608695652175E-2"/>
    <n v="2.1334065934065931"/>
    <n v="10.217894736842105"/>
    <n v="27.734285714285711"/>
    <n v="6.4644071288760694"/>
  </r>
  <r>
    <s v="A1942"/>
    <s v="Data Analytics Course"/>
    <n v="154"/>
    <n v="4804"/>
    <n v="190.98"/>
    <n v="21"/>
    <n v="3"/>
    <n v="1.9E-2"/>
    <n v="1521"/>
    <s v="23-11-2024"/>
    <s v="Hyderabad"/>
    <x v="0"/>
    <s v="data anaytics training"/>
    <d v="2024-11-23T00:00:00"/>
    <n v="3.2056619483763531E-2"/>
    <n v="1.24012987012987"/>
    <n v="9.0942857142857143"/>
    <n v="63.66"/>
    <n v="7.9641847313854859"/>
  </r>
  <r>
    <s v="A1943"/>
    <s v="Data Analytics Course"/>
    <n v="115"/>
    <n v="5472"/>
    <n v="230.29"/>
    <n v="26"/>
    <n v="4"/>
    <n v="4.5999999999999999E-2"/>
    <n v="1275"/>
    <d v="2024-11-07T00:00:00"/>
    <s v="Hyderabad"/>
    <x v="1"/>
    <s v="learn data analytics"/>
    <d v="2024-11-07T00:00:00"/>
    <n v="2.101608187134503E-2"/>
    <n v="2.0025217391304349"/>
    <n v="8.8573076923076925"/>
    <n v="57.572499999999998"/>
    <n v="5.5364974597246954"/>
  </r>
  <r>
    <s v="A1944"/>
    <s v="Data Analytics Course"/>
    <n v="86"/>
    <n v="5493"/>
    <n v="191.28"/>
    <n v="18"/>
    <n v="9"/>
    <n v="0.105"/>
    <n v="1204"/>
    <d v="2024-11-20T00:00:00"/>
    <s v="Hyderabad"/>
    <x v="2"/>
    <s v="data analytics course"/>
    <d v="2024-11-20T00:00:00"/>
    <n v="1.5656289823411614E-2"/>
    <n v="2.2241860465116279"/>
    <n v="10.626666666666667"/>
    <n v="21.253333333333334"/>
    <n v="6.2944374738603095"/>
  </r>
  <r>
    <s v="A1945"/>
    <s v="Data Analytics Course"/>
    <n v="116"/>
    <n v="3188"/>
    <n v="238.62"/>
    <n v="15"/>
    <n v="10"/>
    <n v="8.5999999999999993E-2"/>
    <n v="1429"/>
    <s v="14-11-2024"/>
    <s v="Hyderabad"/>
    <x v="2"/>
    <s v="online data analytic"/>
    <d v="2024-11-14T00:00:00"/>
    <n v="3.6386449184441658E-2"/>
    <n v="2.0570689655172414"/>
    <n v="15.907999999999999"/>
    <n v="23.862000000000002"/>
    <n v="5.9886011231246332"/>
  </r>
  <r>
    <s v="A1946"/>
    <s v="Data Analytics Course"/>
    <n v="144"/>
    <n v="3579"/>
    <n v="237.97"/>
    <n v="21"/>
    <n v="10"/>
    <n v="6.9000000000000006E-2"/>
    <n v="1155"/>
    <d v="2024-11-02T00:00:00"/>
    <s v="Hyderabad"/>
    <x v="0"/>
    <s v="data analytics course"/>
    <d v="2024-11-02T00:00:00"/>
    <n v="4.0234702430846606E-2"/>
    <n v="1.6525694444444445"/>
    <n v="11.331904761904761"/>
    <n v="23.797000000000001"/>
    <n v="4.8535529688616208"/>
  </r>
  <r>
    <s v="A1947"/>
    <s v="Data Analytics Course"/>
    <n v="101"/>
    <n v="4198"/>
    <n v="204.09"/>
    <n v="30"/>
    <n v="10"/>
    <n v="9.9000000000000005E-2"/>
    <n v="1642"/>
    <d v="2024-11-21T00:00:00"/>
    <s v="Hyderabad"/>
    <x v="0"/>
    <s v="data anaytics training"/>
    <d v="2024-11-21T00:00:00"/>
    <n v="2.4059075750357314E-2"/>
    <n v="2.0206930693069309"/>
    <n v="6.8029999999999999"/>
    <n v="20.408999999999999"/>
    <n v="8.045470135724436"/>
  </r>
  <r>
    <s v="A1948"/>
    <s v="Data Analytics Course"/>
    <n v="116"/>
    <n v="4224"/>
    <n v="245.99"/>
    <n v="10"/>
    <n v="5"/>
    <n v="4.5999999999999999E-2"/>
    <n v="1054"/>
    <d v="2024-11-05T00:00:00"/>
    <s v="Hyderabad"/>
    <x v="2"/>
    <s v="data analitics online"/>
    <d v="2024-11-05T00:00:00"/>
    <n v="2.7462121212121212E-2"/>
    <n v="2.1206034482758622"/>
    <n v="24.599"/>
    <n v="49.198"/>
    <n v="4.2847270214236346"/>
  </r>
  <r>
    <s v="A1949"/>
    <s v="Data Analytics Course"/>
    <n v="187"/>
    <n v="3199"/>
    <n v="193.29"/>
    <n v="24"/>
    <n v="6"/>
    <n v="3.2000000000000001E-2"/>
    <n v="1430"/>
    <d v="2024-11-20T00:00:00"/>
    <s v="Hyderabad"/>
    <x v="2"/>
    <s v="online data analytic"/>
    <d v="2024-11-20T00:00:00"/>
    <n v="5.8455767427321038E-2"/>
    <n v="1.0336363636363637"/>
    <n v="8.0537499999999991"/>
    <n v="32.214999999999996"/>
    <n v="7.39820994360805"/>
  </r>
  <r>
    <s v="A1950"/>
    <s v="Data Analytics Course"/>
    <n v="114"/>
    <n v="4333"/>
    <n v="192.81"/>
    <n v="26"/>
    <n v="6"/>
    <n v="5.2999999999999999E-2"/>
    <n v="1722"/>
    <d v="2024-08-11T00:00:00"/>
    <s v="Hyderabad"/>
    <x v="2"/>
    <s v="data anaytics training"/>
    <d v="2024-08-11T00:00:00"/>
    <n v="2.6309716132010153E-2"/>
    <n v="1.6913157894736843"/>
    <n v="7.4157692307692304"/>
    <n v="32.134999999999998"/>
    <n v="8.9310720398319585"/>
  </r>
  <r>
    <s v="A1951"/>
    <s v="Data Analytics Course"/>
    <n v="141"/>
    <n v="3617"/>
    <n v="198.52"/>
    <n v="20"/>
    <n v="9"/>
    <n v="4.5999999999999999E-2"/>
    <n v="1858"/>
    <s v="21-11-2024"/>
    <s v="Hyderabad"/>
    <x v="0"/>
    <s v="data analytics course"/>
    <d v="2024-11-21T00:00:00"/>
    <n v="3.8982582250483823E-2"/>
    <n v="1.4079432624113475"/>
    <n v="9.9260000000000002"/>
    <n v="22.05777777777778"/>
    <n v="9.3592585129961705"/>
  </r>
  <r>
    <s v="A1952"/>
    <s v="Data Analytics Course"/>
    <n v="167"/>
    <n v="5588"/>
    <n v="181.95"/>
    <n v="18"/>
    <n v="9"/>
    <n v="3.5000000000000003E-2"/>
    <n v="1505"/>
    <d v="2024-11-23T00:00:00"/>
    <s v="Hyderabad"/>
    <x v="2"/>
    <s v="data anaytics training"/>
    <d v="2024-11-23T00:00:00"/>
    <n v="2.9885468861846815E-2"/>
    <n v="1.0895209580838323"/>
    <n v="10.108333333333333"/>
    <n v="20.216666666666665"/>
    <n v="8.2715031602088498"/>
  </r>
  <r>
    <s v="A1953"/>
    <s v="Data Analytics Course"/>
    <n v="186"/>
    <n v="4689"/>
    <n v="204.31"/>
    <n v="26"/>
    <n v="6"/>
    <n v="3.2000000000000001E-2"/>
    <n v="1936"/>
    <d v="2024-11-21T00:00:00"/>
    <s v="Hyderabad"/>
    <x v="0"/>
    <s v="data analitics online"/>
    <d v="2024-11-21T00:00:00"/>
    <n v="3.9667306461932179E-2"/>
    <n v="1.0984408602150537"/>
    <n v="7.858076923076923"/>
    <n v="34.051666666666669"/>
    <n v="9.475796583622925"/>
  </r>
  <r>
    <s v="A1954"/>
    <s v="Data Analytics Course"/>
    <n v="139"/>
    <n v="4846"/>
    <n v="206.4"/>
    <n v="21"/>
    <n v="7"/>
    <n v="4.5999999999999999E-2"/>
    <n v="1526"/>
    <s v="28-11-2024"/>
    <s v="Hyderabad"/>
    <x v="1"/>
    <s v="data analitics online"/>
    <d v="2024-11-28T00:00:00"/>
    <n v="2.8683450268262484E-2"/>
    <n v="1.4848920863309354"/>
    <n v="9.8285714285714292"/>
    <n v="29.485714285714288"/>
    <n v="7.3934108527131777"/>
  </r>
  <r>
    <s v="A1955"/>
    <s v="Data Analytics Course"/>
    <n v="136"/>
    <n v="3441"/>
    <n v="236.21"/>
    <n v="26"/>
    <n v="9"/>
    <n v="4.5999999999999999E-2"/>
    <n v="1461"/>
    <d v="2024-11-15T00:00:00"/>
    <s v="Hyderabad"/>
    <x v="0"/>
    <s v="learn data analytics"/>
    <d v="2024-11-15T00:00:00"/>
    <n v="3.9523394362104038E-2"/>
    <n v="1.7368382352941176"/>
    <n v="9.0850000000000009"/>
    <n v="26.245555555555555"/>
    <n v="6.1851742093899498"/>
  </r>
  <r>
    <s v="A1956"/>
    <s v="Data Analytics Course"/>
    <n v="185"/>
    <n v="3719"/>
    <n v="245.91"/>
    <n v="17"/>
    <n v="9"/>
    <n v="4.9000000000000002E-2"/>
    <n v="1218"/>
    <d v="2024-11-09T00:00:00"/>
    <s v="Hyderabad"/>
    <x v="1"/>
    <s v="online data analytic"/>
    <d v="2024-11-09T00:00:00"/>
    <n v="4.9744554987899973E-2"/>
    <n v="1.3292432432432433"/>
    <n v="14.465294117647058"/>
    <n v="27.323333333333334"/>
    <n v="4.9530315969257046"/>
  </r>
  <r>
    <s v="A1957"/>
    <s v="Data Analytics Course"/>
    <n v="162"/>
    <n v="3337"/>
    <n v="200.94"/>
    <n v="11"/>
    <n v="9"/>
    <n v="5.6000000000000001E-2"/>
    <n v="1820"/>
    <d v="2024-11-16T00:00:00"/>
    <s v="Hyderabad"/>
    <x v="1"/>
    <s v="data analytics course"/>
    <d v="2024-11-16T00:00:00"/>
    <n v="4.8546598741384478E-2"/>
    <n v="1.2403703703703703"/>
    <n v="18.267272727272726"/>
    <n v="22.326666666666668"/>
    <n v="9.0574300786304374"/>
  </r>
  <r>
    <s v="A1958"/>
    <s v="Data Analytics Course"/>
    <n v="91"/>
    <n v="3694"/>
    <n v="234.02"/>
    <n v="23"/>
    <n v="5"/>
    <n v="5.5E-2"/>
    <n v="1505"/>
    <d v="2024-11-24T00:00:00"/>
    <s v="Hyderabad"/>
    <x v="0"/>
    <s v="online data analytic"/>
    <d v="2024-11-24T00:00:00"/>
    <n v="2.4634542501353548E-2"/>
    <n v="2.5716483516483519"/>
    <n v="10.174782608695653"/>
    <n v="46.804000000000002"/>
    <n v="6.431074267156653"/>
  </r>
  <r>
    <s v="A1959"/>
    <s v="Data Analytics Course"/>
    <n v="109"/>
    <n v="5641"/>
    <n v="224.36"/>
    <n v="30"/>
    <n v="4"/>
    <n v="3.6999999999999998E-2"/>
    <n v="1531"/>
    <s v="13-11-2024"/>
    <s v="Hyderabad"/>
    <x v="2"/>
    <s v="analytics for data"/>
    <d v="2024-11-13T00:00:00"/>
    <n v="1.9322815103705017E-2"/>
    <n v="2.0583486238532109"/>
    <n v="7.4786666666666672"/>
    <n v="56.09"/>
    <n v="6.8238545195221958"/>
  </r>
  <r>
    <s v="A1960"/>
    <s v="Data Analytics Course"/>
    <n v="88"/>
    <n v="3992"/>
    <n v="195.38"/>
    <n v="14"/>
    <n v="4"/>
    <n v="4.5999999999999999E-2"/>
    <n v="1228"/>
    <d v="2024-11-15T00:00:00"/>
    <s v="Hyderabad"/>
    <x v="0"/>
    <s v="data analytics course"/>
    <d v="2024-11-15T00:00:00"/>
    <n v="2.2044088176352707E-2"/>
    <n v="2.2202272727272727"/>
    <n v="13.955714285714285"/>
    <n v="48.844999999999999"/>
    <n v="6.2851878390828135"/>
  </r>
  <r>
    <s v="A1961"/>
    <s v="Data Analytics Course"/>
    <n v="189"/>
    <n v="3411"/>
    <n v="205.26"/>
    <n v="28"/>
    <n v="7"/>
    <n v="4.5999999999999999E-2"/>
    <n v="1147"/>
    <s v="27-11-2024"/>
    <s v="Hyderabad"/>
    <x v="0"/>
    <s v="analytics for data"/>
    <d v="2024-11-27T00:00:00"/>
    <n v="5.5408970976253295E-2"/>
    <n v="1.0860317460317459"/>
    <n v="7.3307142857142855"/>
    <n v="29.322857142857142"/>
    <n v="5.5880346877131446"/>
  </r>
  <r>
    <s v="A1962"/>
    <s v="Data Analytics Course"/>
    <n v="154"/>
    <n v="3099"/>
    <n v="218.7"/>
    <n v="30"/>
    <n v="6"/>
    <n v="3.9E-2"/>
    <n v="1366"/>
    <d v="2024-10-11T00:00:00"/>
    <s v="Hyderabad"/>
    <x v="0"/>
    <s v="data analitics online"/>
    <d v="2024-10-11T00:00:00"/>
    <n v="4.9693449499838657E-2"/>
    <n v="1.4201298701298701"/>
    <n v="7.29"/>
    <n v="36.449999999999996"/>
    <n v="6.2459990855052583"/>
  </r>
  <r>
    <s v="A1963"/>
    <s v="Data Analytics Course"/>
    <n v="106"/>
    <n v="3017"/>
    <n v="242.71"/>
    <n v="24"/>
    <n v="5"/>
    <n v="0.03"/>
    <n v="1701"/>
    <d v="2024-11-04T00:00:00"/>
    <s v="Hyderabad"/>
    <x v="1"/>
    <s v="learn data analytics"/>
    <d v="2024-11-04T00:00:00"/>
    <n v="3.5134239310573419E-2"/>
    <n v="2.2897169811320754"/>
    <n v="10.112916666666667"/>
    <n v="48.542000000000002"/>
    <n v="7.008363891063409"/>
  </r>
  <r>
    <s v="A1964"/>
    <s v="Data Analytics Course"/>
    <n v="134"/>
    <n v="4518.5"/>
    <n v="202.32"/>
    <n v="17"/>
    <n v="5"/>
    <n v="5.7000000000000002E-2"/>
    <n v="1963"/>
    <d v="2024-11-23T00:00:00"/>
    <s v="Hyderabad"/>
    <x v="2"/>
    <s v="data anaytics training"/>
    <d v="2024-11-23T00:00:00"/>
    <n v="2.9655859245324778E-2"/>
    <n v="1.5098507462686566"/>
    <n v="11.901176470588235"/>
    <n v="40.463999999999999"/>
    <n v="9.7024515618821674"/>
  </r>
  <r>
    <s v="A1965"/>
    <s v="Data Analytics Course"/>
    <n v="84"/>
    <n v="5662"/>
    <n v="228.62"/>
    <n v="25"/>
    <n v="9"/>
    <n v="0.107"/>
    <n v="1988"/>
    <s v="26-11-2024"/>
    <s v="Hyderabad"/>
    <x v="0"/>
    <s v="analytics for data"/>
    <d v="2024-11-26T00:00:00"/>
    <n v="1.4835747085835394E-2"/>
    <n v="2.7216666666666667"/>
    <n v="9.1448"/>
    <n v="25.402222222222221"/>
    <n v="8.695652173913043"/>
  </r>
  <r>
    <s v="A1966"/>
    <s v="Data Analytics Course"/>
    <n v="190"/>
    <n v="4476"/>
    <n v="198.18"/>
    <n v="12"/>
    <n v="4"/>
    <n v="4.5999999999999999E-2"/>
    <n v="1002"/>
    <d v="2024-11-07T00:00:00"/>
    <s v="Hyderabad"/>
    <x v="0"/>
    <s v="data analitics online"/>
    <d v="2024-11-07T00:00:00"/>
    <n v="4.2448614834673819E-2"/>
    <n v="1.0430526315789475"/>
    <n v="16.515000000000001"/>
    <n v="49.545000000000002"/>
    <n v="5.0560096881622769"/>
  </r>
  <r>
    <s v="A1967"/>
    <s v="Data Analytics Course"/>
    <n v="156"/>
    <n v="4771"/>
    <n v="199.3"/>
    <n v="26"/>
    <n v="8"/>
    <n v="5.0999999999999997E-2"/>
    <n v="1823"/>
    <d v="2024-11-04T00:00:00"/>
    <s v="Hyderabad"/>
    <x v="2"/>
    <s v="data analitics online"/>
    <d v="2024-11-04T00:00:00"/>
    <n v="3.2697547683923703E-2"/>
    <n v="1.2775641025641027"/>
    <n v="7.6653846153846157"/>
    <n v="24.912500000000001"/>
    <n v="9.1470145509282492"/>
  </r>
  <r>
    <s v="A1968"/>
    <s v="Data Analytics Course"/>
    <n v="139"/>
    <n v="5510"/>
    <n v="198.92"/>
    <n v="23"/>
    <n v="9"/>
    <n v="4.5999999999999999E-2"/>
    <n v="1063"/>
    <d v="2024-11-14T00:00:00"/>
    <s v="Hyderabad"/>
    <x v="0"/>
    <s v="data analytics course"/>
    <d v="2024-11-14T00:00:00"/>
    <n v="2.5226860254083484E-2"/>
    <n v="1.4310791366906475"/>
    <n v="8.6486956521739131"/>
    <n v="22.10222222222222"/>
    <n v="5.3438568268650721"/>
  </r>
  <r>
    <s v="A1969"/>
    <s v="Data Analytics Course"/>
    <n v="170"/>
    <n v="4786"/>
    <n v="202.62"/>
    <n v="27"/>
    <n v="6"/>
    <n v="0.04"/>
    <n v="1372"/>
    <d v="2024-11-04T00:00:00"/>
    <s v="Hyderabad"/>
    <x v="1"/>
    <s v="data anaytics training"/>
    <d v="2024-11-04T00:00:00"/>
    <n v="3.55202674467196E-2"/>
    <n v="1.1918823529411764"/>
    <n v="7.5044444444444443"/>
    <n v="33.770000000000003"/>
    <n v="6.771296022110354"/>
  </r>
  <r>
    <s v="A1970"/>
    <s v="Data Analytics Course"/>
    <n v="86"/>
    <n v="3964"/>
    <n v="193.15"/>
    <n v="26"/>
    <n v="5"/>
    <n v="4.4999999999999998E-2"/>
    <n v="1639"/>
    <s v="23-11-2024"/>
    <s v="Hyderabad"/>
    <x v="0"/>
    <s v="learn data analytics"/>
    <d v="2024-11-23T00:00:00"/>
    <n v="2.1695257315842584E-2"/>
    <n v="2.2459302325581394"/>
    <n v="7.4288461538461537"/>
    <n v="38.630000000000003"/>
    <n v="8.48563292777634"/>
  </r>
  <r>
    <s v="A1971"/>
    <s v="Data Analytics Course"/>
    <n v="143"/>
    <n v="5317"/>
    <n v="236.37"/>
    <n v="10"/>
    <n v="3"/>
    <n v="4.5999999999999999E-2"/>
    <n v="1861"/>
    <s v="16-11-2024"/>
    <s v="Hyderabad"/>
    <x v="2"/>
    <s v="data analitics online"/>
    <d v="2024-11-16T00:00:00"/>
    <n v="2.6894865525672371E-2"/>
    <n v="1.652937062937063"/>
    <n v="23.637"/>
    <n v="78.790000000000006"/>
    <n v="7.8732495663578286"/>
  </r>
  <r>
    <s v="A1972"/>
    <s v="Data Analytics Course"/>
    <n v="84"/>
    <n v="3454"/>
    <n v="206.8"/>
    <n v="23"/>
    <n v="3"/>
    <n v="3.5999999999999997E-2"/>
    <n v="1573"/>
    <d v="2024-11-17T00:00:00"/>
    <s v="Hyderabad"/>
    <x v="0"/>
    <s v="learn data analytics"/>
    <d v="2024-11-17T00:00:00"/>
    <n v="2.4319629415170817E-2"/>
    <n v="2.461904761904762"/>
    <n v="8.9913043478260875"/>
    <n v="68.933333333333337"/>
    <n v="7.6063829787234036"/>
  </r>
  <r>
    <s v="A1973"/>
    <s v="Data Analytics Course"/>
    <n v="145"/>
    <n v="3804"/>
    <n v="236.92"/>
    <n v="29"/>
    <n v="8"/>
    <n v="4.5999999999999999E-2"/>
    <n v="1328"/>
    <d v="2024-11-23T00:00:00"/>
    <s v="Hyderabad"/>
    <x v="2"/>
    <s v="data analytics course"/>
    <d v="2024-11-23T00:00:00"/>
    <n v="3.8117770767613038E-2"/>
    <n v="1.6339310344827584"/>
    <n v="8.1696551724137922"/>
    <n v="29.614999999999998"/>
    <n v="5.6052676008779336"/>
  </r>
  <r>
    <s v="A1974"/>
    <s v="Data Analytics Course"/>
    <n v="126"/>
    <n v="4670"/>
    <n v="234.65"/>
    <n v="25"/>
    <n v="8"/>
    <n v="4.5999999999999999E-2"/>
    <n v="1470"/>
    <d v="2024-11-23T00:00:00"/>
    <s v="Hyderabad"/>
    <x v="0"/>
    <s v="online data analytic"/>
    <d v="2024-11-23T00:00:00"/>
    <n v="2.6980728051391862E-2"/>
    <n v="1.8623015873015873"/>
    <n v="9.386000000000001"/>
    <n v="29.331250000000001"/>
    <n v="6.264649477945877"/>
  </r>
  <r>
    <s v="A1975"/>
    <s v="Data Analytics Course"/>
    <n v="156"/>
    <n v="3273"/>
    <n v="189.36"/>
    <n v="14"/>
    <n v="6"/>
    <n v="3.7999999999999999E-2"/>
    <n v="1860"/>
    <d v="2024-11-15T00:00:00"/>
    <s v="Hyderabad"/>
    <x v="1"/>
    <s v="data analitics online"/>
    <d v="2024-11-15T00:00:00"/>
    <n v="4.7662694775435381E-2"/>
    <n v="1.213846153846154"/>
    <n v="13.525714285714287"/>
    <n v="31.560000000000002"/>
    <n v="9.8225602027883383"/>
  </r>
  <r>
    <s v="A1976"/>
    <s v="Data Analytics Course"/>
    <n v="124"/>
    <n v="4236"/>
    <n v="182.02"/>
    <n v="20"/>
    <n v="9"/>
    <n v="7.2999999999999995E-2"/>
    <n v="1979"/>
    <s v="22-11-2024"/>
    <s v="Hyderabad"/>
    <x v="0"/>
    <s v="data anaytics training"/>
    <d v="2024-11-22T00:00:00"/>
    <n v="2.9272898961284231E-2"/>
    <n v="1.4679032258064517"/>
    <n v="9.1010000000000009"/>
    <n v="20.224444444444444"/>
    <n v="10.872431600922974"/>
  </r>
  <r>
    <s v="A1977"/>
    <s v="Data Analytics Course"/>
    <n v="197"/>
    <n v="5866"/>
    <n v="217.81"/>
    <n v="28"/>
    <n v="7"/>
    <n v="3.5999999999999997E-2"/>
    <n v="1331"/>
    <s v="18-11-2024"/>
    <s v="Hyderabad"/>
    <x v="1"/>
    <s v="learn data analytics"/>
    <d v="2024-11-18T00:00:00"/>
    <n v="3.3583361745652913E-2"/>
    <n v="1.1056345177664975"/>
    <n v="7.7789285714285716"/>
    <n v="31.115714285714287"/>
    <n v="6.1108305403792293"/>
  </r>
  <r>
    <s v="A1978"/>
    <s v="Data Analytics Course"/>
    <n v="106"/>
    <n v="3102"/>
    <n v="214.56"/>
    <n v="12"/>
    <n v="7"/>
    <n v="4.5999999999999999E-2"/>
    <n v="1881"/>
    <d v="2024-11-25T00:00:00"/>
    <s v="Hyderabad"/>
    <x v="1"/>
    <s v="learn data analytics"/>
    <d v="2024-11-25T00:00:00"/>
    <n v="3.4171502256608637E-2"/>
    <n v="2.0241509433962266"/>
    <n v="17.88"/>
    <n v="30.651428571428571"/>
    <n v="8.7667785234899327"/>
  </r>
  <r>
    <s v="A1979"/>
    <s v="Data Analytics Course"/>
    <n v="129"/>
    <n v="4856"/>
    <n v="230.13"/>
    <n v="23"/>
    <n v="7"/>
    <n v="5.3999999999999999E-2"/>
    <n v="1720"/>
    <s v="25-11-2024"/>
    <s v="Hyderabad"/>
    <x v="2"/>
    <s v="learn data analytics"/>
    <d v="2024-11-25T00:00:00"/>
    <n v="2.656507413509061E-2"/>
    <n v="1.7839534883720929"/>
    <n v="10.005652173913044"/>
    <n v="32.875714285714288"/>
    <n v="7.4740364142006692"/>
  </r>
  <r>
    <s v="A1980"/>
    <s v="Data Analytics Course"/>
    <n v="93"/>
    <n v="4054"/>
    <n v="244.73"/>
    <n v="11"/>
    <n v="8"/>
    <n v="8.5999999999999993E-2"/>
    <n v="1066"/>
    <d v="2024-11-24T00:00:00"/>
    <s v="Hyderabad"/>
    <x v="0"/>
    <s v="online data analytic"/>
    <d v="2024-11-24T00:00:00"/>
    <n v="2.2940305870744943E-2"/>
    <n v="2.6315053763440859"/>
    <n v="22.248181818181816"/>
    <n v="30.591249999999999"/>
    <n v="4.3558207003636662"/>
  </r>
  <r>
    <s v="A1981"/>
    <s v="Data Analytics Course"/>
    <n v="96"/>
    <n v="4074"/>
    <n v="219.66"/>
    <n v="16"/>
    <n v="8"/>
    <n v="8.3000000000000004E-2"/>
    <n v="1505"/>
    <d v="2024-07-11T00:00:00"/>
    <s v="Hyderabad"/>
    <x v="2"/>
    <s v="data analitics online"/>
    <d v="2024-07-11T00:00:00"/>
    <n v="2.3564064801178203E-2"/>
    <n v="2.288125"/>
    <n v="13.72875"/>
    <n v="27.4575"/>
    <n v="6.8514977692797965"/>
  </r>
  <r>
    <s v="A1982"/>
    <s v="Data Analytics Course"/>
    <n v="135"/>
    <n v="4430"/>
    <n v="196.18"/>
    <n v="12"/>
    <n v="9"/>
    <n v="6.7000000000000004E-2"/>
    <n v="1374"/>
    <d v="2024-11-08T00:00:00"/>
    <s v="Hyderabad"/>
    <x v="1"/>
    <s v="analytics for data"/>
    <d v="2024-11-08T00:00:00"/>
    <n v="3.0474040632054177E-2"/>
    <n v="1.4531851851851851"/>
    <n v="16.348333333333333"/>
    <n v="21.797777777777778"/>
    <n v="7.0037720460801305"/>
  </r>
  <r>
    <s v="A1983"/>
    <s v="Data Analytics Course"/>
    <n v="138"/>
    <n v="5356"/>
    <n v="204.86"/>
    <n v="15"/>
    <n v="9"/>
    <n v="6.5000000000000002E-2"/>
    <n v="1268"/>
    <d v="2024-11-22T00:00:00"/>
    <s v="Hyderabad"/>
    <x v="1"/>
    <s v="online data analytic"/>
    <d v="2024-11-22T00:00:00"/>
    <n v="2.5765496639283045E-2"/>
    <n v="1.4844927536231884"/>
    <n v="13.657333333333334"/>
    <n v="22.762222222222224"/>
    <n v="6.1895928927072141"/>
  </r>
  <r>
    <s v="A1984"/>
    <s v="Data Analytics Course"/>
    <n v="92"/>
    <n v="4898"/>
    <n v="247.49"/>
    <n v="19"/>
    <n v="7"/>
    <n v="4.5999999999999999E-2"/>
    <n v="1969"/>
    <d v="2024-11-07T00:00:00"/>
    <s v="Hyderabad"/>
    <x v="0"/>
    <s v="data anaytics training"/>
    <d v="2024-11-07T00:00:00"/>
    <n v="1.8783176806859942E-2"/>
    <n v="2.690108695652174"/>
    <n v="13.025789473684211"/>
    <n v="35.355714285714285"/>
    <n v="7.9558770051315202"/>
  </r>
  <r>
    <s v="A1985"/>
    <s v="Data Analytics Course"/>
    <n v="151"/>
    <n v="5301"/>
    <n v="232.06"/>
    <n v="13"/>
    <n v="9"/>
    <n v="0.06"/>
    <n v="1893"/>
    <d v="2024-11-05T00:00:00"/>
    <s v="Hyderabad"/>
    <x v="1"/>
    <s v="data analitics online"/>
    <d v="2024-11-05T00:00:00"/>
    <n v="2.8485191473306925E-2"/>
    <n v="1.5368211920529802"/>
    <n v="17.850769230769231"/>
    <n v="25.784444444444446"/>
    <n v="8.1573730931655604"/>
  </r>
  <r>
    <s v="A1986"/>
    <s v="Data Analytics Course"/>
    <n v="189"/>
    <n v="3031"/>
    <n v="209.84"/>
    <n v="25"/>
    <n v="6"/>
    <n v="3.2000000000000001E-2"/>
    <n v="1936"/>
    <d v="2024-11-26T00:00:00"/>
    <s v="Hyderabad"/>
    <x v="2"/>
    <s v="online data analytic"/>
    <d v="2024-11-26T00:00:00"/>
    <n v="6.2355658198614321E-2"/>
    <n v="1.1102645502645503"/>
    <n v="8.3935999999999993"/>
    <n v="34.973333333333336"/>
    <n v="9.2260770110560433"/>
  </r>
  <r>
    <s v="A1987"/>
    <s v="Data Analytics Course"/>
    <n v="97"/>
    <n v="3410"/>
    <n v="180.52"/>
    <n v="24"/>
    <n v="7"/>
    <n v="4.5999999999999999E-2"/>
    <n v="1532"/>
    <d v="2024-07-11T00:00:00"/>
    <s v="Hyderabad"/>
    <x v="2"/>
    <s v="analytics for data"/>
    <d v="2024-07-11T00:00:00"/>
    <n v="2.8445747800586511E-2"/>
    <n v="1.8610309278350516"/>
    <n v="7.5216666666666674"/>
    <n v="25.78857142857143"/>
    <n v="8.486594283181919"/>
  </r>
  <r>
    <s v="A1988"/>
    <s v="Data Analytics Course"/>
    <n v="178"/>
    <n v="4745"/>
    <n v="200.61"/>
    <n v="12"/>
    <n v="9"/>
    <n v="5.0999999999999997E-2"/>
    <n v="1574"/>
    <d v="2024-11-18T00:00:00"/>
    <s v="Hyderabad"/>
    <x v="0"/>
    <s v="learn data analytics"/>
    <d v="2024-11-18T00:00:00"/>
    <n v="3.7513171759747103E-2"/>
    <n v="1.1270224719101125"/>
    <n v="16.717500000000001"/>
    <n v="22.290000000000003"/>
    <n v="7.8460694880614126"/>
  </r>
  <r>
    <s v="A1989"/>
    <s v="Data Analytics Course"/>
    <n v="164"/>
    <n v="3024"/>
    <n v="192.34"/>
    <n v="12"/>
    <n v="8"/>
    <n v="4.9000000000000002E-2"/>
    <n v="1997"/>
    <d v="2024-11-07T00:00:00"/>
    <s v="Hyderabad"/>
    <x v="0"/>
    <s v="data analytics course"/>
    <d v="2024-11-07T00:00:00"/>
    <n v="5.423280423280423E-2"/>
    <n v="1.1728048780487805"/>
    <n v="16.028333333333332"/>
    <n v="24.0425"/>
    <n v="10.382655713840075"/>
  </r>
  <r>
    <s v="A1990"/>
    <s v="Data Analytics Course"/>
    <n v="94"/>
    <n v="5435"/>
    <n v="231.42"/>
    <n v="21"/>
    <n v="5"/>
    <n v="5.6000000000000001E-2"/>
    <n v="1114"/>
    <d v="2024-11-03T00:00:00"/>
    <s v="Hyderabad"/>
    <x v="0"/>
    <s v="data analitics online"/>
    <d v="2024-11-03T00:00:00"/>
    <n v="1.7295308187672494E-2"/>
    <n v="2.461914893617021"/>
    <n v="11.02"/>
    <n v="46.283999999999999"/>
    <n v="4.8137585342667011"/>
  </r>
  <r>
    <s v="A1991"/>
    <s v="Data Analytics Course"/>
    <n v="176"/>
    <n v="3021"/>
    <n v="204.53"/>
    <n v="29"/>
    <n v="7"/>
    <n v="0.03"/>
    <n v="1620"/>
    <d v="2024-11-13T00:00:00"/>
    <s v="Hyderabad"/>
    <x v="2"/>
    <s v="online data analytic"/>
    <d v="2024-11-13T00:00:00"/>
    <n v="5.8258854683879507E-2"/>
    <n v="1.1621022727272727"/>
    <n v="7.0527586206896551"/>
    <n v="29.21857142857143"/>
    <n v="7.9205984452158607"/>
  </r>
  <r>
    <s v="A1992"/>
    <s v="Data Analytics Course"/>
    <n v="165"/>
    <n v="5335"/>
    <n v="192.53"/>
    <n v="23"/>
    <n v="5"/>
    <n v="0.03"/>
    <n v="1402"/>
    <d v="2024-12-11T00:00:00"/>
    <s v="Hyderabad"/>
    <x v="1"/>
    <s v="data anaytics training"/>
    <d v="2024-12-11T00:00:00"/>
    <n v="3.0927835051546393E-2"/>
    <n v="1.1668484848484848"/>
    <n v="8.3708695652173919"/>
    <n v="38.506"/>
    <n v="7.2819820287747365"/>
  </r>
  <r>
    <s v="A1993"/>
    <s v="Data Analytics Course"/>
    <n v="188"/>
    <n v="4081"/>
    <n v="237.05"/>
    <n v="18"/>
    <n v="8"/>
    <n v="0.05"/>
    <n v="1846"/>
    <d v="2024-06-11T00:00:00"/>
    <s v="Hyderabad"/>
    <x v="2"/>
    <s v="data analytics course"/>
    <d v="2024-06-11T00:00:00"/>
    <n v="4.6067140406763046E-2"/>
    <n v="1.260904255319149"/>
    <n v="13.169444444444444"/>
    <n v="29.631250000000001"/>
    <n v="7.7873866272938193"/>
  </r>
  <r>
    <s v="A1994"/>
    <s v="Data Analytics Course"/>
    <n v="87"/>
    <n v="4840"/>
    <n v="205.72"/>
    <n v="16"/>
    <n v="6"/>
    <n v="4.5999999999999999E-2"/>
    <n v="1040"/>
    <d v="2024-09-11T00:00:00"/>
    <s v="Hyderabad"/>
    <x v="0"/>
    <s v="online data analytic"/>
    <d v="2024-09-11T00:00:00"/>
    <n v="1.7975206611570246E-2"/>
    <n v="2.3645977011494255"/>
    <n v="12.8575"/>
    <n v="34.286666666666669"/>
    <n v="5.0554151273575734"/>
  </r>
  <r>
    <s v="A1995"/>
    <s v="Data Analytics Course"/>
    <n v="106"/>
    <n v="4738"/>
    <n v="196.7"/>
    <n v="17"/>
    <n v="4"/>
    <n v="3.7999999999999999E-2"/>
    <n v="1515"/>
    <d v="2024-11-29T00:00:00"/>
    <s v="Hyderabad"/>
    <x v="2"/>
    <s v="data anaytics training"/>
    <d v="2024-11-29T00:00:00"/>
    <n v="2.2372308991135501E-2"/>
    <n v="1.8556603773584905"/>
    <n v="11.570588235294117"/>
    <n v="49.174999999999997"/>
    <n v="7.702084392475852"/>
  </r>
  <r>
    <s v="A1996"/>
    <s v="Data Analytics Course"/>
    <n v="198"/>
    <n v="4181"/>
    <n v="218.4"/>
    <n v="10"/>
    <n v="8"/>
    <n v="0.04"/>
    <n v="1298"/>
    <d v="2024-11-17T00:00:00"/>
    <s v="Hyderabad"/>
    <x v="1"/>
    <s v="data anaytics training"/>
    <d v="2024-11-17T00:00:00"/>
    <n v="4.7357091604879213E-2"/>
    <n v="1.103030303030303"/>
    <n v="21.84"/>
    <n v="27.3"/>
    <n v="5.9432234432234434"/>
  </r>
  <r>
    <s v="A1997"/>
    <s v="Data Analytics Course"/>
    <n v="121"/>
    <n v="5813"/>
    <n v="202.92"/>
    <n v="25"/>
    <n v="6"/>
    <n v="0.05"/>
    <n v="1226"/>
    <s v="14-11-2024"/>
    <s v="Hyderabad"/>
    <x v="2"/>
    <s v="data analitics online"/>
    <d v="2024-11-14T00:00:00"/>
    <n v="2.0815413727851367E-2"/>
    <n v="1.6770247933884297"/>
    <n v="8.1167999999999996"/>
    <n v="33.82"/>
    <n v="6.041789867928248"/>
  </r>
  <r>
    <s v="A1998"/>
    <s v="Data Analytics Course"/>
    <n v="120"/>
    <n v="4303"/>
    <n v="202.8"/>
    <n v="21"/>
    <n v="4"/>
    <n v="3.3000000000000002E-2"/>
    <n v="1033"/>
    <d v="2024-11-26T00:00:00"/>
    <s v="Hyderabad"/>
    <x v="2"/>
    <s v="online data analytic"/>
    <d v="2024-11-26T00:00:00"/>
    <n v="2.7887520334650244E-2"/>
    <n v="1.6900000000000002"/>
    <n v="9.6571428571428584"/>
    <n v="50.7"/>
    <n v="5.0936883629191323"/>
  </r>
  <r>
    <s v="A1999"/>
    <s v="Data Analytics Course"/>
    <n v="189"/>
    <n v="5201"/>
    <n v="210.87"/>
    <n v="21"/>
    <n v="10"/>
    <n v="5.2999999999999999E-2"/>
    <n v="1560"/>
    <d v="2024-11-11T00:00:00"/>
    <s v="Hyderabad"/>
    <x v="1"/>
    <s v="data analytics course"/>
    <d v="2024-11-11T00:00:00"/>
    <n v="3.6339165545087482E-2"/>
    <n v="1.1157142857142857"/>
    <n v="10.041428571428572"/>
    <n v="21.087"/>
    <n v="7.3979228908806371"/>
  </r>
  <r>
    <s v="A2000"/>
    <s v="Data Analytics Course"/>
    <n v="131"/>
    <n v="4603"/>
    <n v="228.63"/>
    <n v="30"/>
    <n v="7"/>
    <n v="4.5999999999999999E-2"/>
    <n v="1270"/>
    <d v="2024-11-03T00:00:00"/>
    <s v="Hyderabad"/>
    <x v="2"/>
    <s v="analytics for data"/>
    <d v="2024-11-03T00:00:00"/>
    <n v="2.8459700195524656E-2"/>
    <n v="1.7452671755725191"/>
    <n v="7.6209999999999996"/>
    <n v="32.661428571428573"/>
    <n v="5.5548265756899795"/>
  </r>
  <r>
    <s v="A2001"/>
    <s v="Data Analytics Course"/>
    <n v="99"/>
    <n v="4051"/>
    <n v="207.42"/>
    <n v="10"/>
    <n v="9"/>
    <n v="9.0999999999999998E-2"/>
    <n v="1797"/>
    <s v="14-11-2024"/>
    <s v="Hyderabad"/>
    <x v="1"/>
    <s v="analytics for data"/>
    <d v="2024-11-14T00:00:00"/>
    <n v="2.4438410269069365E-2"/>
    <n v="2.0951515151515152"/>
    <n v="20.741999999999997"/>
    <n v="23.046666666666667"/>
    <n v="8.6635811397165181"/>
  </r>
  <r>
    <s v="A2002"/>
    <s v="Data Analytics Course"/>
    <n v="199"/>
    <n v="4080"/>
    <n v="243.8"/>
    <n v="23"/>
    <n v="7"/>
    <n v="0.05"/>
    <n v="1507"/>
    <s v="15-11-2024"/>
    <s v="Hyderabad"/>
    <x v="0"/>
    <s v="data anaytics training"/>
    <d v="2024-11-15T00:00:00"/>
    <n v="4.8774509803921569E-2"/>
    <n v="1.2251256281407035"/>
    <n v="10.6"/>
    <n v="34.828571428571429"/>
    <n v="6.1812961443806396"/>
  </r>
  <r>
    <s v="A2003"/>
    <s v="Data Analytics Course"/>
    <n v="180"/>
    <n v="4140"/>
    <n v="240.76"/>
    <n v="21"/>
    <n v="8"/>
    <n v="4.3999999999999997E-2"/>
    <n v="1248"/>
    <d v="2024-11-11T00:00:00"/>
    <s v="Hyderabad"/>
    <x v="0"/>
    <s v="online data analytic"/>
    <d v="2024-11-11T00:00:00"/>
    <n v="4.3478260869565216E-2"/>
    <n v="1.3375555555555556"/>
    <n v="11.464761904761904"/>
    <n v="30.094999999999999"/>
    <n v="5.1835853131749463"/>
  </r>
  <r>
    <s v="A2004"/>
    <s v="Data Analytics Course"/>
    <n v="88"/>
    <n v="3333"/>
    <n v="193.25"/>
    <n v="29"/>
    <n v="3"/>
    <n v="3.4000000000000002E-2"/>
    <n v="1398"/>
    <d v="2024-11-14T00:00:00"/>
    <s v="Hyderabad"/>
    <x v="2"/>
    <s v="data analitics online"/>
    <d v="2024-11-14T00:00:00"/>
    <n v="2.6402640264026403E-2"/>
    <n v="2.1960227272727271"/>
    <n v="6.6637931034482758"/>
    <n v="64.416666666666671"/>
    <n v="7.2341526520051742"/>
  </r>
  <r>
    <s v="A2005"/>
    <s v="Data Analytics Course"/>
    <n v="140"/>
    <n v="3689"/>
    <n v="249.33"/>
    <n v="20"/>
    <n v="9"/>
    <n v="6.4000000000000001E-2"/>
    <n v="1329"/>
    <d v="2024-11-22T00:00:00"/>
    <s v="Hyderabad"/>
    <x v="1"/>
    <s v="learn data analytics"/>
    <d v="2024-11-22T00:00:00"/>
    <n v="3.7950664136622389E-2"/>
    <n v="1.7809285714285714"/>
    <n v="12.4665"/>
    <n v="27.703333333333333"/>
    <n v="5.3302851642401636"/>
  </r>
  <r>
    <s v="A2006"/>
    <s v="Data Analytics Course"/>
    <n v="166"/>
    <n v="4665"/>
    <n v="223.95"/>
    <n v="23"/>
    <n v="9"/>
    <n v="5.3999999999999999E-2"/>
    <n v="1404"/>
    <d v="2024-11-07T00:00:00"/>
    <s v="Hyderabad"/>
    <x v="2"/>
    <s v="data analitics online"/>
    <d v="2024-11-07T00:00:00"/>
    <n v="3.5584137191854236E-2"/>
    <n v="1.3490963855421687"/>
    <n v="9.7369565217391294"/>
    <n v="24.883333333333333"/>
    <n v="6.2692565304755528"/>
  </r>
  <r>
    <s v="A2007"/>
    <s v="Data Analytics Course"/>
    <n v="185"/>
    <n v="3670"/>
    <n v="198.66"/>
    <n v="30"/>
    <n v="4"/>
    <n v="5.7000000000000002E-2"/>
    <n v="1440"/>
    <s v="13-11-2024"/>
    <s v="Hyderabad"/>
    <x v="0"/>
    <s v="data anaytics training"/>
    <d v="2024-11-13T00:00:00"/>
    <n v="5.0408719346049048E-2"/>
    <n v="1.0738378378378379"/>
    <n v="6.6219999999999999"/>
    <n v="49.664999999999999"/>
    <n v="7.2485653881002721"/>
  </r>
  <r>
    <s v="A2008"/>
    <s v="Data Analytics Course"/>
    <n v="139"/>
    <n v="4036"/>
    <n v="242.12"/>
    <n v="25"/>
    <n v="5"/>
    <n v="3.5999999999999997E-2"/>
    <n v="1329"/>
    <d v="2024-11-26T00:00:00"/>
    <s v="Hyderabad"/>
    <x v="2"/>
    <s v="learn data analytics"/>
    <d v="2024-11-26T00:00:00"/>
    <n v="3.4440039643211101E-2"/>
    <n v="1.7418705035971223"/>
    <n v="9.684800000000001"/>
    <n v="48.423999999999999"/>
    <n v="5.4890137122088216"/>
  </r>
  <r>
    <s v="A2009"/>
    <s v="Data Analytics Course"/>
    <n v="142"/>
    <n v="4497"/>
    <n v="198.98"/>
    <n v="27"/>
    <n v="3"/>
    <n v="4.5999999999999999E-2"/>
    <n v="1582"/>
    <d v="2024-11-30T00:00:00"/>
    <s v="Hyderabad"/>
    <x v="2"/>
    <s v="analytics for data"/>
    <d v="2024-11-30T00:00:00"/>
    <n v="3.1576606626639983E-2"/>
    <n v="1.4012676056338027"/>
    <n v="7.3696296296296291"/>
    <n v="66.326666666666668"/>
    <n v="7.9505477937481155"/>
  </r>
  <r>
    <s v="A2010"/>
    <s v="Data Analytics Course"/>
    <n v="173"/>
    <n v="3705"/>
    <n v="197.01"/>
    <n v="20"/>
    <n v="10"/>
    <n v="5.8000000000000003E-2"/>
    <n v="1010"/>
    <s v="26-11-2024"/>
    <s v="Hyderabad"/>
    <x v="0"/>
    <s v="data anaytics training"/>
    <d v="2024-11-26T00:00:00"/>
    <n v="4.6693657219973012E-2"/>
    <n v="1.1387861271676301"/>
    <n v="9.8505000000000003"/>
    <n v="19.701000000000001"/>
    <n v="5.1266433175980914"/>
  </r>
  <r>
    <s v="A2011"/>
    <s v="Data Analytics Course"/>
    <n v="139"/>
    <n v="5849"/>
    <n v="215.57"/>
    <n v="27"/>
    <n v="3"/>
    <n v="4.5999999999999999E-2"/>
    <n v="1146"/>
    <d v="2024-11-25T00:00:00"/>
    <s v="Hyderabad"/>
    <x v="2"/>
    <s v="learn data analytics"/>
    <d v="2024-11-25T00:00:00"/>
    <n v="2.3764746110446232E-2"/>
    <n v="1.5508633093525179"/>
    <n v="7.9840740740740737"/>
    <n v="71.856666666666669"/>
    <n v="5.3161386092684513"/>
  </r>
  <r>
    <s v="A2012"/>
    <s v="Data Analytics Course"/>
    <n v="153"/>
    <n v="5283"/>
    <n v="205.72"/>
    <n v="24"/>
    <n v="3"/>
    <n v="0.02"/>
    <n v="1591"/>
    <d v="2024-10-11T00:00:00"/>
    <s v="Hyderabad"/>
    <x v="0"/>
    <s v="learn data analytics"/>
    <d v="2024-10-11T00:00:00"/>
    <n v="2.8960817717206135E-2"/>
    <n v="1.3445751633986929"/>
    <n v="8.5716666666666672"/>
    <n v="68.573333333333338"/>
    <n v="7.7338129496402876"/>
  </r>
  <r>
    <s v="A2013"/>
    <s v="Data Analytics Course"/>
    <n v="104"/>
    <n v="5203"/>
    <n v="241.15"/>
    <n v="17"/>
    <n v="6"/>
    <n v="4.8000000000000001E-2"/>
    <n v="1164"/>
    <s v="28-11-2024"/>
    <s v="Hyderabad"/>
    <x v="1"/>
    <s v="data analitics online"/>
    <d v="2024-11-28T00:00:00"/>
    <n v="1.9988468191428022E-2"/>
    <n v="2.3187500000000001"/>
    <n v="14.185294117647059"/>
    <n v="40.19166666666667"/>
    <n v="4.8268712419655815"/>
  </r>
  <r>
    <s v="A2014"/>
    <s v="Data Analytics Course"/>
    <n v="120"/>
    <n v="4243"/>
    <n v="198.49"/>
    <n v="15"/>
    <n v="10"/>
    <n v="8.3000000000000004E-2"/>
    <n v="1891"/>
    <s v="27-11-2024"/>
    <s v="Hyderabad"/>
    <x v="0"/>
    <s v="data anaytics training"/>
    <d v="2024-11-27T00:00:00"/>
    <n v="2.8281876031110063E-2"/>
    <n v="1.6540833333333333"/>
    <n v="13.232666666666667"/>
    <n v="19.849"/>
    <n v="9.526928308730918"/>
  </r>
  <r>
    <s v="A2015"/>
    <s v="Data Analytics Course"/>
    <n v="100"/>
    <n v="3716"/>
    <n v="247.95"/>
    <n v="23"/>
    <n v="8"/>
    <n v="4.5999999999999999E-2"/>
    <n v="1924"/>
    <d v="2024-11-14T00:00:00"/>
    <s v="Hyderabad"/>
    <x v="1"/>
    <s v="learn data analytics"/>
    <d v="2024-11-14T00:00:00"/>
    <n v="2.6910656620021529E-2"/>
    <n v="2.4794999999999998"/>
    <n v="10.780434782608696"/>
    <n v="30.993749999999999"/>
    <n v="7.759628957451099"/>
  </r>
  <r>
    <s v="A2016"/>
    <s v="Data Analytics Course"/>
    <n v="106"/>
    <n v="3646"/>
    <n v="237.89"/>
    <n v="28"/>
    <n v="7"/>
    <n v="4.5999999999999999E-2"/>
    <n v="1564"/>
    <d v="2024-11-02T00:00:00"/>
    <s v="Hyderabad"/>
    <x v="1"/>
    <s v="analytics for data"/>
    <d v="2024-11-02T00:00:00"/>
    <n v="2.9072956664838178E-2"/>
    <n v="2.2442452830188677"/>
    <n v="8.4960714285714278"/>
    <n v="33.984285714285711"/>
    <n v="6.5744671907183996"/>
  </r>
  <r>
    <s v="A2017"/>
    <s v="Data Analytics Course"/>
    <n v="136"/>
    <n v="4101"/>
    <n v="227.43"/>
    <n v="28"/>
    <n v="9"/>
    <n v="5.7000000000000002E-2"/>
    <n v="1284"/>
    <s v="19-11-2024"/>
    <s v="Hyderabad"/>
    <x v="2"/>
    <s v="learn data analytics"/>
    <d v="2024-11-19T00:00:00"/>
    <n v="3.3162643257742014E-2"/>
    <n v="1.672279411764706"/>
    <n v="8.1225000000000005"/>
    <n v="25.27"/>
    <n v="5.6456931803192187"/>
  </r>
  <r>
    <s v="A2018"/>
    <s v="Data Analytics Course"/>
    <n v="121"/>
    <n v="3366"/>
    <n v="246.56"/>
    <n v="25"/>
    <n v="7"/>
    <n v="4.5999999999999999E-2"/>
    <n v="1170"/>
    <d v="2024-11-02T00:00:00"/>
    <s v="Hyderabad"/>
    <x v="0"/>
    <s v="online data analytic"/>
    <d v="2024-11-02T00:00:00"/>
    <n v="3.5947712418300651E-2"/>
    <n v="2.037685950413223"/>
    <n v="9.8624000000000009"/>
    <n v="35.222857142857144"/>
    <n v="4.7452952628163532"/>
  </r>
  <r>
    <s v="A2019"/>
    <s v="Data Analytics Course"/>
    <n v="153"/>
    <n v="3381"/>
    <n v="231.35"/>
    <n v="29"/>
    <n v="5"/>
    <n v="3.3000000000000002E-2"/>
    <n v="1769"/>
    <d v="2024-11-28T00:00:00"/>
    <s v="Hyderabad"/>
    <x v="2"/>
    <s v="data analytics course"/>
    <d v="2024-11-28T00:00:00"/>
    <n v="4.5252883762200533E-2"/>
    <n v="1.5120915032679738"/>
    <n v="7.977586206896552"/>
    <n v="46.269999999999996"/>
    <n v="7.6464231683596289"/>
  </r>
  <r>
    <s v="A2020"/>
    <s v="Data Analytics Course"/>
    <n v="111"/>
    <n v="5003"/>
    <n v="213.34"/>
    <n v="29"/>
    <n v="3"/>
    <n v="4.5999999999999999E-2"/>
    <n v="1938"/>
    <d v="2024-11-25T00:00:00"/>
    <s v="Hyderabad"/>
    <x v="2"/>
    <s v="analytics for data"/>
    <d v="2024-11-25T00:00:00"/>
    <n v="2.2186687987207677E-2"/>
    <n v="1.9219819819819821"/>
    <n v="7.3565517241379315"/>
    <n v="71.11333333333333"/>
    <n v="9.084091122152433"/>
  </r>
  <r>
    <s v="A2021"/>
    <s v="Data Analytics Course"/>
    <n v="156"/>
    <n v="5415"/>
    <n v="198.27"/>
    <n v="29"/>
    <n v="7"/>
    <n v="3.6999999999999998E-2"/>
    <n v="1918"/>
    <s v="17-11-2024"/>
    <s v="Hyderabad"/>
    <x v="0"/>
    <s v="data anaytics training"/>
    <d v="2024-11-17T00:00:00"/>
    <n v="2.8808864265927978E-2"/>
    <n v="1.2709615384615385"/>
    <n v="6.8368965517241387"/>
    <n v="28.324285714285715"/>
    <n v="9.673677308720432"/>
  </r>
  <r>
    <s v="A2022"/>
    <s v="Data Analytics Course"/>
    <n v="137"/>
    <n v="3838"/>
    <n v="226.92"/>
    <n v="18"/>
    <n v="6"/>
    <n v="4.3999999999999997E-2"/>
    <n v="1505"/>
    <s v="27-11-2024"/>
    <s v="Hyderabad"/>
    <x v="2"/>
    <s v="analytics for data"/>
    <d v="2024-11-27T00:00:00"/>
    <n v="3.5695674830640955E-2"/>
    <n v="1.6563503649635036"/>
    <n v="12.606666666666666"/>
    <n v="37.82"/>
    <n v="6.6322933192314473"/>
  </r>
  <r>
    <s v="A2023"/>
    <s v="Data Analytics Course"/>
    <n v="138"/>
    <n v="3002"/>
    <n v="246.3"/>
    <n v="24"/>
    <n v="7"/>
    <n v="3.5999999999999997E-2"/>
    <n v="1530"/>
    <d v="2024-11-01T00:00:00"/>
    <s v="Hyderabad"/>
    <x v="2"/>
    <s v="learn data analytics"/>
    <d v="2024-11-01T00:00:00"/>
    <n v="4.5969353764157228E-2"/>
    <n v="1.7847826086956522"/>
    <n v="10.262500000000001"/>
    <n v="35.18571428571429"/>
    <n v="6.2119366626065773"/>
  </r>
  <r>
    <s v="A2024"/>
    <s v="Data Analytics Course"/>
    <n v="96"/>
    <n v="3958"/>
    <n v="238.06"/>
    <n v="17"/>
    <n v="4"/>
    <n v="4.2000000000000003E-2"/>
    <n v="1750"/>
    <d v="2024-11-07T00:00:00"/>
    <s v="Hyderabad"/>
    <x v="1"/>
    <s v="online data analytic"/>
    <d v="2024-11-07T00:00:00"/>
    <n v="2.425467407781708E-2"/>
    <n v="2.4797916666666668"/>
    <n v="14.003529411764706"/>
    <n v="59.515000000000001"/>
    <n v="7.3510879610182309"/>
  </r>
  <r>
    <s v="A2025"/>
    <s v="Data Analytics Course"/>
    <n v="180"/>
    <n v="3060"/>
    <n v="194.47"/>
    <n v="21"/>
    <n v="5"/>
    <n v="5.3999999999999999E-2"/>
    <n v="1429"/>
    <d v="2024-11-10T00:00:00"/>
    <s v="Hyderabad"/>
    <x v="2"/>
    <s v="online data analytic"/>
    <d v="2024-11-10T00:00:00"/>
    <n v="5.8823529411764705E-2"/>
    <n v="1.0803888888888888"/>
    <n v="9.2604761904761901"/>
    <n v="38.893999999999998"/>
    <n v="7.3481770967244309"/>
  </r>
  <r>
    <s v="A2026"/>
    <s v="Data Analytics Course"/>
    <n v="132"/>
    <n v="5514"/>
    <n v="208.57"/>
    <n v="16"/>
    <n v="7"/>
    <n v="5.2999999999999999E-2"/>
    <n v="1072"/>
    <d v="2024-11-26T00:00:00"/>
    <s v="Hyderabad"/>
    <x v="1"/>
    <s v="online data analytic"/>
    <d v="2024-11-26T00:00:00"/>
    <n v="2.3939064200217627E-2"/>
    <n v="1.5800757575757576"/>
    <n v="13.035625"/>
    <n v="29.795714285714286"/>
    <n v="5.1397612312413097"/>
  </r>
  <r>
    <s v="A2027"/>
    <s v="Data Analytics Course"/>
    <n v="147"/>
    <n v="5373"/>
    <n v="233.68"/>
    <n v="20"/>
    <n v="7"/>
    <n v="4.8000000000000001E-2"/>
    <n v="1685"/>
    <d v="2024-11-01T00:00:00"/>
    <s v="Hyderabad"/>
    <x v="0"/>
    <s v="data analytics course"/>
    <d v="2024-11-01T00:00:00"/>
    <n v="2.7359017308766054E-2"/>
    <n v="1.5896598639455783"/>
    <n v="11.684000000000001"/>
    <n v="33.382857142857141"/>
    <n v="7.2107155083875387"/>
  </r>
  <r>
    <s v="A2028"/>
    <s v="Data Analytics Course"/>
    <n v="84"/>
    <n v="4720"/>
    <n v="213.68"/>
    <n v="20"/>
    <n v="5"/>
    <n v="0.06"/>
    <n v="1412"/>
    <d v="2024-11-21T00:00:00"/>
    <s v="Hyderabad"/>
    <x v="2"/>
    <s v="data analytics course"/>
    <d v="2024-11-21T00:00:00"/>
    <n v="1.7796610169491526E-2"/>
    <n v="2.5438095238095237"/>
    <n v="10.684000000000001"/>
    <n v="42.736000000000004"/>
    <n v="6.6080119805316357"/>
  </r>
  <r>
    <s v="A2029"/>
    <s v="Data Analytics Course"/>
    <n v="82"/>
    <n v="4330"/>
    <n v="228.68"/>
    <n v="18"/>
    <n v="8"/>
    <n v="9.8000000000000004E-2"/>
    <n v="1510"/>
    <d v="2024-11-04T00:00:00"/>
    <s v="Hyderabad"/>
    <x v="0"/>
    <s v="analytics for data"/>
    <d v="2024-11-04T00:00:00"/>
    <n v="1.8937644341801386E-2"/>
    <n v="2.7887804878048783"/>
    <n v="12.704444444444444"/>
    <n v="28.585000000000001"/>
    <n v="6.6031135210774883"/>
  </r>
  <r>
    <s v="A2030"/>
    <s v="Data Analytics Course"/>
    <n v="173"/>
    <n v="4365"/>
    <n v="215.57"/>
    <n v="28"/>
    <n v="9"/>
    <n v="4.5999999999999999E-2"/>
    <n v="1311"/>
    <d v="2024-06-11T00:00:00"/>
    <s v="Hyderabad"/>
    <x v="0"/>
    <s v="data analitics online"/>
    <d v="2024-06-11T00:00:00"/>
    <n v="3.9633447880870559E-2"/>
    <n v="1.2460693641618497"/>
    <n v="7.6989285714285716"/>
    <n v="23.952222222222222"/>
    <n v="6.081551236257364"/>
  </r>
  <r>
    <s v="A2031"/>
    <s v="Data Analytics Course"/>
    <n v="89"/>
    <n v="5899"/>
    <n v="226.95"/>
    <n v="13"/>
    <n v="7"/>
    <n v="7.9000000000000001E-2"/>
    <n v="1058"/>
    <d v="2024-11-10T00:00:00"/>
    <s v="Hyderabad"/>
    <x v="1"/>
    <s v="data anaytics training"/>
    <d v="2024-11-10T00:00:00"/>
    <n v="1.5087302932700457E-2"/>
    <n v="2.5499999999999998"/>
    <n v="17.457692307692305"/>
    <n v="32.421428571428571"/>
    <n v="4.6618197840934128"/>
  </r>
  <r>
    <s v="A2032"/>
    <s v="Data Analytics Course"/>
    <n v="198"/>
    <n v="3500"/>
    <n v="206.88"/>
    <n v="19"/>
    <n v="6"/>
    <n v="0.03"/>
    <n v="1684"/>
    <d v="2024-11-11T00:00:00"/>
    <s v="Hyderabad"/>
    <x v="1"/>
    <s v="analytics for data"/>
    <d v="2024-11-11T00:00:00"/>
    <n v="5.6571428571428571E-2"/>
    <n v="1.0448484848484849"/>
    <n v="10.888421052631578"/>
    <n v="34.479999999999997"/>
    <n v="8.1399845320959017"/>
  </r>
  <r>
    <s v="A2033"/>
    <s v="Data Analytics Course"/>
    <n v="135"/>
    <n v="4155"/>
    <n v="207.81"/>
    <n v="25"/>
    <n v="9"/>
    <n v="4.9000000000000002E-2"/>
    <n v="1313"/>
    <d v="2024-03-11T00:00:00"/>
    <s v="Hyderabad"/>
    <x v="0"/>
    <s v="online data analytic"/>
    <d v="2024-03-11T00:00:00"/>
    <n v="3.2490974729241874E-2"/>
    <n v="1.5393333333333334"/>
    <n v="8.3124000000000002"/>
    <n v="23.09"/>
    <n v="6.318271498002983"/>
  </r>
  <r>
    <s v="A2034"/>
    <s v="Data Analytics Course"/>
    <n v="94"/>
    <n v="5437"/>
    <n v="190.49"/>
    <n v="16"/>
    <n v="6"/>
    <n v="4.3999999999999997E-2"/>
    <n v="1234"/>
    <d v="2024-11-16T00:00:00"/>
    <s v="Hyderabad"/>
    <x v="2"/>
    <s v="data anaytics training"/>
    <d v="2024-11-16T00:00:00"/>
    <n v="1.7288946109987127E-2"/>
    <n v="2.0264893617021276"/>
    <n v="11.905625000000001"/>
    <n v="31.748333333333335"/>
    <n v="6.4780303428001469"/>
  </r>
  <r>
    <s v="A2035"/>
    <s v="Data Analytics Course"/>
    <n v="151"/>
    <n v="3251"/>
    <n v="224.8"/>
    <n v="13"/>
    <n v="6"/>
    <n v="0.04"/>
    <n v="1505"/>
    <d v="2024-11-21T00:00:00"/>
    <s v="Hyderabad"/>
    <x v="0"/>
    <s v="learn data analytics"/>
    <d v="2024-11-21T00:00:00"/>
    <n v="4.6447247000922794E-2"/>
    <n v="1.4887417218543046"/>
    <n v="17.292307692307695"/>
    <n v="37.466666666666669"/>
    <n v="6.6948398576512451"/>
  </r>
  <r>
    <s v="A2036"/>
    <s v="Data Analytics Course"/>
    <n v="113"/>
    <n v="5392"/>
    <n v="205.13"/>
    <n v="28"/>
    <n v="3"/>
    <n v="3.4000000000000002E-2"/>
    <n v="1208"/>
    <s v="17-11-2024"/>
    <s v="Hyderabad"/>
    <x v="1"/>
    <s v="online data analytic"/>
    <d v="2024-11-17T00:00:00"/>
    <n v="2.0956973293768544E-2"/>
    <n v="1.8153097345132743"/>
    <n v="7.3260714285714288"/>
    <n v="68.376666666666665"/>
    <n v="5.8889484717008731"/>
  </r>
  <r>
    <s v="A2037"/>
    <s v="Data Analytics Course"/>
    <n v="164"/>
    <n v="5403"/>
    <n v="213"/>
    <n v="11"/>
    <n v="8"/>
    <n v="3.6999999999999998E-2"/>
    <n v="1505"/>
    <d v="2024-11-22T00:00:00"/>
    <s v="Hyderabad"/>
    <x v="0"/>
    <s v="analytics for data"/>
    <d v="2024-11-22T00:00:00"/>
    <n v="3.0353507310753286E-2"/>
    <n v="1.2987804878048781"/>
    <n v="19.363636363636363"/>
    <n v="26.625"/>
    <n v="7.065727699530516"/>
  </r>
  <r>
    <s v="A2038"/>
    <s v="Data Analytics Course"/>
    <n v="135"/>
    <n v="5054"/>
    <n v="224.03"/>
    <n v="16"/>
    <n v="6"/>
    <n v="4.3999999999999997E-2"/>
    <n v="1765"/>
    <d v="2024-07-11T00:00:00"/>
    <s v="Hyderabad"/>
    <x v="1"/>
    <s v="data anaytics training"/>
    <d v="2024-07-11T00:00:00"/>
    <n v="2.6711515631183222E-2"/>
    <n v="1.6594814814814816"/>
    <n v="14.001875"/>
    <n v="37.338333333333331"/>
    <n v="7.878409141632817"/>
  </r>
  <r>
    <s v="A2039"/>
    <s v="Data Analytics Course"/>
    <n v="116"/>
    <n v="5757"/>
    <n v="218.69"/>
    <n v="10"/>
    <n v="7"/>
    <n v="4.4999999999999998E-2"/>
    <n v="1834"/>
    <d v="2024-11-23T00:00:00"/>
    <s v="Hyderabad"/>
    <x v="1"/>
    <s v="online data analytic"/>
    <d v="2024-11-23T00:00:00"/>
    <n v="2.0149383359388571E-2"/>
    <n v="1.8852586206896551"/>
    <n v="21.869"/>
    <n v="31.241428571428571"/>
    <n v="8.3863002423521884"/>
  </r>
  <r>
    <s v="A2040"/>
    <s v="Data Analytics Course"/>
    <n v="139"/>
    <n v="4485"/>
    <n v="220.3"/>
    <n v="14"/>
    <n v="6"/>
    <n v="4.5999999999999999E-2"/>
    <n v="1801"/>
    <d v="2024-11-01T00:00:00"/>
    <s v="Hyderabad"/>
    <x v="1"/>
    <s v="data analytics course"/>
    <d v="2024-11-01T00:00:00"/>
    <n v="3.0992196209587514E-2"/>
    <n v="1.5848920863309353"/>
    <n v="15.735714285714286"/>
    <n v="36.716666666666669"/>
    <n v="8.1752156150703588"/>
  </r>
  <r>
    <s v="A2041"/>
    <s v="Data Analytics Course"/>
    <n v="164"/>
    <n v="4053"/>
    <n v="245.26"/>
    <n v="28"/>
    <n v="7"/>
    <n v="4.2999999999999997E-2"/>
    <n v="1384"/>
    <d v="2024-11-01T00:00:00"/>
    <s v="Hyderabad"/>
    <x v="2"/>
    <s v="learn data analytics"/>
    <d v="2024-11-01T00:00:00"/>
    <n v="4.0463853935356529E-2"/>
    <n v="1.4954878048780487"/>
    <n v="8.7592857142857135"/>
    <n v="35.037142857142854"/>
    <n v="5.6429911114735383"/>
  </r>
  <r>
    <s v="A2042"/>
    <s v="Data Analytics Course"/>
    <n v="146"/>
    <n v="5733"/>
    <n v="225.48"/>
    <n v="26"/>
    <n v="3"/>
    <n v="3.5000000000000003E-2"/>
    <n v="1658"/>
    <d v="2024-11-10T00:00:00"/>
    <s v="Hyderabad"/>
    <x v="0"/>
    <s v="online data analytic"/>
    <d v="2024-11-10T00:00:00"/>
    <n v="2.5466596895168322E-2"/>
    <n v="1.5443835616438355"/>
    <n v="8.6723076923076921"/>
    <n v="75.16"/>
    <n v="7.3532020578321804"/>
  </r>
  <r>
    <s v="A2043"/>
    <s v="Data Analytics Course"/>
    <n v="181"/>
    <n v="3225"/>
    <n v="190.25"/>
    <n v="22"/>
    <n v="5"/>
    <n v="2.8000000000000001E-2"/>
    <n v="1677"/>
    <d v="2024-10-11T00:00:00"/>
    <s v="Hyderabad"/>
    <x v="1"/>
    <s v="learn data analytics"/>
    <d v="2024-10-11T00:00:00"/>
    <n v="5.6124031007751936E-2"/>
    <n v="1.0511049723756907"/>
    <n v="8.6477272727272734"/>
    <n v="38.049999999999997"/>
    <n v="8.814717477003942"/>
  </r>
  <r>
    <s v="A2044"/>
    <s v="Data Analytics Course"/>
    <n v="156"/>
    <n v="4170"/>
    <n v="244.72"/>
    <n v="29"/>
    <n v="3"/>
    <n v="1.9E-2"/>
    <n v="1962"/>
    <s v="20-11-2024"/>
    <s v="Hyderabad"/>
    <x v="0"/>
    <s v="data analitics online"/>
    <d v="2024-11-20T00:00:00"/>
    <n v="3.7410071942446041E-2"/>
    <n v="1.5687179487179488"/>
    <n v="8.4386206896551723"/>
    <n v="81.573333333333338"/>
    <n v="8.0173259235044139"/>
  </r>
  <r>
    <s v="A2045"/>
    <s v="Data Analytics Course"/>
    <n v="182"/>
    <n v="4039"/>
    <n v="240.35"/>
    <n v="12"/>
    <n v="7"/>
    <n v="3.7999999999999999E-2"/>
    <n v="1214"/>
    <d v="2024-11-13T00:00:00"/>
    <s v="Hyderabad"/>
    <x v="2"/>
    <s v="data anaytics training"/>
    <d v="2024-11-13T00:00:00"/>
    <n v="4.5060658578856154E-2"/>
    <n v="1.3206043956043956"/>
    <n v="20.029166666666665"/>
    <n v="34.335714285714282"/>
    <n v="5.050967339296859"/>
  </r>
  <r>
    <s v="A2046"/>
    <s v="Data Analytics Course"/>
    <n v="137"/>
    <n v="3150"/>
    <n v="184.36"/>
    <n v="19"/>
    <n v="3"/>
    <n v="4.1000000000000002E-2"/>
    <n v="1218"/>
    <s v="29-11-2024"/>
    <s v="Hyderabad"/>
    <x v="2"/>
    <s v="data analitics online"/>
    <d v="2024-11-29T00:00:00"/>
    <n v="4.3492063492063492E-2"/>
    <n v="1.3456934306569344"/>
    <n v="9.703157894736842"/>
    <n v="61.45333333333334"/>
    <n v="6.6066391842048162"/>
  </r>
  <r>
    <s v="A2047"/>
    <s v="Data Analytics Course"/>
    <n v="93"/>
    <n v="4498"/>
    <n v="237.67"/>
    <n v="27"/>
    <n v="3"/>
    <n v="3.2000000000000001E-2"/>
    <n v="1102"/>
    <d v="2024-11-30T00:00:00"/>
    <s v="Hyderabad"/>
    <x v="1"/>
    <s v="online data analytic"/>
    <d v="2024-11-30T00:00:00"/>
    <n v="2.0675855935971543E-2"/>
    <n v="2.5555913978494624"/>
    <n v="8.8025925925925925"/>
    <n v="79.223333333333329"/>
    <n v="4.6366811124668663"/>
  </r>
  <r>
    <s v="A2048"/>
    <s v="Data Analytics Course"/>
    <n v="136"/>
    <n v="4683"/>
    <n v="228.82"/>
    <n v="22"/>
    <n v="5"/>
    <n v="3.6999999999999998E-2"/>
    <n v="1493"/>
    <s v="19-11-2024"/>
    <s v="Hyderabad"/>
    <x v="0"/>
    <s v="learn data analytics"/>
    <d v="2024-11-19T00:00:00"/>
    <n v="2.9041212897715139E-2"/>
    <n v="1.6824999999999999"/>
    <n v="10.40090909090909"/>
    <n v="45.763999999999996"/>
    <n v="6.5247793025085219"/>
  </r>
  <r>
    <s v="A2049"/>
    <s v="Data Analytics Course"/>
    <n v="194"/>
    <n v="5620"/>
    <n v="194.91"/>
    <n v="22"/>
    <n v="10"/>
    <n v="4.5999999999999999E-2"/>
    <n v="1607"/>
    <d v="2024-08-11T00:00:00"/>
    <s v="Hyderabad"/>
    <x v="2"/>
    <s v="data analytics course"/>
    <d v="2024-08-11T00:00:00"/>
    <n v="3.4519572953736657E-2"/>
    <n v="1.0046907216494845"/>
    <n v="8.8595454545454544"/>
    <n v="19.491"/>
    <n v="8.2448309476168493"/>
  </r>
  <r>
    <s v="A2050"/>
    <s v="Data Analytics Course"/>
    <n v="139"/>
    <n v="4653"/>
    <n v="194.99"/>
    <n v="11"/>
    <n v="5"/>
    <n v="5.3999999999999999E-2"/>
    <n v="1928"/>
    <d v="2024-11-12T00:00:00"/>
    <s v="Hyderabad"/>
    <x v="2"/>
    <s v="learn data analytics"/>
    <d v="2024-11-12T00:00:00"/>
    <n v="2.9873200085966042E-2"/>
    <n v="1.4028057553956834"/>
    <n v="17.726363636363637"/>
    <n v="38.998000000000005"/>
    <n v="9.8876865480281033"/>
  </r>
  <r>
    <s v="A2051"/>
    <s v="Data Analytics Course"/>
    <n v="181"/>
    <n v="3063"/>
    <n v="191.03"/>
    <n v="15"/>
    <n v="4"/>
    <n v="2.1999999999999999E-2"/>
    <n v="1125"/>
    <d v="2024-11-21T00:00:00"/>
    <s v="Hyderabad"/>
    <x v="0"/>
    <s v="data anaytics training"/>
    <d v="2024-11-21T00:00:00"/>
    <n v="5.9092393078681034E-2"/>
    <n v="1.055414364640884"/>
    <n v="12.735333333333333"/>
    <n v="47.7575"/>
    <n v="5.8891273621944196"/>
  </r>
  <r>
    <s v="A2052"/>
    <s v="Data Analytics Course"/>
    <n v="156"/>
    <n v="3273"/>
    <n v="245.27"/>
    <n v="30"/>
    <n v="8"/>
    <n v="3.5000000000000003E-2"/>
    <n v="1505"/>
    <d v="2024-11-05T00:00:00"/>
    <s v="Hyderabad"/>
    <x v="2"/>
    <s v="learn data analytics"/>
    <d v="2024-11-05T00:00:00"/>
    <n v="4.7662694775435381E-2"/>
    <n v="1.5722435897435898"/>
    <n v="8.1756666666666664"/>
    <n v="30.658750000000001"/>
    <n v="6.1360949158070692"/>
  </r>
  <r>
    <s v="A2053"/>
    <s v="Data Analytics Course"/>
    <n v="128"/>
    <n v="4314"/>
    <n v="181.68"/>
    <n v="28"/>
    <n v="5"/>
    <n v="4.5999999999999999E-2"/>
    <n v="1456"/>
    <d v="2024-11-25T00:00:00"/>
    <s v="Hyderabad"/>
    <x v="1"/>
    <s v="analytics for data"/>
    <d v="2024-11-25T00:00:00"/>
    <n v="2.9670839128419099E-2"/>
    <n v="1.4193750000000001"/>
    <n v="6.4885714285714284"/>
    <n v="36.335999999999999"/>
    <n v="8.0140907089387934"/>
  </r>
  <r>
    <s v="A2054"/>
    <s v="Data Analytics Course"/>
    <n v="133"/>
    <n v="5945"/>
    <n v="223.43"/>
    <n v="16"/>
    <n v="6"/>
    <n v="4.4999999999999998E-2"/>
    <n v="1329"/>
    <d v="2024-11-16T00:00:00"/>
    <s v="Hyderabad"/>
    <x v="2"/>
    <s v="data anaytics training"/>
    <d v="2024-11-16T00:00:00"/>
    <n v="2.2371740958788897E-2"/>
    <n v="1.6799248120300752"/>
    <n v="13.964375"/>
    <n v="37.238333333333337"/>
    <n v="5.9481716868817971"/>
  </r>
  <r>
    <s v="A2055"/>
    <s v="Data Analytics Course"/>
    <n v="118"/>
    <n v="4794"/>
    <n v="233.49"/>
    <n v="20"/>
    <n v="3"/>
    <n v="2.5000000000000001E-2"/>
    <n v="1707"/>
    <s v="27-11-2024"/>
    <s v="Hyderabad"/>
    <x v="1"/>
    <s v="data analytics course"/>
    <d v="2024-11-27T00:00:00"/>
    <n v="2.4614100959532748E-2"/>
    <n v="1.9787288135593222"/>
    <n v="11.6745"/>
    <n v="77.83"/>
    <n v="7.3108056019529739"/>
  </r>
  <r>
    <s v="A2056"/>
    <s v="Data Analytics Course"/>
    <n v="191"/>
    <n v="5227"/>
    <n v="204.87"/>
    <n v="26"/>
    <n v="6"/>
    <n v="4.5999999999999999E-2"/>
    <n v="1605"/>
    <d v="2024-11-20T00:00:00"/>
    <s v="Hyderabad"/>
    <x v="1"/>
    <s v="data analytics course"/>
    <d v="2024-11-20T00:00:00"/>
    <n v="3.654103692366558E-2"/>
    <n v="1.0726178010471203"/>
    <n v="7.8796153846153851"/>
    <n v="34.145000000000003"/>
    <n v="7.834236344999268"/>
  </r>
  <r>
    <s v="A2057"/>
    <s v="Data Analytics Course"/>
    <n v="172"/>
    <n v="4850"/>
    <n v="242.33"/>
    <n v="27"/>
    <n v="4"/>
    <n v="2.3E-2"/>
    <n v="1391"/>
    <d v="2024-11-21T00:00:00"/>
    <s v="Hyderabad"/>
    <x v="2"/>
    <s v="data analitics online"/>
    <d v="2024-11-21T00:00:00"/>
    <n v="3.5463917525773193E-2"/>
    <n v="1.4088953488372093"/>
    <n v="8.975185185185186"/>
    <n v="60.582500000000003"/>
    <n v="5.7401064663888084"/>
  </r>
  <r>
    <s v="A2058"/>
    <s v="Data Analytics Course"/>
    <n v="143"/>
    <n v="5314"/>
    <n v="222.14"/>
    <n v="21"/>
    <n v="9"/>
    <n v="6.3E-2"/>
    <n v="1505"/>
    <s v="22-11-2024"/>
    <s v="Hyderabad"/>
    <x v="2"/>
    <s v="learn data analytics"/>
    <d v="2024-11-22T00:00:00"/>
    <n v="2.6910048927361686E-2"/>
    <n v="1.5534265734265733"/>
    <n v="10.578095238095237"/>
    <n v="24.682222222222222"/>
    <n v="6.7750067524984248"/>
  </r>
  <r>
    <s v="A2059"/>
    <s v="Data Analytics Course"/>
    <n v="110"/>
    <n v="4394"/>
    <n v="194.23"/>
    <n v="28"/>
    <n v="3"/>
    <n v="2.7E-2"/>
    <n v="1394"/>
    <d v="2024-11-25T00:00:00"/>
    <s v="Hyderabad"/>
    <x v="2"/>
    <s v="analytics for data"/>
    <d v="2024-11-25T00:00:00"/>
    <n v="2.5034137460172964E-2"/>
    <n v="1.7657272727272726"/>
    <n v="6.9367857142857137"/>
    <n v="64.743333333333325"/>
    <n v="7.177058126962879"/>
  </r>
  <r>
    <s v="A2060"/>
    <s v="Data Analytics Course"/>
    <n v="119"/>
    <n v="5820"/>
    <n v="196.42"/>
    <n v="11"/>
    <n v="10"/>
    <n v="8.4000000000000005E-2"/>
    <n v="1707"/>
    <s v="22-11-2024"/>
    <s v="Hyderabad"/>
    <x v="2"/>
    <s v="learn data analytics"/>
    <d v="2024-11-22T00:00:00"/>
    <n v="2.0446735395189004E-2"/>
    <n v="1.6505882352941175"/>
    <n v="17.856363636363636"/>
    <n v="19.641999999999999"/>
    <n v="8.6905610426636812"/>
  </r>
  <r>
    <s v="A2061"/>
    <s v="Data Analytics Course"/>
    <n v="178"/>
    <n v="5328"/>
    <n v="201.9"/>
    <n v="20"/>
    <n v="9"/>
    <n v="5.0999999999999997E-2"/>
    <n v="1452"/>
    <s v="21-11-2024"/>
    <s v="Hyderabad"/>
    <x v="1"/>
    <s v="data analytics course"/>
    <d v="2024-11-21T00:00:00"/>
    <n v="3.3408408408408412E-2"/>
    <n v="1.1342696629213485"/>
    <n v="10.095000000000001"/>
    <n v="22.433333333333334"/>
    <n v="7.1916790490341755"/>
  </r>
  <r>
    <s v="A2062"/>
    <s v="Data Analytics Course"/>
    <n v="139"/>
    <n v="3557"/>
    <n v="190.84"/>
    <n v="17"/>
    <n v="4"/>
    <n v="4.5999999999999999E-2"/>
    <n v="1925"/>
    <s v="28-11-2024"/>
    <s v="Hyderabad"/>
    <x v="0"/>
    <s v="data analitics online"/>
    <d v="2024-11-28T00:00:00"/>
    <n v="3.9077874613438292E-2"/>
    <n v="1.3729496402877699"/>
    <n v="11.225882352941177"/>
    <n v="47.71"/>
    <n v="10.086983860825823"/>
  </r>
  <r>
    <s v="A2063"/>
    <s v="Data Analytics Course"/>
    <n v="95"/>
    <n v="4050"/>
    <n v="234.79"/>
    <n v="20"/>
    <n v="5"/>
    <n v="4.5999999999999999E-2"/>
    <n v="1783"/>
    <s v="18-11-2024"/>
    <s v="Hyderabad"/>
    <x v="1"/>
    <s v="data analitics online"/>
    <d v="2024-11-18T00:00:00"/>
    <n v="2.3456790123456792E-2"/>
    <n v="2.471473684210526"/>
    <n v="11.7395"/>
    <n v="46.957999999999998"/>
    <n v="7.5940201882533334"/>
  </r>
  <r>
    <s v="A2064"/>
    <s v="Data Analytics Course"/>
    <n v="198"/>
    <n v="3575"/>
    <n v="224.07"/>
    <n v="13"/>
    <n v="3"/>
    <n v="4.5999999999999999E-2"/>
    <n v="1070"/>
    <d v="2024-11-09T00:00:00"/>
    <s v="Hyderabad"/>
    <x v="0"/>
    <s v="data analitics online"/>
    <d v="2024-11-09T00:00:00"/>
    <n v="5.5384615384615386E-2"/>
    <n v="1.1316666666666666"/>
    <n v="17.236153846153847"/>
    <n v="74.69"/>
    <n v="4.7752934350872493"/>
  </r>
  <r>
    <s v="A2065"/>
    <s v="Data Analytics Course"/>
    <n v="134"/>
    <n v="5570"/>
    <n v="233.77"/>
    <n v="15"/>
    <n v="4"/>
    <n v="0.03"/>
    <n v="1101"/>
    <d v="2024-11-27T00:00:00"/>
    <s v="Hyderabad"/>
    <x v="1"/>
    <s v="data analytics course"/>
    <d v="2024-11-27T00:00:00"/>
    <n v="2.4057450628366249E-2"/>
    <n v="1.7445522388059702"/>
    <n v="15.584666666666667"/>
    <n v="58.442500000000003"/>
    <n v="4.7097574539076872"/>
  </r>
  <r>
    <s v="A2066"/>
    <s v="Data Analytics Course"/>
    <n v="83"/>
    <n v="4883"/>
    <n v="228.3"/>
    <n v="29"/>
    <n v="10"/>
    <n v="4.5999999999999999E-2"/>
    <n v="1456"/>
    <d v="2024-11-07T00:00:00"/>
    <s v="Hyderabad"/>
    <x v="1"/>
    <s v="learn data analytics"/>
    <d v="2024-11-07T00:00:00"/>
    <n v="1.6997747286504199E-2"/>
    <n v="2.7506024096385544"/>
    <n v="7.8724137931034486"/>
    <n v="22.830000000000002"/>
    <n v="6.3775733683749447"/>
  </r>
  <r>
    <s v="A2067"/>
    <s v="Data Analytics Course"/>
    <n v="187"/>
    <n v="4753"/>
    <n v="236.03"/>
    <n v="13"/>
    <n v="3"/>
    <n v="5.3999999999999999E-2"/>
    <n v="1906"/>
    <d v="2024-11-18T00:00:00"/>
    <s v="Hyderabad"/>
    <x v="0"/>
    <s v="data analitics online"/>
    <d v="2024-11-18T00:00:00"/>
    <n v="3.9343572480538609E-2"/>
    <n v="1.262192513368984"/>
    <n v="18.156153846153845"/>
    <n v="78.676666666666662"/>
    <n v="8.0752446722874218"/>
  </r>
  <r>
    <s v="A2068"/>
    <s v="Data Analytics Course"/>
    <n v="81"/>
    <n v="5653"/>
    <n v="245.33"/>
    <n v="23"/>
    <n v="8"/>
    <n v="9.9000000000000005E-2"/>
    <n v="1248"/>
    <d v="2024-11-26T00:00:00"/>
    <s v="Hyderabad"/>
    <x v="1"/>
    <s v="data analitics online"/>
    <d v="2024-11-26T00:00:00"/>
    <n v="1.4328675039801874E-2"/>
    <n v="3.0287654320987656"/>
    <n v="10.666521739130435"/>
    <n v="30.666250000000002"/>
    <n v="5.0870256389353115"/>
  </r>
  <r>
    <s v="A2069"/>
    <s v="Data Analytics Course"/>
    <n v="144"/>
    <n v="5750"/>
    <n v="184.37"/>
    <n v="19"/>
    <n v="8"/>
    <n v="5.6000000000000001E-2"/>
    <n v="1098"/>
    <d v="2024-11-26T00:00:00"/>
    <s v="Hyderabad"/>
    <x v="0"/>
    <s v="learn data analytics"/>
    <d v="2024-11-26T00:00:00"/>
    <n v="2.5043478260869566E-2"/>
    <n v="1.2803472222222223"/>
    <n v="9.7036842105263155"/>
    <n v="23.046250000000001"/>
    <n v="5.9554157400878669"/>
  </r>
  <r>
    <s v="A2070"/>
    <s v="Data Analytics Course"/>
    <n v="161"/>
    <n v="5766"/>
    <n v="221.93"/>
    <n v="10"/>
    <n v="8"/>
    <n v="0.05"/>
    <n v="1830"/>
    <d v="2024-11-13T00:00:00"/>
    <s v="Hyderabad"/>
    <x v="2"/>
    <s v="online data analytic"/>
    <d v="2024-11-13T00:00:00"/>
    <n v="2.7922303156434271E-2"/>
    <n v="1.3784472049689442"/>
    <n v="22.193000000000001"/>
    <n v="27.741250000000001"/>
    <n v="8.2458432839183526"/>
  </r>
  <r>
    <s v="A2071"/>
    <s v="Data Analytics Course"/>
    <n v="90"/>
    <n v="4424"/>
    <n v="219.77"/>
    <n v="10"/>
    <n v="4"/>
    <n v="4.5999999999999999E-2"/>
    <n v="1396"/>
    <d v="2024-08-11T00:00:00"/>
    <s v="Hyderabad"/>
    <x v="0"/>
    <s v="data analitics online"/>
    <d v="2024-08-11T00:00:00"/>
    <n v="2.0343580470162749E-2"/>
    <n v="2.4418888888888892"/>
    <n v="21.977"/>
    <n v="54.942500000000003"/>
    <n v="6.3520953724348184"/>
  </r>
  <r>
    <s v="A2072"/>
    <s v="Data Analytics Course"/>
    <n v="128"/>
    <n v="5043"/>
    <n v="231.72"/>
    <n v="26"/>
    <n v="8"/>
    <n v="6.2E-2"/>
    <n v="1508"/>
    <d v="2024-11-26T00:00:00"/>
    <s v="Hyderabad"/>
    <x v="2"/>
    <s v="analytics for data"/>
    <d v="2024-11-26T00:00:00"/>
    <n v="2.5381717231806464E-2"/>
    <n v="1.8103125"/>
    <n v="8.9123076923076923"/>
    <n v="28.965"/>
    <n v="6.5078543069221473"/>
  </r>
  <r>
    <s v="A2073"/>
    <s v="Data Analytics Course"/>
    <n v="195"/>
    <n v="4529"/>
    <n v="200.36"/>
    <n v="25"/>
    <n v="7"/>
    <n v="3.4000000000000002E-2"/>
    <n v="1343"/>
    <d v="2024-11-30T00:00:00"/>
    <s v="Hyderabad"/>
    <x v="2"/>
    <s v="data anaytics training"/>
    <d v="2024-11-30T00:00:00"/>
    <n v="4.3055862221240894E-2"/>
    <n v="1.0274871794871796"/>
    <n v="8.0144000000000002"/>
    <n v="28.622857142857146"/>
    <n v="6.7029347175084846"/>
  </r>
  <r>
    <s v="A2074"/>
    <s v="Data Analytics Course"/>
    <n v="160"/>
    <n v="5751"/>
    <n v="215.57"/>
    <n v="28"/>
    <n v="4"/>
    <n v="0.04"/>
    <n v="1802"/>
    <d v="2024-11-22T00:00:00"/>
    <s v="Hyderabad"/>
    <x v="1"/>
    <s v="learn data analytics"/>
    <d v="2024-11-22T00:00:00"/>
    <n v="2.7821248478525473E-2"/>
    <n v="1.3473124999999999"/>
    <n v="7.6989285714285716"/>
    <n v="53.892499999999998"/>
    <n v="8.3592336596001307"/>
  </r>
  <r>
    <s v="A2075"/>
    <s v="Data Analytics Course"/>
    <n v="176"/>
    <n v="4518"/>
    <n v="237.95"/>
    <n v="17"/>
    <n v="10"/>
    <n v="5.7000000000000002E-2"/>
    <n v="1933"/>
    <d v="2024-11-11T00:00:00"/>
    <s v="Hyderabad"/>
    <x v="0"/>
    <s v="analytics for data"/>
    <d v="2024-11-11T00:00:00"/>
    <n v="3.8955289951305885E-2"/>
    <n v="1.3519886363636362"/>
    <n v="13.997058823529411"/>
    <n v="23.794999999999998"/>
    <n v="8.1235553687749533"/>
  </r>
  <r>
    <s v="A2076"/>
    <s v="Data Analytics Course"/>
    <n v="157"/>
    <n v="5201"/>
    <n v="228.72"/>
    <n v="14"/>
    <n v="8"/>
    <n v="5.0999999999999997E-2"/>
    <n v="1458"/>
    <d v="2024-11-09T00:00:00"/>
    <s v="Hyderabad"/>
    <x v="1"/>
    <s v="data analitics online"/>
    <d v="2024-11-09T00:00:00"/>
    <n v="3.0186502595654682E-2"/>
    <n v="1.4568152866242039"/>
    <n v="16.337142857142858"/>
    <n v="28.59"/>
    <n v="6.3746065057712489"/>
  </r>
  <r>
    <s v="A2077"/>
    <s v="Data Analytics Course"/>
    <n v="104"/>
    <n v="4735"/>
    <n v="233.95"/>
    <n v="19"/>
    <n v="6"/>
    <n v="5.8000000000000003E-2"/>
    <n v="1493"/>
    <d v="2024-11-23T00:00:00"/>
    <s v="Hyderabad"/>
    <x v="1"/>
    <s v="learn data analytics"/>
    <d v="2024-11-23T00:00:00"/>
    <n v="2.1964097148891235E-2"/>
    <n v="2.2495192307692307"/>
    <n v="12.313157894736841"/>
    <n v="38.991666666666667"/>
    <n v="6.3817054926266303"/>
  </r>
  <r>
    <s v="A2078"/>
    <s v="Data Analytics Course"/>
    <n v="117"/>
    <n v="3014"/>
    <n v="242.24"/>
    <n v="12"/>
    <n v="7"/>
    <n v="4.5999999999999999E-2"/>
    <n v="1432"/>
    <s v="29-11-2024"/>
    <s v="Hyderabad"/>
    <x v="1"/>
    <s v="learn data analytics"/>
    <d v="2024-11-29T00:00:00"/>
    <n v="3.8818845388188451E-2"/>
    <n v="2.0704273504273507"/>
    <n v="20.186666666666667"/>
    <n v="34.605714285714285"/>
    <n v="5.9114927344782036"/>
  </r>
  <r>
    <s v="A2079"/>
    <s v="Data Analytics Course"/>
    <n v="138"/>
    <n v="5506"/>
    <n v="192.89"/>
    <n v="27"/>
    <n v="6"/>
    <n v="4.2999999999999997E-2"/>
    <n v="1261"/>
    <d v="2024-11-02T00:00:00"/>
    <s v="Hyderabad"/>
    <x v="2"/>
    <s v="learn data analytics"/>
    <d v="2024-11-02T00:00:00"/>
    <n v="2.5063567017798764E-2"/>
    <n v="1.3977536231884058"/>
    <n v="7.1440740740740738"/>
    <n v="32.148333333333333"/>
    <n v="6.5374047384519676"/>
  </r>
  <r>
    <s v="A2080"/>
    <s v="Data Analytics Course"/>
    <n v="84"/>
    <n v="3758"/>
    <n v="232.56"/>
    <n v="26"/>
    <n v="5"/>
    <n v="0.06"/>
    <n v="1384"/>
    <d v="2024-06-11T00:00:00"/>
    <s v="Hyderabad"/>
    <x v="0"/>
    <s v="data analytics course"/>
    <d v="2024-06-11T00:00:00"/>
    <n v="2.2352315061202766E-2"/>
    <n v="2.7685714285714287"/>
    <n v="8.9446153846153855"/>
    <n v="46.512"/>
    <n v="5.9511523907808739"/>
  </r>
  <r>
    <s v="A2081"/>
    <s v="Data Analytics Course"/>
    <n v="102"/>
    <n v="4460"/>
    <n v="182.23"/>
    <n v="15"/>
    <n v="6"/>
    <n v="5.8999999999999997E-2"/>
    <n v="1849"/>
    <s v="14-11-2024"/>
    <s v="Hyderabad"/>
    <x v="2"/>
    <s v="data analitics online"/>
    <d v="2024-11-14T00:00:00"/>
    <n v="2.2869955156950672E-2"/>
    <n v="1.7865686274509802"/>
    <n v="12.148666666666665"/>
    <n v="30.371666666666666"/>
    <n v="10.146518136421006"/>
  </r>
  <r>
    <s v="A2082"/>
    <s v="Data Analytics Course"/>
    <n v="122"/>
    <n v="5518"/>
    <n v="202"/>
    <n v="27"/>
    <n v="3"/>
    <n v="2.5000000000000001E-2"/>
    <n v="1884"/>
    <d v="2024-11-11T00:00:00"/>
    <s v="Hyderabad"/>
    <x v="2"/>
    <s v="analytics for data"/>
    <d v="2024-11-11T00:00:00"/>
    <n v="2.2109459949256977E-2"/>
    <n v="1.6557377049180328"/>
    <n v="7.4814814814814818"/>
    <n v="67.333333333333329"/>
    <n v="9.3267326732673261"/>
  </r>
  <r>
    <s v="A2083"/>
    <s v="Data Analytics Course"/>
    <n v="198"/>
    <n v="5542"/>
    <n v="234.62"/>
    <n v="10"/>
    <n v="10"/>
    <n v="5.0999999999999997E-2"/>
    <n v="1605"/>
    <d v="2024-11-27T00:00:00"/>
    <s v="Hyderabad"/>
    <x v="2"/>
    <s v="online data analytic"/>
    <d v="2024-11-27T00:00:00"/>
    <n v="3.5727174305304941E-2"/>
    <n v="1.184949494949495"/>
    <n v="23.462"/>
    <n v="23.462"/>
    <n v="6.8408490324780491"/>
  </r>
  <r>
    <s v="A2084"/>
    <s v="Data Analytics Course"/>
    <n v="152"/>
    <n v="5678"/>
    <n v="204.41"/>
    <n v="22"/>
    <n v="4"/>
    <n v="4.5999999999999999E-2"/>
    <n v="1794"/>
    <s v="20-11-2024"/>
    <s v="Hyderabad"/>
    <x v="0"/>
    <s v="online data analytic"/>
    <d v="2024-11-20T00:00:00"/>
    <n v="2.6769989432898909E-2"/>
    <n v="1.3448026315789474"/>
    <n v="9.291363636363636"/>
    <n v="51.102499999999999"/>
    <n v="8.7764786458588127"/>
  </r>
  <r>
    <s v="A2085"/>
    <s v="Data Analytics Course"/>
    <n v="147"/>
    <n v="4608"/>
    <n v="180.04"/>
    <n v="20"/>
    <n v="6"/>
    <n v="4.1000000000000002E-2"/>
    <n v="1351"/>
    <s v="21-11-2024"/>
    <s v="Hyderabad"/>
    <x v="0"/>
    <s v="data analitics online"/>
    <d v="2024-11-21T00:00:00"/>
    <n v="3.1901041666666664E-2"/>
    <n v="1.2247619047619047"/>
    <n v="9.0019999999999989"/>
    <n v="30.006666666666664"/>
    <n v="7.5038880248833593"/>
  </r>
  <r>
    <s v="A2086"/>
    <s v="Data Analytics Course"/>
    <n v="108"/>
    <n v="5448"/>
    <n v="230.17"/>
    <n v="12"/>
    <n v="10"/>
    <n v="5.1999999999999998E-2"/>
    <n v="1039"/>
    <d v="2024-11-19T00:00:00"/>
    <s v="Hyderabad"/>
    <x v="0"/>
    <s v="data analytics course"/>
    <d v="2024-11-19T00:00:00"/>
    <n v="1.9823788546255508E-2"/>
    <n v="2.1312037037037035"/>
    <n v="19.180833333333332"/>
    <n v="23.016999999999999"/>
    <n v="4.5140548290394058"/>
  </r>
  <r>
    <s v="A2087"/>
    <s v="Data Analytics Course"/>
    <n v="137"/>
    <n v="5261"/>
    <n v="196.48"/>
    <n v="23"/>
    <n v="5"/>
    <n v="3.5999999999999997E-2"/>
    <n v="1227"/>
    <d v="2024-11-26T00:00:00"/>
    <s v="Hyderabad"/>
    <x v="2"/>
    <s v="data anaytics training"/>
    <d v="2024-11-26T00:00:00"/>
    <n v="2.604067667743775E-2"/>
    <n v="1.4341605839416058"/>
    <n v="8.5426086956521736"/>
    <n v="39.295999999999999"/>
    <n v="6.2449104234527688"/>
  </r>
  <r>
    <s v="A2088"/>
    <s v="Data Analytics Course"/>
    <n v="131"/>
    <n v="4518.5"/>
    <n v="209.38"/>
    <n v="16"/>
    <n v="9"/>
    <n v="6.9000000000000006E-2"/>
    <n v="1645"/>
    <d v="2024-11-12T00:00:00"/>
    <s v="Hyderabad"/>
    <x v="1"/>
    <s v="data analitics online"/>
    <d v="2024-11-12T00:00:00"/>
    <n v="2.8991922098041384E-2"/>
    <n v="1.5983206106870229"/>
    <n v="13.08625"/>
    <n v="23.264444444444443"/>
    <n v="7.8565287993122555"/>
  </r>
  <r>
    <s v="A2089"/>
    <s v="Data Analytics Course"/>
    <n v="80"/>
    <n v="3760"/>
    <n v="236.82"/>
    <n v="13"/>
    <n v="4"/>
    <n v="0.05"/>
    <n v="1927"/>
    <d v="2024-11-21T00:00:00"/>
    <s v="Hyderabad"/>
    <x v="0"/>
    <s v="learn data analytics"/>
    <d v="2024-11-21T00:00:00"/>
    <n v="2.1276595744680851E-2"/>
    <n v="2.9602499999999998"/>
    <n v="18.216923076923077"/>
    <n v="59.204999999999998"/>
    <n v="8.1369816738451153"/>
  </r>
  <r>
    <s v="A2090"/>
    <s v="Data Analytics Course"/>
    <n v="114"/>
    <n v="4157"/>
    <n v="248.56"/>
    <n v="10"/>
    <n v="7"/>
    <n v="6.0999999999999999E-2"/>
    <n v="1671"/>
    <d v="2024-11-10T00:00:00"/>
    <s v="Hyderabad"/>
    <x v="0"/>
    <s v="analytics for data"/>
    <d v="2024-11-10T00:00:00"/>
    <n v="2.7423622804907385E-2"/>
    <n v="2.1803508771929825"/>
    <n v="24.856000000000002"/>
    <n v="35.508571428571429"/>
    <n v="6.72272288381075"/>
  </r>
  <r>
    <s v="A2091"/>
    <s v="Data Analytics Course"/>
    <n v="123"/>
    <n v="4580"/>
    <n v="223"/>
    <n v="15"/>
    <n v="7"/>
    <n v="5.7000000000000002E-2"/>
    <n v="1614"/>
    <s v="18-11-2024"/>
    <s v="Hyderabad"/>
    <x v="1"/>
    <s v="analytics for data"/>
    <d v="2024-11-18T00:00:00"/>
    <n v="2.6855895196506552E-2"/>
    <n v="1.8130081300813008"/>
    <n v="14.866666666666667"/>
    <n v="31.857142857142858"/>
    <n v="7.2376681614349776"/>
  </r>
  <r>
    <s v="A2092"/>
    <s v="Data Analytics Course"/>
    <n v="168"/>
    <n v="4068"/>
    <n v="233.54"/>
    <n v="23"/>
    <n v="5"/>
    <n v="0.03"/>
    <n v="1636"/>
    <d v="2024-11-27T00:00:00"/>
    <s v="Hyderabad"/>
    <x v="1"/>
    <s v="analytics for data"/>
    <d v="2024-11-27T00:00:00"/>
    <n v="4.1297935103244837E-2"/>
    <n v="1.3901190476190475"/>
    <n v="10.15391304347826"/>
    <n v="46.707999999999998"/>
    <n v="7.0052239445062945"/>
  </r>
  <r>
    <s v="A2093"/>
    <s v="Data Analytics Course"/>
    <n v="180"/>
    <n v="3072"/>
    <n v="218.47"/>
    <n v="28"/>
    <n v="9"/>
    <n v="0.05"/>
    <n v="1200"/>
    <d v="2024-06-11T00:00:00"/>
    <s v="Hyderabad"/>
    <x v="1"/>
    <s v="learn data analytics"/>
    <d v="2024-06-11T00:00:00"/>
    <n v="5.859375E-2"/>
    <n v="1.2137222222222221"/>
    <n v="7.8025000000000002"/>
    <n v="24.274444444444445"/>
    <n v="5.4927449993134072"/>
  </r>
  <r>
    <s v="A2094"/>
    <s v="Data Analytics Course"/>
    <n v="117"/>
    <n v="5379"/>
    <n v="240.68"/>
    <n v="18"/>
    <n v="3"/>
    <n v="3.7999999999999999E-2"/>
    <n v="1361"/>
    <d v="2024-11-06T00:00:00"/>
    <s v="Hyderabad"/>
    <x v="2"/>
    <s v="analytics for data"/>
    <d v="2024-11-06T00:00:00"/>
    <n v="2.1751254880089235E-2"/>
    <n v="2.0570940170940171"/>
    <n v="13.371111111111112"/>
    <n v="80.226666666666674"/>
    <n v="5.6548113677912584"/>
  </r>
  <r>
    <s v="A2095"/>
    <s v="Data Analytics Course"/>
    <n v="103"/>
    <n v="4885"/>
    <n v="221.05"/>
    <n v="21"/>
    <n v="10"/>
    <n v="9.7000000000000003E-2"/>
    <n v="1505"/>
    <d v="2024-11-25T00:00:00"/>
    <s v="Hyderabad"/>
    <x v="1"/>
    <s v="online data analytic"/>
    <d v="2024-11-25T00:00:00"/>
    <n v="2.1084953940634595E-2"/>
    <n v="2.1461165048543691"/>
    <n v="10.526190476190477"/>
    <n v="22.105"/>
    <n v="6.8084143858855457"/>
  </r>
  <r>
    <s v="A2096"/>
    <s v="Data Analytics Course"/>
    <n v="140"/>
    <n v="5859"/>
    <n v="211.08"/>
    <n v="26"/>
    <n v="9"/>
    <n v="6.4000000000000001E-2"/>
    <n v="1276"/>
    <d v="2024-11-15T00:00:00"/>
    <s v="Hyderabad"/>
    <x v="0"/>
    <s v="data anaytics training"/>
    <d v="2024-11-15T00:00:00"/>
    <n v="2.3894862604540025E-2"/>
    <n v="1.5077142857142858"/>
    <n v="8.1184615384615384"/>
    <n v="23.453333333333333"/>
    <n v="6.0451013833617582"/>
  </r>
  <r>
    <s v="A2097"/>
    <s v="Data Analytics Course"/>
    <n v="158"/>
    <n v="4574"/>
    <n v="198.9"/>
    <n v="21"/>
    <n v="8"/>
    <n v="4.5999999999999999E-2"/>
    <n v="1706"/>
    <d v="2024-04-11T00:00:00"/>
    <s v="Hyderabad"/>
    <x v="0"/>
    <s v="learn data analytics"/>
    <d v="2024-04-11T00:00:00"/>
    <n v="3.4543069523393088E-2"/>
    <n v="1.2588607594936709"/>
    <n v="9.4714285714285715"/>
    <n v="24.862500000000001"/>
    <n v="8.5771744595274004"/>
  </r>
  <r>
    <s v="A2098"/>
    <s v="Data Analytics Course"/>
    <n v="162"/>
    <n v="5911"/>
    <n v="232.03"/>
    <n v="12"/>
    <n v="7"/>
    <n v="4.2999999999999997E-2"/>
    <n v="1613"/>
    <d v="2024-09-11T00:00:00"/>
    <s v="Hyderabad"/>
    <x v="2"/>
    <s v="data analitics online"/>
    <d v="2024-09-11T00:00:00"/>
    <n v="2.7406530197936051E-2"/>
    <n v="1.432283950617284"/>
    <n v="19.335833333333333"/>
    <n v="33.14714285714286"/>
    <n v="6.9516872818170068"/>
  </r>
  <r>
    <s v="A2099"/>
    <s v="Data Analytics Course"/>
    <n v="122"/>
    <n v="3440"/>
    <n v="206.78"/>
    <n v="20"/>
    <n v="3"/>
    <n v="2.5000000000000001E-2"/>
    <n v="1222"/>
    <d v="2024-11-24T00:00:00"/>
    <s v="Hyderabad"/>
    <x v="2"/>
    <s v="online data analytic"/>
    <d v="2024-11-24T00:00:00"/>
    <n v="3.5465116279069765E-2"/>
    <n v="1.6949180327868854"/>
    <n v="10.339"/>
    <n v="68.926666666666662"/>
    <n v="5.9096624431763223"/>
  </r>
  <r>
    <s v="A2100"/>
    <s v="Data Analytics Course"/>
    <n v="89"/>
    <n v="4319"/>
    <n v="198.79"/>
    <n v="23"/>
    <n v="10"/>
    <n v="0.112"/>
    <n v="1980"/>
    <s v="16-11-2024"/>
    <s v="Hyderabad"/>
    <x v="1"/>
    <s v="learn data analytics"/>
    <d v="2024-11-16T00:00:00"/>
    <n v="2.0606621903218339E-2"/>
    <n v="2.2335955056179775"/>
    <n v="8.6430434782608696"/>
    <n v="19.878999999999998"/>
    <n v="9.9602595704009254"/>
  </r>
  <r>
    <s v="A2101"/>
    <s v="Data Analytics Course"/>
    <n v="119"/>
    <n v="3956"/>
    <n v="188.53"/>
    <n v="20"/>
    <n v="5"/>
    <n v="4.3999999999999997E-2"/>
    <n v="1311"/>
    <s v="15-11-2024"/>
    <s v="Hyderabad"/>
    <x v="2"/>
    <s v="data anaytics training"/>
    <d v="2024-11-15T00:00:00"/>
    <n v="3.0080889787664308E-2"/>
    <n v="1.5842857142857143"/>
    <n v="9.4265000000000008"/>
    <n v="37.706000000000003"/>
    <n v="6.9538004561608231"/>
  </r>
  <r>
    <s v="A2102"/>
    <s v="Data Analytics Course"/>
    <n v="155"/>
    <n v="4220"/>
    <n v="200.81"/>
    <n v="20"/>
    <n v="3"/>
    <n v="1.9E-2"/>
    <n v="1199"/>
    <s v="30-11-2024"/>
    <s v="Hyderabad"/>
    <x v="1"/>
    <s v="data analytics course"/>
    <d v="2024-11-30T00:00:00"/>
    <n v="3.6729857819905211E-2"/>
    <n v="1.2955483870967741"/>
    <n v="10.0405"/>
    <n v="66.936666666666667"/>
    <n v="5.9708181863453014"/>
  </r>
  <r>
    <s v="A2103"/>
    <s v="Data Analytics Course"/>
    <n v="139"/>
    <n v="3692"/>
    <n v="243.6"/>
    <n v="30"/>
    <n v="4"/>
    <n v="4.5999999999999999E-2"/>
    <n v="1954"/>
    <d v="2024-11-01T00:00:00"/>
    <s v="Hyderabad"/>
    <x v="1"/>
    <s v="analytics for data"/>
    <d v="2024-11-01T00:00:00"/>
    <n v="3.7648970747562294E-2"/>
    <n v="1.7525179856115107"/>
    <n v="8.1199999999999992"/>
    <n v="60.9"/>
    <n v="8.0213464696223316"/>
  </r>
  <r>
    <s v="A2104"/>
    <s v="Data Analytics Course"/>
    <n v="179"/>
    <n v="4188"/>
    <n v="231.23"/>
    <n v="25"/>
    <n v="9"/>
    <n v="0.05"/>
    <n v="1936"/>
    <s v="19-11-2024"/>
    <s v="Hyderabad"/>
    <x v="1"/>
    <s v="online data analytic"/>
    <d v="2024-11-19T00:00:00"/>
    <n v="4.2741165234001913E-2"/>
    <n v="1.2917877094972066"/>
    <n v="9.2492000000000001"/>
    <n v="25.69222222222222"/>
    <n v="8.3726160100333011"/>
  </r>
  <r>
    <s v="A2105"/>
    <s v="Data Analytics Course"/>
    <n v="194"/>
    <n v="4518.5"/>
    <n v="217.93"/>
    <n v="29"/>
    <n v="7"/>
    <n v="4.5999999999999999E-2"/>
    <n v="1457"/>
    <d v="2024-11-25T00:00:00"/>
    <s v="Hyderabad"/>
    <x v="1"/>
    <s v="data analytics course"/>
    <d v="2024-11-25T00:00:00"/>
    <n v="4.2934602190992585E-2"/>
    <n v="1.1233505154639176"/>
    <n v="7.5148275862068967"/>
    <n v="31.132857142857144"/>
    <n v="6.6856330014224747"/>
  </r>
  <r>
    <s v="A2106"/>
    <s v="Data Analytics Course"/>
    <n v="101"/>
    <n v="3401"/>
    <n v="194.12"/>
    <n v="27"/>
    <n v="3"/>
    <n v="0.03"/>
    <n v="1721"/>
    <d v="2024-11-11T00:00:00"/>
    <s v="Hyderabad"/>
    <x v="1"/>
    <s v="learn data analytics"/>
    <d v="2024-11-11T00:00:00"/>
    <n v="2.9697147897677155E-2"/>
    <n v="1.9219801980198021"/>
    <n v="7.1896296296296294"/>
    <n v="64.706666666666663"/>
    <n v="8.8656501133319594"/>
  </r>
  <r>
    <s v="A2107"/>
    <s v="Data Analytics Course"/>
    <n v="110"/>
    <n v="3382"/>
    <n v="249.88"/>
    <n v="17"/>
    <n v="6"/>
    <n v="4.3999999999999997E-2"/>
    <n v="1327"/>
    <d v="2024-11-22T00:00:00"/>
    <s v="Hyderabad"/>
    <x v="1"/>
    <s v="learn data analytics"/>
    <d v="2024-11-22T00:00:00"/>
    <n v="3.2525133057362508E-2"/>
    <n v="2.2716363636363637"/>
    <n v="14.698823529411765"/>
    <n v="41.646666666666668"/>
    <n v="5.3105490635505044"/>
  </r>
  <r>
    <s v="A2108"/>
    <s v="Data Analytics Course"/>
    <n v="179"/>
    <n v="5366"/>
    <n v="204.5"/>
    <n v="20"/>
    <n v="9"/>
    <n v="0.05"/>
    <n v="1510"/>
    <s v="22-11-2024"/>
    <s v="Hyderabad"/>
    <x v="2"/>
    <s v="data analitics online"/>
    <d v="2024-11-22T00:00:00"/>
    <n v="3.3358181140514351E-2"/>
    <n v="1.1424581005586592"/>
    <n v="10.225"/>
    <n v="22.722222222222221"/>
    <n v="7.3838630806845966"/>
  </r>
  <r>
    <s v="A2109"/>
    <s v="Data Analytics Course"/>
    <n v="193"/>
    <n v="4611"/>
    <n v="197.28"/>
    <n v="27"/>
    <n v="10"/>
    <n v="3.4000000000000002E-2"/>
    <n v="1701"/>
    <s v="29-11-2024"/>
    <s v="Hyderabad"/>
    <x v="1"/>
    <s v="data analytics course"/>
    <d v="2024-11-29T00:00:00"/>
    <n v="4.1856430275428326E-2"/>
    <n v="1.0221761658031088"/>
    <n v="7.3066666666666666"/>
    <n v="19.728000000000002"/>
    <n v="8.6222627737226283"/>
  </r>
  <r>
    <s v="A2110"/>
    <s v="Data Analytics Course"/>
    <n v="188"/>
    <n v="4447"/>
    <n v="234.18"/>
    <n v="14"/>
    <n v="8"/>
    <n v="4.4999999999999998E-2"/>
    <n v="1449"/>
    <d v="2024-11-17T00:00:00"/>
    <s v="Hyderabad"/>
    <x v="1"/>
    <s v="analytics for data"/>
    <d v="2024-11-17T00:00:00"/>
    <n v="4.2275691477400491E-2"/>
    <n v="1.2456382978723404"/>
    <n v="16.727142857142859"/>
    <n v="29.272500000000001"/>
    <n v="6.1875480399692542"/>
  </r>
  <r>
    <s v="A2111"/>
    <s v="Data Analytics Course"/>
    <n v="139"/>
    <n v="4075"/>
    <n v="211.41"/>
    <n v="11"/>
    <n v="7"/>
    <n v="4.5999999999999999E-2"/>
    <n v="1764"/>
    <d v="2024-11-08T00:00:00"/>
    <s v="Hyderabad"/>
    <x v="2"/>
    <s v="data analitics online"/>
    <d v="2024-11-08T00:00:00"/>
    <n v="3.4110429447852759E-2"/>
    <n v="1.520935251798561"/>
    <n v="19.219090909090909"/>
    <n v="30.201428571428572"/>
    <n v="8.3439761600681148"/>
  </r>
  <r>
    <s v="A2112"/>
    <s v="Data Analytics Course"/>
    <n v="177"/>
    <n v="4230"/>
    <n v="213.46"/>
    <n v="15"/>
    <n v="4"/>
    <n v="2.3E-2"/>
    <n v="1389"/>
    <d v="2024-11-06T00:00:00"/>
    <s v="Hyderabad"/>
    <x v="0"/>
    <s v="analytics for data"/>
    <d v="2024-11-06T00:00:00"/>
    <n v="4.1843971631205672E-2"/>
    <n v="1.2059887005649719"/>
    <n v="14.230666666666668"/>
    <n v="53.365000000000002"/>
    <n v="6.5070739248571154"/>
  </r>
  <r>
    <s v="A2113"/>
    <s v="Data Analytics Course"/>
    <n v="152"/>
    <n v="3729"/>
    <n v="214.23"/>
    <n v="22"/>
    <n v="7"/>
    <n v="4.7E-2"/>
    <n v="2000"/>
    <s v="20-11-2024"/>
    <s v="Hyderabad"/>
    <x v="2"/>
    <s v="analytics for data"/>
    <d v="2024-11-20T00:00:00"/>
    <n v="4.0761598283722181E-2"/>
    <n v="1.409407894736842"/>
    <n v="9.7377272727272715"/>
    <n v="30.604285714285712"/>
    <n v="9.3357606310974184"/>
  </r>
  <r>
    <s v="A2114"/>
    <s v="Data Analytics Course"/>
    <n v="168"/>
    <n v="4710"/>
    <n v="214.49"/>
    <n v="15"/>
    <n v="9"/>
    <n v="5.3999999999999999E-2"/>
    <n v="1466"/>
    <s v="24-11-2024"/>
    <s v="Hyderabad"/>
    <x v="1"/>
    <s v="data anaytics training"/>
    <d v="2024-11-24T00:00:00"/>
    <n v="3.5668789808917196E-2"/>
    <n v="1.2767261904761906"/>
    <n v="14.299333333333333"/>
    <n v="23.832222222222224"/>
    <n v="6.834817474008112"/>
  </r>
  <r>
    <s v="A2115"/>
    <s v="Data Analytics Course"/>
    <n v="171"/>
    <n v="5332"/>
    <n v="229.69"/>
    <n v="11"/>
    <n v="3"/>
    <n v="1.7999999999999999E-2"/>
    <n v="1685"/>
    <d v="2024-03-11T00:00:00"/>
    <s v="Hyderabad"/>
    <x v="1"/>
    <s v="data analytics course"/>
    <d v="2024-03-11T00:00:00"/>
    <n v="3.2070517629407352E-2"/>
    <n v="1.3432163742690058"/>
    <n v="20.880909090909089"/>
    <n v="76.563333333333333"/>
    <n v="7.3359745744264009"/>
  </r>
  <r>
    <s v="A2116"/>
    <s v="Data Analytics Course"/>
    <n v="150"/>
    <n v="3833"/>
    <n v="202.55"/>
    <n v="29"/>
    <n v="10"/>
    <n v="4.5999999999999999E-2"/>
    <n v="1509"/>
    <d v="2024-10-11T00:00:00"/>
    <s v="Hyderabad"/>
    <x v="2"/>
    <s v="learn data analytics"/>
    <d v="2024-10-11T00:00:00"/>
    <n v="3.913383772501957E-2"/>
    <n v="1.3503333333333334"/>
    <n v="6.9844827586206897"/>
    <n v="20.255000000000003"/>
    <n v="7.4500123426314486"/>
  </r>
  <r>
    <s v="A2117"/>
    <s v="Data Analytics Course"/>
    <n v="139"/>
    <n v="4833"/>
    <n v="193.96"/>
    <n v="23"/>
    <n v="9"/>
    <n v="4.5999999999999999E-2"/>
    <n v="1987"/>
    <d v="2024-11-16T00:00:00"/>
    <s v="Hyderabad"/>
    <x v="1"/>
    <s v="online data analytic"/>
    <d v="2024-11-16T00:00:00"/>
    <n v="2.8760604179598592E-2"/>
    <n v="1.3953956834532375"/>
    <n v="8.4330434782608705"/>
    <n v="21.551111111111112"/>
    <n v="10.244380284594762"/>
  </r>
  <r>
    <s v="A2118"/>
    <s v="Data Analytics Course"/>
    <n v="174"/>
    <n v="4720"/>
    <n v="215.57"/>
    <n v="25"/>
    <n v="10"/>
    <n v="4.5999999999999999E-2"/>
    <n v="1209"/>
    <s v="21-11-2024"/>
    <s v="Hyderabad"/>
    <x v="2"/>
    <s v="analytics for data"/>
    <d v="2024-11-21T00:00:00"/>
    <n v="3.6864406779661019E-2"/>
    <n v="1.2389080459770114"/>
    <n v="8.6227999999999998"/>
    <n v="21.556999999999999"/>
    <n v="5.6083870668460358"/>
  </r>
  <r>
    <s v="A2119"/>
    <s v="Data Analytics Course"/>
    <n v="127"/>
    <n v="3131"/>
    <n v="227.93"/>
    <n v="24"/>
    <n v="7"/>
    <n v="4.5999999999999999E-2"/>
    <n v="1571"/>
    <s v="14-11-2024"/>
    <s v="Hyderabad"/>
    <x v="0"/>
    <s v="data anaytics training"/>
    <d v="2024-11-14T00:00:00"/>
    <n v="4.0562120728201853E-2"/>
    <n v="1.7947244094488191"/>
    <n v="9.4970833333333342"/>
    <n v="32.561428571428571"/>
    <n v="6.8924669854779976"/>
  </r>
  <r>
    <s v="A2120"/>
    <s v="Data Analytics Course"/>
    <n v="148"/>
    <n v="5147"/>
    <n v="244.42"/>
    <n v="18"/>
    <n v="4"/>
    <n v="4.4999999999999998E-2"/>
    <n v="1348"/>
    <s v="30-11-2024"/>
    <s v="Hyderabad"/>
    <x v="0"/>
    <s v="data analitics online"/>
    <d v="2024-11-30T00:00:00"/>
    <n v="2.8754614338449582E-2"/>
    <n v="1.6514864864864864"/>
    <n v="13.578888888888889"/>
    <n v="61.104999999999997"/>
    <n v="5.515096964241879"/>
  </r>
  <r>
    <s v="A2121"/>
    <s v="Data Analytics Course"/>
    <n v="112"/>
    <n v="5288"/>
    <n v="246.27"/>
    <n v="26"/>
    <n v="10"/>
    <n v="8.8999999999999996E-2"/>
    <n v="1505"/>
    <d v="2024-11-10T00:00:00"/>
    <s v="Hyderabad"/>
    <x v="1"/>
    <s v="data anaytics training"/>
    <d v="2024-11-10T00:00:00"/>
    <n v="2.118003025718608E-2"/>
    <n v="2.198839285714286"/>
    <n v="9.471923076923078"/>
    <n v="24.627000000000002"/>
    <n v="6.1111787875096439"/>
  </r>
  <r>
    <s v="A2122"/>
    <s v="Data Analytics Course"/>
    <n v="184"/>
    <n v="3908"/>
    <n v="240.68"/>
    <n v="15"/>
    <n v="7"/>
    <n v="4.5999999999999999E-2"/>
    <n v="1332"/>
    <d v="2024-11-23T00:00:00"/>
    <s v="Hyderabad"/>
    <x v="2"/>
    <s v="analytics for data"/>
    <d v="2024-11-23T00:00:00"/>
    <n v="4.7082906857727737E-2"/>
    <n v="1.3080434782608696"/>
    <n v="16.045333333333335"/>
    <n v="34.382857142857141"/>
    <n v="5.5343194282865218"/>
  </r>
  <r>
    <s v="A2123"/>
    <s v="Data Analytics Course"/>
    <n v="116"/>
    <n v="3380"/>
    <n v="196.75"/>
    <n v="23"/>
    <n v="9"/>
    <n v="3.3000000000000002E-2"/>
    <n v="1434"/>
    <d v="2024-11-06T00:00:00"/>
    <s v="Hyderabad"/>
    <x v="1"/>
    <s v="analytics for data"/>
    <d v="2024-11-06T00:00:00"/>
    <n v="3.4319526627218933E-2"/>
    <n v="1.6961206896551724"/>
    <n v="8.554347826086957"/>
    <n v="21.861111111111111"/>
    <n v="7.2884371029224901"/>
  </r>
  <r>
    <s v="A2124"/>
    <s v="Data Analytics Course"/>
    <n v="152"/>
    <n v="3948"/>
    <n v="189.73"/>
    <n v="17"/>
    <n v="5"/>
    <n v="5.2999999999999999E-2"/>
    <n v="1851"/>
    <d v="2024-11-26T00:00:00"/>
    <s v="Hyderabad"/>
    <x v="1"/>
    <s v="analytics for data"/>
    <d v="2024-11-26T00:00:00"/>
    <n v="3.8500506585612972E-2"/>
    <n v="1.2482236842105263"/>
    <n v="11.160588235294117"/>
    <n v="37.945999999999998"/>
    <n v="9.7559690085911566"/>
  </r>
  <r>
    <s v="A2125"/>
    <s v="Data Analytics Course"/>
    <n v="197"/>
    <n v="3741"/>
    <n v="210.33"/>
    <n v="24"/>
    <n v="9"/>
    <n v="4.5999999999999999E-2"/>
    <n v="1883"/>
    <s v="26-11-2024"/>
    <s v="Hyderabad"/>
    <x v="0"/>
    <s v="data analytics course"/>
    <d v="2024-11-26T00:00:00"/>
    <n v="5.2659716653301256E-2"/>
    <n v="1.0676649746192894"/>
    <n v="8.7637499999999999"/>
    <n v="23.37"/>
    <n v="8.9525982979128038"/>
  </r>
  <r>
    <s v="A2126"/>
    <s v="Data Analytics Course"/>
    <n v="115"/>
    <n v="5836"/>
    <n v="233.52"/>
    <n v="21"/>
    <n v="6"/>
    <n v="5.1999999999999998E-2"/>
    <n v="1301"/>
    <d v="2024-11-08T00:00:00"/>
    <s v="Hyderabad"/>
    <x v="1"/>
    <s v="learn data analytics"/>
    <d v="2024-11-08T00:00:00"/>
    <n v="1.9705277587388624E-2"/>
    <n v="2.0306086956521741"/>
    <n v="11.120000000000001"/>
    <n v="38.92"/>
    <n v="5.5712572798903732"/>
  </r>
  <r>
    <s v="A2127"/>
    <s v="Data Analytics Course"/>
    <n v="192"/>
    <n v="3381"/>
    <n v="219.26"/>
    <n v="28"/>
    <n v="7"/>
    <n v="3.5999999999999997E-2"/>
    <n v="1377"/>
    <d v="2024-11-15T00:00:00"/>
    <s v="Hyderabad"/>
    <x v="1"/>
    <s v="online data analytic"/>
    <d v="2024-11-15T00:00:00"/>
    <n v="5.6787932564330082E-2"/>
    <n v="1.1419791666666665"/>
    <n v="7.8307142857142855"/>
    <n v="31.322857142857142"/>
    <n v="6.2802152695430085"/>
  </r>
  <r>
    <s v="A2128"/>
    <s v="Data Analytics Course"/>
    <n v="88"/>
    <n v="5781"/>
    <n v="246.82"/>
    <n v="21"/>
    <n v="6"/>
    <n v="5.7000000000000002E-2"/>
    <n v="1020"/>
    <d v="2024-11-25T00:00:00"/>
    <s v="Hyderabad"/>
    <x v="2"/>
    <s v="data analitics online"/>
    <d v="2024-11-25T00:00:00"/>
    <n v="1.5222279882373293E-2"/>
    <n v="2.8047727272727272"/>
    <n v="11.753333333333334"/>
    <n v="41.136666666666663"/>
    <n v="4.1325662426059475"/>
  </r>
  <r>
    <s v="A2129"/>
    <s v="Data Analytics Course"/>
    <n v="134"/>
    <n v="4707"/>
    <n v="239.9"/>
    <n v="29"/>
    <n v="8"/>
    <n v="0.06"/>
    <n v="1383"/>
    <d v="2024-11-24T00:00:00"/>
    <s v="Hyderabad"/>
    <x v="1"/>
    <s v="learn data analytics"/>
    <d v="2024-11-24T00:00:00"/>
    <n v="2.8468238793286596E-2"/>
    <n v="1.7902985074626867"/>
    <n v="8.272413793103448"/>
    <n v="29.987500000000001"/>
    <n v="5.7649020425177158"/>
  </r>
  <r>
    <s v="A2130"/>
    <s v="Data Analytics Course"/>
    <n v="160"/>
    <n v="5611"/>
    <n v="216.65"/>
    <n v="21"/>
    <n v="10"/>
    <n v="4.7E-2"/>
    <n v="1714"/>
    <s v="30-11-2024"/>
    <s v="Hyderabad"/>
    <x v="2"/>
    <s v="learn data analytics"/>
    <d v="2024-11-30T00:00:00"/>
    <n v="2.8515416146854392E-2"/>
    <n v="1.3540624999999999"/>
    <n v="10.316666666666666"/>
    <n v="21.664999999999999"/>
    <n v="7.9113777982921762"/>
  </r>
  <r>
    <s v="A2131"/>
    <s v="Data Analytics Course"/>
    <n v="195"/>
    <n v="3174"/>
    <n v="218.06"/>
    <n v="12"/>
    <n v="7"/>
    <n v="3.5999999999999997E-2"/>
    <n v="1476"/>
    <s v="25-11-2024"/>
    <s v="Hyderabad"/>
    <x v="1"/>
    <s v="online data analytic"/>
    <d v="2024-11-25T00:00:00"/>
    <n v="6.1436672967863891E-2"/>
    <n v="1.1182564102564103"/>
    <n v="18.171666666666667"/>
    <n v="31.151428571428571"/>
    <n v="6.7687792350729152"/>
  </r>
  <r>
    <s v="A2132"/>
    <s v="Data Analytics Course"/>
    <n v="142"/>
    <n v="5076"/>
    <n v="190.49"/>
    <n v="22"/>
    <n v="7"/>
    <n v="4.9000000000000002E-2"/>
    <n v="1509"/>
    <d v="2024-11-20T00:00:00"/>
    <s v="Hyderabad"/>
    <x v="1"/>
    <s v="learn data analytics"/>
    <d v="2024-11-20T00:00:00"/>
    <n v="2.7974783293932229E-2"/>
    <n v="1.3414788732394367"/>
    <n v="8.6586363636363632"/>
    <n v="27.212857142857143"/>
    <n v="7.9216756785133073"/>
  </r>
  <r>
    <s v="A2133"/>
    <s v="Data Analytics Course"/>
    <n v="81"/>
    <n v="5942"/>
    <n v="236.07"/>
    <n v="15"/>
    <n v="7"/>
    <n v="4.5999999999999999E-2"/>
    <n v="1288"/>
    <d v="2024-12-11T00:00:00"/>
    <s v="Hyderabad"/>
    <x v="0"/>
    <s v="online data analytic"/>
    <d v="2024-12-11T00:00:00"/>
    <n v="1.3631773813530798E-2"/>
    <n v="2.9144444444444444"/>
    <n v="15.738"/>
    <n v="33.724285714285713"/>
    <n v="5.4560088109459057"/>
  </r>
  <r>
    <s v="A2134"/>
    <s v="Data Analytics Course"/>
    <n v="139"/>
    <n v="4234"/>
    <n v="201.93"/>
    <n v="16"/>
    <n v="4"/>
    <n v="4.5999999999999999E-2"/>
    <n v="1462"/>
    <d v="2024-11-25T00:00:00"/>
    <s v="Hyderabad"/>
    <x v="1"/>
    <s v="analytics for data"/>
    <d v="2024-11-25T00:00:00"/>
    <n v="3.2829475673122346E-2"/>
    <n v="1.4527338129496403"/>
    <n v="12.620625"/>
    <n v="50.482500000000002"/>
    <n v="7.2401327192591491"/>
  </r>
  <r>
    <s v="A2135"/>
    <s v="Data Analytics Course"/>
    <n v="115"/>
    <n v="3963"/>
    <n v="225.32"/>
    <n v="22"/>
    <n v="9"/>
    <n v="7.8E-2"/>
    <n v="1622"/>
    <d v="2024-01-11T00:00:00"/>
    <s v="Hyderabad"/>
    <x v="0"/>
    <s v="data analitics online"/>
    <d v="2024-01-11T00:00:00"/>
    <n v="2.90184203885945E-2"/>
    <n v="1.959304347826087"/>
    <n v="10.241818181818182"/>
    <n v="25.035555555555554"/>
    <n v="7.198650807740103"/>
  </r>
  <r>
    <s v="A2136"/>
    <s v="Data Analytics Course"/>
    <n v="172"/>
    <n v="4349"/>
    <n v="243.53"/>
    <n v="28"/>
    <n v="5"/>
    <n v="4.9000000000000002E-2"/>
    <n v="1195"/>
    <d v="2024-11-13T00:00:00"/>
    <s v="Hyderabad"/>
    <x v="2"/>
    <s v="online data analytic"/>
    <d v="2024-11-13T00:00:00"/>
    <n v="3.9549321683145552E-2"/>
    <n v="1.4158720930232558"/>
    <n v="8.6974999999999998"/>
    <n v="48.706000000000003"/>
    <n v="4.9069929782778301"/>
  </r>
  <r>
    <s v="A2137"/>
    <s v="Data Analytics Course"/>
    <n v="91"/>
    <n v="5294"/>
    <n v="245.21"/>
    <n v="21"/>
    <n v="7"/>
    <n v="4.5999999999999999E-2"/>
    <n v="1227"/>
    <d v="2024-11-26T00:00:00"/>
    <s v="Hyderabad"/>
    <x v="0"/>
    <s v="online data analytic"/>
    <d v="2024-11-26T00:00:00"/>
    <n v="1.7189270872686058E-2"/>
    <n v="2.6946153846153846"/>
    <n v="11.676666666666668"/>
    <n v="35.03"/>
    <n v="5.003874230251621"/>
  </r>
  <r>
    <s v="A2138"/>
    <s v="Data Analytics Course"/>
    <n v="166"/>
    <n v="5381"/>
    <n v="246.52"/>
    <n v="21"/>
    <n v="7"/>
    <n v="4.2000000000000003E-2"/>
    <n v="1579"/>
    <d v="2024-11-09T00:00:00"/>
    <s v="Hyderabad"/>
    <x v="0"/>
    <s v="data anaytics training"/>
    <d v="2024-11-09T00:00:00"/>
    <n v="3.0849284519606023E-2"/>
    <n v="1.4850602409638556"/>
    <n v="11.73904761904762"/>
    <n v="35.217142857142861"/>
    <n v="6.405159824760668"/>
  </r>
  <r>
    <s v="A2139"/>
    <s v="Data Analytics Course"/>
    <n v="155"/>
    <n v="3052"/>
    <n v="199.46"/>
    <n v="13"/>
    <n v="6"/>
    <n v="4.5999999999999999E-2"/>
    <n v="1362"/>
    <d v="2024-11-01T00:00:00"/>
    <s v="Hyderabad"/>
    <x v="1"/>
    <s v="data anaytics training"/>
    <d v="2024-11-01T00:00:00"/>
    <n v="5.0786369593709045E-2"/>
    <n v="1.2868387096774194"/>
    <n v="15.343076923076923"/>
    <n v="33.243333333333332"/>
    <n v="6.8284367793041207"/>
  </r>
  <r>
    <s v="A2140"/>
    <s v="Data Analytics Course"/>
    <n v="127"/>
    <n v="4634"/>
    <n v="218.04"/>
    <n v="26"/>
    <n v="7"/>
    <n v="5.5E-2"/>
    <n v="1410"/>
    <d v="2024-11-02T00:00:00"/>
    <s v="Hyderabad"/>
    <x v="2"/>
    <s v="learn data analytics"/>
    <d v="2024-11-02T00:00:00"/>
    <n v="2.740612861458783E-2"/>
    <n v="1.7168503937007873"/>
    <n v="8.3861538461538458"/>
    <n v="31.148571428571426"/>
    <n v="6.466703357182169"/>
  </r>
  <r>
    <s v="A2141"/>
    <s v="Data Analytics Course"/>
    <n v="94"/>
    <n v="5564"/>
    <n v="203.88"/>
    <n v="22"/>
    <n v="6"/>
    <n v="6.4000000000000001E-2"/>
    <n v="1505"/>
    <d v="2024-11-14T00:00:00"/>
    <s v="Hyderabad"/>
    <x v="0"/>
    <s v="data anaytics training"/>
    <d v="2024-11-14T00:00:00"/>
    <n v="1.689432063263839E-2"/>
    <n v="2.1689361702127661"/>
    <n v="9.2672727272727276"/>
    <n v="33.979999999999997"/>
    <n v="7.3817932116931528"/>
  </r>
  <r>
    <s v="A2142"/>
    <s v="Data Analytics Course"/>
    <n v="90"/>
    <n v="5196"/>
    <n v="192.83"/>
    <n v="21"/>
    <n v="8"/>
    <n v="8.8999999999999996E-2"/>
    <n v="1783"/>
    <d v="2024-11-07T00:00:00"/>
    <s v="Hyderabad"/>
    <x v="0"/>
    <s v="data analytics course"/>
    <d v="2024-11-07T00:00:00"/>
    <n v="1.7321016166281754E-2"/>
    <n v="2.1425555555555555"/>
    <n v="9.182380952380953"/>
    <n v="24.103750000000002"/>
    <n v="9.2464865425504321"/>
  </r>
  <r>
    <s v="A2143"/>
    <s v="Data Analytics Course"/>
    <n v="161"/>
    <n v="5749"/>
    <n v="203.25"/>
    <n v="12"/>
    <n v="4"/>
    <n v="2.5000000000000001E-2"/>
    <n v="1505"/>
    <d v="2024-11-28T00:00:00"/>
    <s v="Hyderabad"/>
    <x v="2"/>
    <s v="online data analytic"/>
    <d v="2024-11-28T00:00:00"/>
    <n v="2.8004870412245607E-2"/>
    <n v="1.2624223602484472"/>
    <n v="16.9375"/>
    <n v="50.8125"/>
    <n v="7.4046740467404675"/>
  </r>
  <r>
    <s v="A2144"/>
    <s v="Data Analytics Course"/>
    <n v="157"/>
    <n v="5483"/>
    <n v="245.31"/>
    <n v="24"/>
    <n v="6"/>
    <n v="3.7999999999999999E-2"/>
    <n v="1505"/>
    <d v="2024-11-22T00:00:00"/>
    <s v="Hyderabad"/>
    <x v="1"/>
    <s v="analytics for data"/>
    <d v="2024-11-22T00:00:00"/>
    <n v="2.8633959511216486E-2"/>
    <n v="1.5624840764331209"/>
    <n v="10.22125"/>
    <n v="40.884999999999998"/>
    <n v="6.1350943703884884"/>
  </r>
  <r>
    <s v="A2145"/>
    <s v="Data Analytics Course"/>
    <n v="157"/>
    <n v="4093"/>
    <n v="202.85"/>
    <n v="27"/>
    <n v="8"/>
    <n v="5.0999999999999997E-2"/>
    <n v="1370"/>
    <d v="2024-03-11T00:00:00"/>
    <s v="Hyderabad"/>
    <x v="1"/>
    <s v="analytics for data"/>
    <d v="2024-03-11T00:00:00"/>
    <n v="3.835817248961642E-2"/>
    <n v="1.2920382165605095"/>
    <n v="7.5129629629629626"/>
    <n v="25.356249999999999"/>
    <n v="6.7537589351737743"/>
  </r>
  <r>
    <s v="A2146"/>
    <s v="Data Analytics Course"/>
    <n v="179"/>
    <n v="4459"/>
    <n v="181.7"/>
    <n v="27"/>
    <n v="5"/>
    <n v="4.1000000000000002E-2"/>
    <n v="1320"/>
    <d v="2024-11-13T00:00:00"/>
    <s v="Hyderabad"/>
    <x v="2"/>
    <s v="data analitics online"/>
    <d v="2024-11-13T00:00:00"/>
    <n v="4.0143529939448308E-2"/>
    <n v="1.0150837988826815"/>
    <n v="6.7296296296296294"/>
    <n v="36.339999999999996"/>
    <n v="7.2647220693450745"/>
  </r>
  <r>
    <s v="A2147"/>
    <s v="Data Analytics Course"/>
    <n v="165"/>
    <n v="5937"/>
    <n v="220.65"/>
    <n v="23"/>
    <n v="6"/>
    <n v="3.5999999999999997E-2"/>
    <n v="1576"/>
    <d v="2024-11-04T00:00:00"/>
    <s v="Hyderabad"/>
    <x v="1"/>
    <s v="analytics for data"/>
    <d v="2024-11-04T00:00:00"/>
    <n v="2.7791814047498736E-2"/>
    <n v="1.3372727272727274"/>
    <n v="9.5934782608695652"/>
    <n v="36.774999999999999"/>
    <n v="7.1425334239746201"/>
  </r>
  <r>
    <s v="A2148"/>
    <s v="Data Analytics Course"/>
    <n v="167"/>
    <n v="4475"/>
    <n v="231.64"/>
    <n v="13"/>
    <n v="5"/>
    <n v="5.0999999999999997E-2"/>
    <n v="1750"/>
    <d v="2024-11-03T00:00:00"/>
    <s v="Hyderabad"/>
    <x v="0"/>
    <s v="online data analytic"/>
    <d v="2024-11-03T00:00:00"/>
    <n v="3.7318435754189944E-2"/>
    <n v="1.3870658682634729"/>
    <n v="17.818461538461538"/>
    <n v="46.327999999999996"/>
    <n v="7.5548264548437238"/>
  </r>
  <r>
    <s v="A2149"/>
    <s v="Data Analytics Course"/>
    <n v="126"/>
    <n v="4212"/>
    <n v="182.54"/>
    <n v="29"/>
    <n v="8"/>
    <n v="6.3E-2"/>
    <n v="1066"/>
    <s v="19-11-2024"/>
    <s v="Hyderabad"/>
    <x v="1"/>
    <s v="online data analytic"/>
    <d v="2024-11-19T00:00:00"/>
    <n v="2.9914529914529916E-2"/>
    <n v="1.4487301587301586"/>
    <n v="6.2944827586206893"/>
    <n v="22.817499999999999"/>
    <n v="5.8398159307549031"/>
  </r>
  <r>
    <s v="A2150"/>
    <s v="Data Analytics Course"/>
    <n v="134"/>
    <n v="4506"/>
    <n v="220.09"/>
    <n v="13"/>
    <n v="5"/>
    <n v="4.5999999999999999E-2"/>
    <n v="1745"/>
    <d v="2024-11-29T00:00:00"/>
    <s v="Hyderabad"/>
    <x v="1"/>
    <s v="data analitics online"/>
    <d v="2024-11-29T00:00:00"/>
    <n v="2.9738126941855306E-2"/>
    <n v="1.6424626865671641"/>
    <n v="16.93"/>
    <n v="44.018000000000001"/>
    <n v="7.9285746739970007"/>
  </r>
  <r>
    <s v="A2151"/>
    <s v="Data Analytics Course"/>
    <n v="142"/>
    <n v="3147"/>
    <n v="190.93"/>
    <n v="13"/>
    <n v="5"/>
    <n v="4.5999999999999999E-2"/>
    <n v="1740"/>
    <d v="2024-11-05T00:00:00"/>
    <s v="Hyderabad"/>
    <x v="1"/>
    <s v="learn data analytics"/>
    <d v="2024-11-05T00:00:00"/>
    <n v="4.5122338735303462E-2"/>
    <n v="1.3445774647887325"/>
    <n v="14.686923076923078"/>
    <n v="38.186"/>
    <n v="9.1132875923113179"/>
  </r>
  <r>
    <s v="A2152"/>
    <s v="Data Analytics Course"/>
    <n v="139"/>
    <n v="4387"/>
    <n v="198.93"/>
    <n v="22"/>
    <n v="3"/>
    <n v="4.5999999999999999E-2"/>
    <n v="1629"/>
    <d v="2024-11-11T00:00:00"/>
    <s v="Hyderabad"/>
    <x v="0"/>
    <s v="learn data analytics"/>
    <d v="2024-11-11T00:00:00"/>
    <n v="3.1684522452701161E-2"/>
    <n v="1.4311510791366906"/>
    <n v="9.0422727272727279"/>
    <n v="66.31"/>
    <n v="8.1888101342180661"/>
  </r>
  <r>
    <s v="A2153"/>
    <s v="Data Analytics Course"/>
    <n v="163"/>
    <n v="5948"/>
    <n v="184.84"/>
    <n v="12"/>
    <n v="3"/>
    <n v="4.9000000000000002E-2"/>
    <n v="1248"/>
    <d v="2024-11-11T00:00:00"/>
    <s v="Hyderabad"/>
    <x v="2"/>
    <s v="data anaytics training"/>
    <d v="2024-11-11T00:00:00"/>
    <n v="2.7404169468728985E-2"/>
    <n v="1.1339877300613497"/>
    <n v="15.403333333333334"/>
    <n v="61.613333333333337"/>
    <n v="6.7517853278511142"/>
  </r>
  <r>
    <s v="A2154"/>
    <s v="Data Analytics Course"/>
    <n v="171"/>
    <n v="4855"/>
    <n v="235.23"/>
    <n v="25"/>
    <n v="6"/>
    <n v="3.5000000000000003E-2"/>
    <n v="1505"/>
    <d v="2024-11-21T00:00:00"/>
    <s v="Hyderabad"/>
    <x v="0"/>
    <s v="data analytics course"/>
    <d v="2024-11-21T00:00:00"/>
    <n v="3.5221421215242021E-2"/>
    <n v="1.3756140350877193"/>
    <n v="9.4092000000000002"/>
    <n v="39.204999999999998"/>
    <n v="6.3979934532160012"/>
  </r>
  <r>
    <s v="A2155"/>
    <s v="Data Analytics Course"/>
    <n v="97"/>
    <n v="4674"/>
    <n v="221.39"/>
    <n v="15"/>
    <n v="10"/>
    <n v="4.7E-2"/>
    <n v="1332"/>
    <d v="2024-11-07T00:00:00"/>
    <s v="Hyderabad"/>
    <x v="2"/>
    <s v="data analytics course"/>
    <d v="2024-11-07T00:00:00"/>
    <n v="2.0753102267864785E-2"/>
    <n v="2.2823711340206185"/>
    <n v="14.759333333333332"/>
    <n v="22.138999999999999"/>
    <n v="6.0165319120104792"/>
  </r>
  <r>
    <s v="A2156"/>
    <s v="Data Analytics Course"/>
    <n v="176"/>
    <n v="3336"/>
    <n v="193.72"/>
    <n v="15"/>
    <n v="9"/>
    <n v="4.5999999999999999E-2"/>
    <n v="1696"/>
    <d v="2024-12-11T00:00:00"/>
    <s v="Hyderabad"/>
    <x v="2"/>
    <s v="learn data analytics"/>
    <d v="2024-12-11T00:00:00"/>
    <n v="5.2757793764988008E-2"/>
    <n v="1.1006818181818181"/>
    <n v="12.914666666666667"/>
    <n v="21.524444444444445"/>
    <n v="8.7549039851331827"/>
  </r>
  <r>
    <s v="A2157"/>
    <s v="Data Analytics Course"/>
    <n v="129"/>
    <n v="5839"/>
    <n v="213.72"/>
    <n v="10"/>
    <n v="6"/>
    <n v="4.5999999999999999E-2"/>
    <n v="1476"/>
    <d v="2024-11-18T00:00:00"/>
    <s v="Hyderabad"/>
    <x v="0"/>
    <s v="analytics for data"/>
    <d v="2024-11-18T00:00:00"/>
    <n v="2.2092824113718101E-2"/>
    <n v="1.6567441860465115"/>
    <n v="21.372"/>
    <n v="35.619999999999997"/>
    <n v="6.9062324536777089"/>
  </r>
  <r>
    <s v="A2158"/>
    <s v="Data Analytics Course"/>
    <n v="178"/>
    <n v="3943"/>
    <n v="217.96"/>
    <n v="29"/>
    <n v="6"/>
    <n v="3.4000000000000002E-2"/>
    <n v="1037"/>
    <d v="2024-11-15T00:00:00"/>
    <s v="Hyderabad"/>
    <x v="1"/>
    <s v="learn data analytics"/>
    <d v="2024-11-15T00:00:00"/>
    <n v="4.5143291909713418E-2"/>
    <n v="1.2244943820224719"/>
    <n v="7.5158620689655171"/>
    <n v="36.326666666666668"/>
    <n v="4.7577537162782164"/>
  </r>
  <r>
    <s v="A2159"/>
    <s v="Data Analytics Course"/>
    <n v="111"/>
    <n v="3787"/>
    <n v="215.48"/>
    <n v="15"/>
    <n v="10"/>
    <n v="4.5999999999999999E-2"/>
    <n v="1660"/>
    <d v="2024-11-14T00:00:00"/>
    <s v="Hyderabad"/>
    <x v="2"/>
    <s v="online data analytic"/>
    <d v="2024-11-14T00:00:00"/>
    <n v="2.9310800105624504E-2"/>
    <n v="1.9412612612612612"/>
    <n v="14.365333333333332"/>
    <n v="21.547999999999998"/>
    <n v="7.7037312047521818"/>
  </r>
  <r>
    <s v="A2160"/>
    <s v="Data Analytics Course"/>
    <n v="156"/>
    <n v="4196"/>
    <n v="192.96"/>
    <n v="11"/>
    <n v="5"/>
    <n v="4.5999999999999999E-2"/>
    <n v="1504"/>
    <d v="2024-11-26T00:00:00"/>
    <s v="Hyderabad"/>
    <x v="1"/>
    <s v="learn data analytics"/>
    <d v="2024-11-26T00:00:00"/>
    <n v="3.7178265014299335E-2"/>
    <n v="1.236923076923077"/>
    <n v="17.541818181818183"/>
    <n v="38.591999999999999"/>
    <n v="7.7943615257048089"/>
  </r>
  <r>
    <s v="A2161"/>
    <s v="Data Analytics Course"/>
    <n v="139"/>
    <n v="3408"/>
    <n v="193.07"/>
    <n v="20"/>
    <n v="5"/>
    <n v="4.2000000000000003E-2"/>
    <n v="1412"/>
    <d v="2024-11-19T00:00:00"/>
    <s v="Hyderabad"/>
    <x v="2"/>
    <s v="data analytics course"/>
    <d v="2024-11-19T00:00:00"/>
    <n v="4.078638497652582E-2"/>
    <n v="1.3889928057553957"/>
    <n v="9.6534999999999993"/>
    <n v="38.613999999999997"/>
    <n v="7.3134096441705081"/>
  </r>
  <r>
    <s v="A2162"/>
    <s v="Data Analytics Course"/>
    <n v="145"/>
    <n v="4982"/>
    <n v="203.33"/>
    <n v="29"/>
    <n v="5"/>
    <n v="4.4999999999999998E-2"/>
    <n v="1555"/>
    <d v="2024-11-23T00:00:00"/>
    <s v="Hyderabad"/>
    <x v="2"/>
    <s v="data anaytics training"/>
    <d v="2024-11-23T00:00:00"/>
    <n v="2.9104777197912483E-2"/>
    <n v="1.4022758620689657"/>
    <n v="7.0113793103448279"/>
    <n v="40.666000000000004"/>
    <n v="7.6476663551861499"/>
  </r>
  <r>
    <s v="A2163"/>
    <s v="Data Analytics Course"/>
    <n v="156"/>
    <n v="5509"/>
    <n v="185.39"/>
    <n v="29"/>
    <n v="4"/>
    <n v="4.3999999999999997E-2"/>
    <n v="1649"/>
    <d v="2024-11-18T00:00:00"/>
    <s v="Hyderabad"/>
    <x v="1"/>
    <s v="data analitics online"/>
    <d v="2024-11-18T00:00:00"/>
    <n v="2.831729896532946E-2"/>
    <n v="1.1883974358974358"/>
    <n v="6.3927586206896549"/>
    <n v="46.347499999999997"/>
    <n v="8.8947623927935702"/>
  </r>
  <r>
    <s v="A2164"/>
    <s v="Data Analytics Course"/>
    <n v="127"/>
    <n v="3797"/>
    <n v="214.67"/>
    <n v="20"/>
    <n v="7"/>
    <n v="5.5E-2"/>
    <n v="1735"/>
    <d v="2024-11-13T00:00:00"/>
    <s v="Hyderabad"/>
    <x v="0"/>
    <s v="analytics for data"/>
    <d v="2024-11-13T00:00:00"/>
    <n v="3.3447458519884121E-2"/>
    <n v="1.6903149606299213"/>
    <n v="10.733499999999999"/>
    <n v="30.667142857142856"/>
    <n v="8.0821726370708529"/>
  </r>
  <r>
    <s v="A2165"/>
    <s v="Data Analytics Course"/>
    <n v="121"/>
    <n v="5064"/>
    <n v="246.78"/>
    <n v="13"/>
    <n v="9"/>
    <n v="7.3999999999999996E-2"/>
    <n v="1268"/>
    <d v="2024-01-11T00:00:00"/>
    <s v="Hyderabad"/>
    <x v="2"/>
    <s v="online data analytic"/>
    <d v="2024-01-11T00:00:00"/>
    <n v="2.3894154818325436E-2"/>
    <n v="2.0395041322314049"/>
    <n v="18.983076923076922"/>
    <n v="27.42"/>
    <n v="5.138179755247589"/>
  </r>
  <r>
    <s v="A2166"/>
    <s v="Data Analytics Course"/>
    <n v="98"/>
    <n v="4217"/>
    <n v="234.16"/>
    <n v="17"/>
    <n v="4"/>
    <n v="4.5999999999999999E-2"/>
    <n v="1556"/>
    <d v="2024-11-11T00:00:00"/>
    <s v="Hyderabad"/>
    <x v="2"/>
    <s v="learn data analytics"/>
    <d v="2024-11-11T00:00:00"/>
    <n v="2.3239269622954709E-2"/>
    <n v="2.3893877551020406"/>
    <n v="13.774117647058823"/>
    <n v="58.54"/>
    <n v="6.6450290399726679"/>
  </r>
  <r>
    <s v="A2167"/>
    <s v="Data Analytics Course"/>
    <n v="156"/>
    <n v="3315"/>
    <n v="223.22"/>
    <n v="14"/>
    <n v="10"/>
    <n v="6.4000000000000001E-2"/>
    <n v="1581"/>
    <d v="2024-11-20T00:00:00"/>
    <s v="Hyderabad"/>
    <x v="1"/>
    <s v="online data analytic"/>
    <d v="2024-11-20T00:00:00"/>
    <n v="4.7058823529411764E-2"/>
    <n v="1.4308974358974358"/>
    <n v="15.944285714285714"/>
    <n v="22.321999999999999"/>
    <n v="7.0826986829137173"/>
  </r>
  <r>
    <s v="A2168"/>
    <s v="Data Analytics Course"/>
    <n v="191"/>
    <n v="4017"/>
    <n v="203.52"/>
    <n v="20"/>
    <n v="4"/>
    <n v="2.1000000000000001E-2"/>
    <n v="1505"/>
    <d v="2024-11-30T00:00:00"/>
    <s v="Hyderabad"/>
    <x v="1"/>
    <s v="online data analytic"/>
    <d v="2024-11-30T00:00:00"/>
    <n v="4.7547921334329099E-2"/>
    <n v="1.0655497382198953"/>
    <n v="10.176"/>
    <n v="50.88"/>
    <n v="7.3948506289308176"/>
  </r>
  <r>
    <s v="A2169"/>
    <s v="Data Analytics Course"/>
    <n v="193"/>
    <n v="5094"/>
    <n v="205.53"/>
    <n v="18"/>
    <n v="3"/>
    <n v="1.6E-2"/>
    <n v="1451"/>
    <d v="2024-11-07T00:00:00"/>
    <s v="Hyderabad"/>
    <x v="1"/>
    <s v="data analitics online"/>
    <d v="2024-11-07T00:00:00"/>
    <n v="3.7887711032587361E-2"/>
    <n v="1.0649222797927462"/>
    <n v="11.418333333333333"/>
    <n v="68.510000000000005"/>
    <n v="7.0597966233639857"/>
  </r>
  <r>
    <s v="A2170"/>
    <s v="Data Analytics Course"/>
    <n v="167"/>
    <n v="4518.5"/>
    <n v="244.62"/>
    <n v="11"/>
    <n v="9"/>
    <n v="4.5999999999999999E-2"/>
    <n v="1465"/>
    <d v="2024-11-10T00:00:00"/>
    <s v="Hyderabad"/>
    <x v="2"/>
    <s v="data analitics online"/>
    <d v="2024-11-10T00:00:00"/>
    <n v="3.6959167865442073E-2"/>
    <n v="1.4647904191616767"/>
    <n v="22.238181818181818"/>
    <n v="27.18"/>
    <n v="5.9888807129425228"/>
  </r>
  <r>
    <s v="A2171"/>
    <s v="Data Analytics Course"/>
    <n v="177"/>
    <n v="5449"/>
    <n v="190.53"/>
    <n v="10"/>
    <n v="5"/>
    <n v="2.8000000000000001E-2"/>
    <n v="1257"/>
    <d v="2024-11-19T00:00:00"/>
    <s v="Hyderabad"/>
    <x v="1"/>
    <s v="data analytics course"/>
    <d v="2024-11-19T00:00:00"/>
    <n v="3.2483024408148285E-2"/>
    <n v="1.0764406779661018"/>
    <n v="19.053000000000001"/>
    <n v="38.106000000000002"/>
    <n v="6.5973862383876556"/>
  </r>
  <r>
    <s v="A2172"/>
    <s v="Data Analytics Course"/>
    <n v="175"/>
    <n v="5732"/>
    <n v="208.46"/>
    <n v="25"/>
    <n v="3"/>
    <n v="1.7000000000000001E-2"/>
    <n v="1579"/>
    <d v="2024-11-11T00:00:00"/>
    <s v="Hyderabad"/>
    <x v="2"/>
    <s v="data analitics online"/>
    <d v="2024-11-11T00:00:00"/>
    <n v="3.0530355896720169E-2"/>
    <n v="1.1912"/>
    <n v="8.3384"/>
    <n v="69.486666666666665"/>
    <n v="7.5745946464549547"/>
  </r>
  <r>
    <s v="A2173"/>
    <s v="Data Analytics Course"/>
    <n v="122"/>
    <n v="4678"/>
    <n v="248.7"/>
    <n v="25"/>
    <n v="4"/>
    <n v="3.1E-2"/>
    <n v="1744"/>
    <d v="2024-11-11T00:00:00"/>
    <s v="Hyderabad"/>
    <x v="0"/>
    <s v="data analytics course"/>
    <d v="2024-11-11T00:00:00"/>
    <n v="2.6079521162890123E-2"/>
    <n v="2.0385245901639344"/>
    <n v="9.9480000000000004"/>
    <n v="62.174999999999997"/>
    <n v="7.0124648170486532"/>
  </r>
  <r>
    <s v="A2174"/>
    <s v="Data Analytics Course"/>
    <n v="121"/>
    <n v="4088"/>
    <n v="223.85"/>
    <n v="19"/>
    <n v="3"/>
    <n v="2.5000000000000001E-2"/>
    <n v="1248"/>
    <d v="2024-11-26T00:00:00"/>
    <s v="Hyderabad"/>
    <x v="1"/>
    <s v="online data analytic"/>
    <d v="2024-11-26T00:00:00"/>
    <n v="2.9598825831702542E-2"/>
    <n v="1.8499999999999999"/>
    <n v="11.781578947368422"/>
    <n v="74.61666666666666"/>
    <n v="5.5751619387983027"/>
  </r>
  <r>
    <s v="A2175"/>
    <s v="Data Analytics Course"/>
    <n v="125"/>
    <n v="4528"/>
    <n v="186.6"/>
    <n v="10"/>
    <n v="9"/>
    <n v="7.1999999999999995E-2"/>
    <n v="1167"/>
    <d v="2024-11-06T00:00:00"/>
    <s v="Hyderabad"/>
    <x v="0"/>
    <s v="data anaytics training"/>
    <d v="2024-11-06T00:00:00"/>
    <n v="2.7606007067137808E-2"/>
    <n v="1.4927999999999999"/>
    <n v="18.66"/>
    <n v="20.733333333333334"/>
    <n v="6.254019292604502"/>
  </r>
  <r>
    <s v="A2176"/>
    <s v="Data Analytics Course"/>
    <n v="81"/>
    <n v="3946"/>
    <n v="202.95"/>
    <n v="10"/>
    <n v="7"/>
    <n v="4.5999999999999999E-2"/>
    <n v="1970"/>
    <d v="2024-11-27T00:00:00"/>
    <s v="Hyderabad"/>
    <x v="1"/>
    <s v="data anaytics training"/>
    <d v="2024-11-27T00:00:00"/>
    <n v="2.0527116066903193E-2"/>
    <n v="2.5055555555555555"/>
    <n v="20.294999999999998"/>
    <n v="28.99285714285714"/>
    <n v="9.7068243409706838"/>
  </r>
  <r>
    <s v="A2177"/>
    <s v="Data Analytics Course"/>
    <n v="112"/>
    <n v="4486"/>
    <n v="249.23"/>
    <n v="28"/>
    <n v="3"/>
    <n v="2.7E-2"/>
    <n v="1572"/>
    <d v="2024-11-26T00:00:00"/>
    <s v="Hyderabad"/>
    <x v="0"/>
    <s v="analytics for data"/>
    <d v="2024-11-26T00:00:00"/>
    <n v="2.4966562639322336E-2"/>
    <n v="2.2252678571428572"/>
    <n v="8.901071428571429"/>
    <n v="83.076666666666668"/>
    <n v="6.307426874774305"/>
  </r>
  <r>
    <s v="A2178"/>
    <s v="Data Analytics Course"/>
    <n v="152"/>
    <n v="5290"/>
    <n v="182.01"/>
    <n v="24"/>
    <n v="4"/>
    <n v="4.5999999999999999E-2"/>
    <n v="1673"/>
    <d v="2024-05-11T00:00:00"/>
    <s v="Hyderabad"/>
    <x v="1"/>
    <s v="analytics for data"/>
    <d v="2024-05-11T00:00:00"/>
    <n v="2.8733459357277884E-2"/>
    <n v="1.1974342105263158"/>
    <n v="7.5837499999999993"/>
    <n v="45.502499999999998"/>
    <n v="9.1918026482061421"/>
  </r>
  <r>
    <s v="A2179"/>
    <s v="Data Analytics Course"/>
    <n v="134"/>
    <n v="5163"/>
    <n v="245.4"/>
    <n v="26"/>
    <n v="5"/>
    <n v="4.7E-2"/>
    <n v="1505"/>
    <d v="2024-11-14T00:00:00"/>
    <s v="Hyderabad"/>
    <x v="2"/>
    <s v="analytics for data"/>
    <d v="2024-11-14T00:00:00"/>
    <n v="2.5953902769707535E-2"/>
    <n v="1.8313432835820895"/>
    <n v="9.4384615384615387"/>
    <n v="49.08"/>
    <n v="6.1328443357783211"/>
  </r>
  <r>
    <s v="A2180"/>
    <s v="Data Analytics Course"/>
    <n v="111"/>
    <n v="3978"/>
    <n v="192.14"/>
    <n v="19"/>
    <n v="5"/>
    <n v="4.4999999999999998E-2"/>
    <n v="1500"/>
    <d v="2024-06-11T00:00:00"/>
    <s v="Hyderabad"/>
    <x v="0"/>
    <s v="analytics for data"/>
    <d v="2024-06-11T00:00:00"/>
    <n v="2.790346907993967E-2"/>
    <n v="1.7309909909909909"/>
    <n v="10.112631578947367"/>
    <n v="38.427999999999997"/>
    <n v="7.8068075361715419"/>
  </r>
  <r>
    <s v="A2181"/>
    <s v="Data Analytics Course"/>
    <n v="194"/>
    <n v="4217"/>
    <n v="187.34"/>
    <n v="12"/>
    <n v="10"/>
    <n v="5.1999999999999998E-2"/>
    <n v="1669"/>
    <d v="2024-11-07T00:00:00"/>
    <s v="Hyderabad"/>
    <x v="2"/>
    <s v="data anaytics training"/>
    <d v="2024-11-07T00:00:00"/>
    <n v="4.6004268437277687E-2"/>
    <n v="0.96567010309278356"/>
    <n v="15.611666666666666"/>
    <n v="18.734000000000002"/>
    <n v="8.9089356250667233"/>
  </r>
  <r>
    <s v="A2182"/>
    <s v="Data Analytics Course"/>
    <n v="150"/>
    <n v="5907"/>
    <n v="241.8"/>
    <n v="25"/>
    <n v="7"/>
    <n v="4.7E-2"/>
    <n v="1430"/>
    <d v="2024-11-11T00:00:00"/>
    <s v="Hyderabad"/>
    <x v="0"/>
    <s v="data analitics online"/>
    <d v="2024-11-11T00:00:00"/>
    <n v="2.5393600812595226E-2"/>
    <n v="1.6120000000000001"/>
    <n v="9.6720000000000006"/>
    <n v="34.542857142857144"/>
    <n v="5.913978494623656"/>
  </r>
  <r>
    <s v="A2183"/>
    <s v="Data Analytics Course"/>
    <n v="100"/>
    <n v="5970"/>
    <n v="224.79"/>
    <n v="13"/>
    <n v="9"/>
    <n v="0.09"/>
    <n v="1895"/>
    <d v="2024-11-15T00:00:00"/>
    <s v="Hyderabad"/>
    <x v="1"/>
    <s v="data anaytics training"/>
    <d v="2024-11-15T00:00:00"/>
    <n v="1.675041876046901E-2"/>
    <n v="2.2479"/>
    <n v="17.291538461538462"/>
    <n v="24.976666666666667"/>
    <n v="8.4300903065082977"/>
  </r>
  <r>
    <s v="A2184"/>
    <s v="Data Analytics Course"/>
    <n v="186"/>
    <n v="5142"/>
    <n v="236.2"/>
    <n v="18"/>
    <n v="4"/>
    <n v="4.5999999999999999E-2"/>
    <n v="1990"/>
    <d v="2024-11-24T00:00:00"/>
    <s v="Hyderabad"/>
    <x v="2"/>
    <s v="data analitics online"/>
    <d v="2024-11-24T00:00:00"/>
    <n v="3.6172695449241538E-2"/>
    <n v="1.2698924731182795"/>
    <n v="13.122222222222222"/>
    <n v="59.05"/>
    <n v="8.425063505503811"/>
  </r>
  <r>
    <s v="A2185"/>
    <s v="Data Analytics Course"/>
    <n v="130"/>
    <n v="3715"/>
    <n v="243.34"/>
    <n v="12"/>
    <n v="8"/>
    <n v="6.2E-2"/>
    <n v="1482"/>
    <d v="2024-11-01T00:00:00"/>
    <s v="Hyderabad"/>
    <x v="0"/>
    <s v="data analitics online"/>
    <d v="2024-11-01T00:00:00"/>
    <n v="3.4993270524899055E-2"/>
    <n v="1.8718461538461539"/>
    <n v="20.278333333333332"/>
    <n v="30.4175"/>
    <n v="6.0902441029012904"/>
  </r>
  <r>
    <s v="A2186"/>
    <s v="Data Analytics Course"/>
    <n v="158"/>
    <n v="4192"/>
    <n v="186.25"/>
    <n v="27"/>
    <n v="10"/>
    <n v="4.5999999999999999E-2"/>
    <n v="1968"/>
    <d v="2024-06-11T00:00:00"/>
    <s v="Hyderabad"/>
    <x v="2"/>
    <s v="online data analytic"/>
    <d v="2024-06-11T00:00:00"/>
    <n v="3.7690839694656489E-2"/>
    <n v="1.1787974683544304"/>
    <n v="6.8981481481481479"/>
    <n v="18.625"/>
    <n v="10.566442953020134"/>
  </r>
  <r>
    <s v="A2187"/>
    <s v="Data Analytics Course"/>
    <n v="155"/>
    <n v="5121"/>
    <n v="248.16"/>
    <n v="22"/>
    <n v="8"/>
    <n v="5.1999999999999998E-2"/>
    <n v="1027"/>
    <d v="2024-11-06T00:00:00"/>
    <s v="Hyderabad"/>
    <x v="2"/>
    <s v="online data analytic"/>
    <d v="2024-11-06T00:00:00"/>
    <n v="3.0267525873852764E-2"/>
    <n v="1.6010322580645162"/>
    <n v="11.28"/>
    <n v="31.02"/>
    <n v="4.1384590586718248"/>
  </r>
  <r>
    <s v="A2188"/>
    <s v="Data Analytics Course"/>
    <n v="190"/>
    <n v="5984"/>
    <n v="209.35"/>
    <n v="14"/>
    <n v="6"/>
    <n v="3.2000000000000001E-2"/>
    <n v="1964"/>
    <d v="2024-06-11T00:00:00"/>
    <s v="Hyderabad"/>
    <x v="0"/>
    <s v="data analytics course"/>
    <d v="2024-06-11T00:00:00"/>
    <n v="3.1751336898395724E-2"/>
    <n v="1.101842105263158"/>
    <n v="14.953571428571427"/>
    <n v="34.891666666666666"/>
    <n v="9.3814186768569385"/>
  </r>
  <r>
    <s v="A2189"/>
    <s v="Data Analytics Course"/>
    <n v="191"/>
    <n v="3220"/>
    <n v="183.33"/>
    <n v="20"/>
    <n v="6"/>
    <n v="5.0999999999999997E-2"/>
    <n v="1942"/>
    <d v="2024-11-28T00:00:00"/>
    <s v="Hyderabad"/>
    <x v="2"/>
    <s v="data anaytics training"/>
    <d v="2024-11-28T00:00:00"/>
    <n v="5.9316770186335403E-2"/>
    <n v="0.95984293193717285"/>
    <n v="9.166500000000001"/>
    <n v="30.555000000000003"/>
    <n v="10.592919871270386"/>
  </r>
  <r>
    <s v="A2190"/>
    <s v="Data Analytics Course"/>
    <n v="145"/>
    <n v="5761"/>
    <n v="202.07"/>
    <n v="17"/>
    <n v="3"/>
    <n v="2.1000000000000001E-2"/>
    <n v="1037"/>
    <d v="2024-11-13T00:00:00"/>
    <s v="Hyderabad"/>
    <x v="1"/>
    <s v="data analitics online"/>
    <d v="2024-11-13T00:00:00"/>
    <n v="2.5169241451136956E-2"/>
    <n v="1.3935862068965517"/>
    <n v="11.886470588235294"/>
    <n v="67.356666666666669"/>
    <n v="5.1318849903498789"/>
  </r>
  <r>
    <s v="A2191"/>
    <s v="Data Analytics Course"/>
    <n v="102"/>
    <n v="5683"/>
    <n v="188.73"/>
    <n v="28"/>
    <n v="8"/>
    <n v="7.8E-2"/>
    <n v="1623"/>
    <d v="2024-11-16T00:00:00"/>
    <s v="Hyderabad"/>
    <x v="2"/>
    <s v="analytics for data"/>
    <d v="2024-11-16T00:00:00"/>
    <n v="1.7948266760513813E-2"/>
    <n v="1.8502941176470586"/>
    <n v="6.7403571428571425"/>
    <n v="23.591249999999999"/>
    <n v="8.5995867111746946"/>
  </r>
  <r>
    <s v="A2192"/>
    <s v="Data Analytics Course"/>
    <n v="86"/>
    <n v="5238"/>
    <n v="217.28"/>
    <n v="13"/>
    <n v="3"/>
    <n v="4.5999999999999999E-2"/>
    <n v="1610"/>
    <d v="2024-11-22T00:00:00"/>
    <s v="Hyderabad"/>
    <x v="0"/>
    <s v="data analitics online"/>
    <d v="2024-11-22T00:00:00"/>
    <n v="1.6418480336006108E-2"/>
    <n v="2.5265116279069768"/>
    <n v="16.713846153846156"/>
    <n v="72.426666666666662"/>
    <n v="7.40979381443299"/>
  </r>
  <r>
    <s v="A2193"/>
    <s v="Data Analytics Course"/>
    <n v="115"/>
    <n v="5116"/>
    <n v="227.76"/>
    <n v="24"/>
    <n v="3"/>
    <n v="4.1000000000000002E-2"/>
    <n v="1748"/>
    <d v="2024-11-15T00:00:00"/>
    <s v="Hyderabad"/>
    <x v="0"/>
    <s v="learn data analytics"/>
    <d v="2024-11-15T00:00:00"/>
    <n v="2.2478498827208756E-2"/>
    <n v="1.9805217391304346"/>
    <n v="9.49"/>
    <n v="75.92"/>
    <n v="7.6747453459782227"/>
  </r>
  <r>
    <s v="A2194"/>
    <s v="Data Analytics Course"/>
    <n v="83"/>
    <n v="4476"/>
    <n v="204.88"/>
    <n v="27"/>
    <n v="8"/>
    <n v="4.5999999999999999E-2"/>
    <n v="1359"/>
    <d v="2024-11-02T00:00:00"/>
    <s v="Hyderabad"/>
    <x v="2"/>
    <s v="online data analytic"/>
    <d v="2024-11-02T00:00:00"/>
    <n v="1.8543342269883824E-2"/>
    <n v="2.4684337349397589"/>
    <n v="7.5881481481481483"/>
    <n v="25.61"/>
    <n v="6.6331511128465444"/>
  </r>
  <r>
    <s v="A2195"/>
    <s v="Data Analytics Course"/>
    <n v="178"/>
    <n v="3461"/>
    <n v="238.96"/>
    <n v="16"/>
    <n v="5"/>
    <n v="2.8000000000000001E-2"/>
    <n v="1321"/>
    <d v="2024-11-16T00:00:00"/>
    <s v="Hyderabad"/>
    <x v="1"/>
    <s v="learn data analytics"/>
    <d v="2024-11-16T00:00:00"/>
    <n v="5.1430222479052295E-2"/>
    <n v="1.3424719101123597"/>
    <n v="14.935"/>
    <n v="47.792000000000002"/>
    <n v="5.5281218613993968"/>
  </r>
  <r>
    <s v="A2196"/>
    <s v="Data Analytics Course"/>
    <n v="148"/>
    <n v="5080"/>
    <n v="191.92"/>
    <n v="12"/>
    <n v="6"/>
    <n v="5.8000000000000003E-2"/>
    <n v="1070"/>
    <d v="2024-11-17T00:00:00"/>
    <s v="Hyderabad"/>
    <x v="2"/>
    <s v="data analytics course"/>
    <d v="2024-11-17T00:00:00"/>
    <n v="2.9133858267716535E-2"/>
    <n v="1.2967567567567566"/>
    <n v="15.993333333333332"/>
    <n v="31.986666666666665"/>
    <n v="5.5752396832013345"/>
  </r>
  <r>
    <s v="A2197"/>
    <s v="Data Analytics Course"/>
    <n v="139"/>
    <n v="3334"/>
    <n v="223.21"/>
    <n v="14"/>
    <n v="10"/>
    <n v="4.8000000000000001E-2"/>
    <n v="1317"/>
    <d v="2024-03-11T00:00:00"/>
    <s v="Hyderabad"/>
    <x v="2"/>
    <s v="data analytics course"/>
    <d v="2024-03-11T00:00:00"/>
    <n v="4.1691661667666469E-2"/>
    <n v="1.6058273381294965"/>
    <n v="15.943571428571429"/>
    <n v="22.321000000000002"/>
    <n v="5.9002732852470769"/>
  </r>
  <r>
    <s v="A2198"/>
    <s v="Data Analytics Course"/>
    <n v="101"/>
    <n v="5166"/>
    <n v="203.74"/>
    <n v="30"/>
    <n v="5"/>
    <n v="0.05"/>
    <n v="1763"/>
    <d v="2024-11-13T00:00:00"/>
    <s v="Hyderabad"/>
    <x v="0"/>
    <s v="data anaytics training"/>
    <d v="2024-11-13T00:00:00"/>
    <n v="1.9550909794812235E-2"/>
    <n v="2.0172277227722772"/>
    <n v="6.7913333333333332"/>
    <n v="40.748000000000005"/>
    <n v="8.65318543241386"/>
  </r>
  <r>
    <s v="A2199"/>
    <s v="Data Analytics Course"/>
    <n v="113"/>
    <n v="5642"/>
    <n v="245.69"/>
    <n v="19"/>
    <n v="7"/>
    <n v="6.2E-2"/>
    <n v="1366"/>
    <s v="20-11-2024"/>
    <s v="Hyderabad"/>
    <x v="1"/>
    <s v="data anaytics training"/>
    <d v="2024-11-20T00:00:00"/>
    <n v="2.0028358738036156E-2"/>
    <n v="2.1742477876106197"/>
    <n v="12.931052631578947"/>
    <n v="35.098571428571425"/>
    <n v="5.5598518458219708"/>
  </r>
  <r>
    <s v="A2200"/>
    <s v="Data Analytics Course"/>
    <n v="97"/>
    <n v="5552"/>
    <n v="228.97"/>
    <n v="14"/>
    <n v="6"/>
    <n v="6.2E-2"/>
    <n v="1304"/>
    <d v="2024-11-07T00:00:00"/>
    <s v="Hyderabad"/>
    <x v="0"/>
    <s v="analytics for data"/>
    <d v="2024-11-07T00:00:00"/>
    <n v="1.7471181556195967E-2"/>
    <n v="2.3605154639175256"/>
    <n v="16.355"/>
    <n v="38.161666666666669"/>
    <n v="5.6950692230423199"/>
  </r>
  <r>
    <s v="A2201"/>
    <s v="Data Analytics Course"/>
    <n v="155"/>
    <n v="3662"/>
    <n v="208.16"/>
    <n v="23"/>
    <n v="4"/>
    <n v="2.5999999999999999E-2"/>
    <n v="1913"/>
    <d v="2024-11-27T00:00:00"/>
    <s v="Hyderabad"/>
    <x v="0"/>
    <s v="online data analytic"/>
    <d v="2024-11-27T00:00:00"/>
    <n v="4.2326597487711635E-2"/>
    <n v="1.3429677419354837"/>
    <n v="9.0504347826086953"/>
    <n v="52.04"/>
    <n v="9.1900461183704838"/>
  </r>
  <r>
    <s v="A2202"/>
    <s v="Data Analytics Course"/>
    <n v="109"/>
    <n v="5187"/>
    <n v="222.69"/>
    <n v="17"/>
    <n v="7"/>
    <n v="4.5999999999999999E-2"/>
    <n v="1690"/>
    <s v="23-11-2024"/>
    <s v="Hyderabad"/>
    <x v="2"/>
    <s v="learn data analytics"/>
    <d v="2024-11-23T00:00:00"/>
    <n v="2.1014073645652592E-2"/>
    <n v="2.0430275229357799"/>
    <n v="13.099411764705883"/>
    <n v="31.812857142857144"/>
    <n v="7.5890251021599537"/>
  </r>
  <r>
    <s v="A2203"/>
    <s v="Data Analytics Course"/>
    <n v="181"/>
    <n v="3647"/>
    <n v="227.37"/>
    <n v="30"/>
    <n v="6"/>
    <n v="3.3000000000000002E-2"/>
    <n v="1412"/>
    <d v="2024-11-30T00:00:00"/>
    <s v="Hyderabad"/>
    <x v="0"/>
    <s v="data analytics course"/>
    <d v="2024-11-30T00:00:00"/>
    <n v="4.9629832739237732E-2"/>
    <n v="1.2561878453038675"/>
    <n v="7.5789999999999997"/>
    <n v="37.895000000000003"/>
    <n v="6.2101420591986631"/>
  </r>
  <r>
    <s v="A2204"/>
    <s v="Data Analytics Course"/>
    <n v="131"/>
    <n v="3626"/>
    <n v="193.68"/>
    <n v="27"/>
    <n v="3"/>
    <n v="0.05"/>
    <n v="1505"/>
    <s v="25-11-2024"/>
    <s v="Hyderabad"/>
    <x v="2"/>
    <s v="data analitics online"/>
    <d v="2024-11-25T00:00:00"/>
    <n v="3.6127964699393271E-2"/>
    <n v="1.4784732824427482"/>
    <n v="7.1733333333333338"/>
    <n v="64.56"/>
    <n v="7.7705493597686903"/>
  </r>
  <r>
    <s v="A2205"/>
    <s v="Data Analytics Course"/>
    <n v="139"/>
    <n v="5650"/>
    <n v="225.22"/>
    <n v="26"/>
    <n v="3"/>
    <n v="4.5999999999999999E-2"/>
    <n v="1774"/>
    <d v="2024-02-11T00:00:00"/>
    <s v="Hyderabad"/>
    <x v="0"/>
    <s v="online data analytic"/>
    <d v="2024-02-11T00:00:00"/>
    <n v="2.4601769911504423E-2"/>
    <n v="1.6202877697841727"/>
    <n v="8.6623076923076923"/>
    <n v="75.073333333333338"/>
    <n v="7.8767427404315784"/>
  </r>
  <r>
    <s v="A2206"/>
    <s v="Data Analytics Course"/>
    <n v="109"/>
    <n v="5219"/>
    <n v="215.76"/>
    <n v="15"/>
    <n v="3"/>
    <n v="2.8000000000000001E-2"/>
    <n v="1408"/>
    <s v="18-11-2024"/>
    <s v="Hyderabad"/>
    <x v="2"/>
    <s v="learn data analytics"/>
    <d v="2024-11-18T00:00:00"/>
    <n v="2.0885227054991379E-2"/>
    <n v="1.9794495412844035"/>
    <n v="14.383999999999999"/>
    <n v="71.92"/>
    <n v="6.5257693733778277"/>
  </r>
  <r>
    <s v="A2207"/>
    <s v="Data Analytics Course"/>
    <n v="191"/>
    <n v="3333"/>
    <n v="187.71"/>
    <n v="13"/>
    <n v="5"/>
    <n v="2.5999999999999999E-2"/>
    <n v="1360"/>
    <d v="2024-11-26T00:00:00"/>
    <s v="Hyderabad"/>
    <x v="0"/>
    <s v="learn data analytics"/>
    <d v="2024-11-26T00:00:00"/>
    <n v="5.7305730573057309E-2"/>
    <n v="0.98277486910994771"/>
    <n v="14.43923076923077"/>
    <n v="37.542000000000002"/>
    <n v="7.2452186884023222"/>
  </r>
  <r>
    <s v="A2208"/>
    <s v="Data Analytics Course"/>
    <n v="101"/>
    <n v="4435"/>
    <n v="222.49"/>
    <n v="11"/>
    <n v="10"/>
    <n v="9.9000000000000005E-2"/>
    <n v="1277"/>
    <d v="2024-11-21T00:00:00"/>
    <s v="Hyderabad"/>
    <x v="1"/>
    <s v="data anaytics training"/>
    <d v="2024-11-21T00:00:00"/>
    <n v="2.2773393461104848E-2"/>
    <n v="2.2028712871287128"/>
    <n v="20.226363636363637"/>
    <n v="22.249000000000002"/>
    <n v="5.7395838015191689"/>
  </r>
  <r>
    <s v="A2209"/>
    <s v="Data Analytics Course"/>
    <n v="152"/>
    <n v="5204"/>
    <n v="210.28"/>
    <n v="11"/>
    <n v="7"/>
    <n v="4.5999999999999999E-2"/>
    <n v="1505"/>
    <d v="2024-11-23T00:00:00"/>
    <s v="Hyderabad"/>
    <x v="1"/>
    <s v="online data analytic"/>
    <d v="2024-11-23T00:00:00"/>
    <n v="2.9208301306687164E-2"/>
    <n v="1.3834210526315789"/>
    <n v="19.116363636363637"/>
    <n v="30.04"/>
    <n v="7.1571238348868178"/>
  </r>
  <r>
    <s v="A2210"/>
    <s v="Data Analytics Course"/>
    <n v="164"/>
    <n v="3856"/>
    <n v="241.65"/>
    <n v="27"/>
    <n v="4"/>
    <n v="2.4E-2"/>
    <n v="1786"/>
    <s v="21-11-2024"/>
    <s v="Hyderabad"/>
    <x v="0"/>
    <s v="data anaytics training"/>
    <d v="2024-11-21T00:00:00"/>
    <n v="4.2531120331950209E-2"/>
    <n v="1.4734756097560977"/>
    <n v="8.9500000000000011"/>
    <n v="60.412500000000001"/>
    <n v="7.39085454169253"/>
  </r>
  <r>
    <s v="A2211"/>
    <s v="Data Analytics Course"/>
    <n v="83"/>
    <n v="4143"/>
    <n v="203.11"/>
    <n v="23"/>
    <n v="10"/>
    <n v="4.5999999999999999E-2"/>
    <n v="1517"/>
    <d v="2024-11-26T00:00:00"/>
    <s v="Hyderabad"/>
    <x v="1"/>
    <s v="learn data analytics"/>
    <d v="2024-11-26T00:00:00"/>
    <n v="2.0033791938209027E-2"/>
    <n v="2.44710843373494"/>
    <n v="8.8308695652173927"/>
    <n v="20.311"/>
    <n v="7.4688592388360986"/>
  </r>
  <r>
    <s v="A2212"/>
    <s v="Data Analytics Course"/>
    <n v="199"/>
    <n v="5895"/>
    <n v="239.59"/>
    <n v="21"/>
    <n v="4"/>
    <n v="0.02"/>
    <n v="1592"/>
    <d v="2024-11-30T00:00:00"/>
    <s v="Hyderabad"/>
    <x v="1"/>
    <s v="data anaytics training"/>
    <d v="2024-11-30T00:00:00"/>
    <n v="3.3757421543681089E-2"/>
    <n v="1.2039698492462312"/>
    <n v="11.40904761904762"/>
    <n v="59.897500000000001"/>
    <n v="6.6446846696439748"/>
  </r>
  <r>
    <s v="A2213"/>
    <s v="Data Analytics Course"/>
    <n v="141"/>
    <n v="4039"/>
    <n v="205.8"/>
    <n v="28"/>
    <n v="6"/>
    <n v="4.5999999999999999E-2"/>
    <n v="1220"/>
    <d v="2024-11-08T00:00:00"/>
    <s v="Hyderabad"/>
    <x v="0"/>
    <s v="data analitics online"/>
    <d v="2024-11-08T00:00:00"/>
    <n v="3.4909631096806143E-2"/>
    <n v="1.4595744680851064"/>
    <n v="7.3500000000000005"/>
    <n v="34.300000000000004"/>
    <n v="5.928085519922254"/>
  </r>
  <r>
    <s v="A2214"/>
    <s v="Data Analytics Course"/>
    <n v="131"/>
    <n v="4773"/>
    <n v="215.36"/>
    <n v="26"/>
    <n v="7"/>
    <n v="5.2999999999999999E-2"/>
    <n v="1363"/>
    <d v="2024-11-08T00:00:00"/>
    <s v="Hyderabad"/>
    <x v="2"/>
    <s v="data analitics online"/>
    <d v="2024-11-08T00:00:00"/>
    <n v="2.7446050701864656E-2"/>
    <n v="1.643969465648855"/>
    <n v="8.2830769230769228"/>
    <n v="30.765714285714289"/>
    <n v="6.3289375928677556"/>
  </r>
  <r>
    <s v="A2215"/>
    <s v="Data Analytics Course"/>
    <n v="139"/>
    <n v="5360"/>
    <n v="229.38"/>
    <n v="30"/>
    <n v="7"/>
    <n v="4.5999999999999999E-2"/>
    <n v="1896"/>
    <d v="2024-11-19T00:00:00"/>
    <s v="Hyderabad"/>
    <x v="2"/>
    <s v="learn data analytics"/>
    <d v="2024-11-19T00:00:00"/>
    <n v="2.5932835820895523E-2"/>
    <n v="1.6502158273381295"/>
    <n v="7.6459999999999999"/>
    <n v="32.768571428571427"/>
    <n v="8.2657598744441536"/>
  </r>
  <r>
    <s v="A2216"/>
    <s v="Data Analytics Course"/>
    <n v="164"/>
    <n v="5380"/>
    <n v="223.15"/>
    <n v="13"/>
    <n v="5"/>
    <n v="4.7E-2"/>
    <n v="1661"/>
    <s v="23-11-2024"/>
    <s v="Hyderabad"/>
    <x v="0"/>
    <s v="analytics for data"/>
    <d v="2024-11-23T00:00:00"/>
    <n v="3.0483271375464683E-2"/>
    <n v="1.360670731707317"/>
    <n v="17.165384615384617"/>
    <n v="44.63"/>
    <n v="7.4434237060273354"/>
  </r>
  <r>
    <s v="A2217"/>
    <s v="Data Analytics Course"/>
    <n v="149"/>
    <n v="3323"/>
    <n v="197.76"/>
    <n v="23"/>
    <n v="4"/>
    <n v="2.7E-2"/>
    <n v="1181"/>
    <d v="2024-11-17T00:00:00"/>
    <s v="Hyderabad"/>
    <x v="1"/>
    <s v="data analitics online"/>
    <d v="2024-11-17T00:00:00"/>
    <n v="4.4839000902798673E-2"/>
    <n v="1.327248322147651"/>
    <n v="8.5982608695652178"/>
    <n v="49.44"/>
    <n v="5.971885113268609"/>
  </r>
  <r>
    <s v="A2218"/>
    <s v="Data Analytics Course"/>
    <n v="112"/>
    <n v="3870"/>
    <n v="215.05"/>
    <n v="26"/>
    <n v="6"/>
    <n v="5.3999999999999999E-2"/>
    <n v="1483"/>
    <d v="2024-11-03T00:00:00"/>
    <s v="Hyderabad"/>
    <x v="0"/>
    <s v="learn data analytics"/>
    <d v="2024-11-03T00:00:00"/>
    <n v="2.8940568475452195E-2"/>
    <n v="1.9200892857142857"/>
    <n v="8.2711538461538474"/>
    <n v="35.841666666666669"/>
    <n v="6.896070681236921"/>
  </r>
  <r>
    <s v="A2219"/>
    <s v="Data Analytics Course"/>
    <n v="139"/>
    <n v="4486"/>
    <n v="205.46"/>
    <n v="28"/>
    <n v="4"/>
    <n v="5.8000000000000003E-2"/>
    <n v="1853"/>
    <s v="24-11-2024"/>
    <s v="Hyderabad"/>
    <x v="2"/>
    <s v="online data analytic"/>
    <d v="2024-11-24T00:00:00"/>
    <n v="3.0985287561301828E-2"/>
    <n v="1.4781294964028777"/>
    <n v="7.3378571428571435"/>
    <n v="51.365000000000002"/>
    <n v="9.0187871118465885"/>
  </r>
  <r>
    <s v="A2220"/>
    <s v="Data Analytics Course"/>
    <n v="105"/>
    <n v="3384"/>
    <n v="240.41"/>
    <n v="26"/>
    <n v="8"/>
    <n v="5.7000000000000002E-2"/>
    <n v="1399"/>
    <d v="2024-11-03T00:00:00"/>
    <s v="Hyderabad"/>
    <x v="0"/>
    <s v="data analitics online"/>
    <d v="2024-11-03T00:00:00"/>
    <n v="3.1028368794326241E-2"/>
    <n v="2.2896190476190474"/>
    <n v="9.2465384615384618"/>
    <n v="30.05125"/>
    <n v="5.8192254897882787"/>
  </r>
  <r>
    <s v="A2221"/>
    <s v="Data Analytics Course"/>
    <n v="83"/>
    <n v="5066"/>
    <n v="236.91"/>
    <n v="22"/>
    <n v="7"/>
    <n v="4.5999999999999999E-2"/>
    <n v="1505"/>
    <d v="2024-11-21T00:00:00"/>
    <s v="Hyderabad"/>
    <x v="0"/>
    <s v="learn data analytics"/>
    <d v="2024-11-21T00:00:00"/>
    <n v="1.6383734701934466E-2"/>
    <n v="2.8543373493975905"/>
    <n v="10.768636363636363"/>
    <n v="33.844285714285711"/>
    <n v="6.352623359081508"/>
  </r>
  <r>
    <s v="A2222"/>
    <s v="Data Analytics Course"/>
    <n v="127"/>
    <n v="5947"/>
    <n v="209.67"/>
    <n v="27"/>
    <n v="3"/>
    <n v="2.4E-2"/>
    <n v="1155"/>
    <d v="2024-11-28T00:00:00"/>
    <s v="Hyderabad"/>
    <x v="0"/>
    <s v="learn data analytics"/>
    <d v="2024-11-28T00:00:00"/>
    <n v="2.1355305195897092E-2"/>
    <n v="1.6509448818897636"/>
    <n v="7.7655555555555553"/>
    <n v="69.89"/>
    <n v="5.5086564601516672"/>
  </r>
  <r>
    <s v="A2223"/>
    <s v="Data Analytics Course"/>
    <n v="133"/>
    <n v="4286"/>
    <n v="216.16"/>
    <n v="18"/>
    <n v="9"/>
    <n v="5.3999999999999999E-2"/>
    <n v="1839"/>
    <d v="2024-08-11T00:00:00"/>
    <s v="Hyderabad"/>
    <x v="0"/>
    <s v="data analitics online"/>
    <d v="2024-08-11T00:00:00"/>
    <n v="3.1031264582361176E-2"/>
    <n v="1.6252631578947367"/>
    <n v="12.008888888888889"/>
    <n v="24.017777777777777"/>
    <n v="8.507586972612879"/>
  </r>
  <r>
    <s v="A2224"/>
    <s v="Data Analytics Course"/>
    <n v="197"/>
    <n v="5733"/>
    <n v="185.09"/>
    <n v="14"/>
    <n v="5"/>
    <n v="2.5000000000000001E-2"/>
    <n v="1295"/>
    <d v="2024-11-05T00:00:00"/>
    <s v="Hyderabad"/>
    <x v="2"/>
    <s v="data anaytics training"/>
    <d v="2024-11-05T00:00:00"/>
    <n v="3.4362462933891502E-2"/>
    <n v="0.93954314720812182"/>
    <n v="13.220714285714285"/>
    <n v="37.018000000000001"/>
    <n v="6.9965962504727433"/>
  </r>
  <r>
    <s v="A2225"/>
    <s v="Data Analytics Course"/>
    <n v="125"/>
    <n v="5103"/>
    <n v="221.93"/>
    <n v="30"/>
    <n v="7"/>
    <n v="5.1999999999999998E-2"/>
    <n v="1398"/>
    <d v="2024-08-11T00:00:00"/>
    <s v="Hyderabad"/>
    <x v="2"/>
    <s v="analytics for data"/>
    <d v="2024-08-11T00:00:00"/>
    <n v="2.4495394865765237E-2"/>
    <n v="1.7754400000000001"/>
    <n v="7.3976666666666668"/>
    <n v="31.704285714285714"/>
    <n v="6.2992835578786099"/>
  </r>
  <r>
    <s v="A2226"/>
    <s v="Data Analytics Course"/>
    <n v="147"/>
    <n v="5228"/>
    <n v="210.94"/>
    <n v="12"/>
    <n v="9"/>
    <n v="4.5999999999999999E-2"/>
    <n v="1784"/>
    <d v="2024-11-28T00:00:00"/>
    <s v="Hyderabad"/>
    <x v="0"/>
    <s v="data anaytics training"/>
    <d v="2024-11-28T00:00:00"/>
    <n v="2.8117827084927313E-2"/>
    <n v="1.4349659863945579"/>
    <n v="17.578333333333333"/>
    <n v="23.437777777777779"/>
    <n v="8.4573812458519004"/>
  </r>
  <r>
    <s v="A2227"/>
    <s v="Data Analytics Course"/>
    <n v="153"/>
    <n v="3666"/>
    <n v="198.4"/>
    <n v="16"/>
    <n v="4"/>
    <n v="2.5999999999999999E-2"/>
    <n v="1820"/>
    <d v="2024-11-20T00:00:00"/>
    <s v="Hyderabad"/>
    <x v="1"/>
    <s v="learn data analytics"/>
    <d v="2024-11-20T00:00:00"/>
    <n v="4.1734860883797055E-2"/>
    <n v="1.2967320261437909"/>
    <n v="12.4"/>
    <n v="49.6"/>
    <n v="9.1733870967741939"/>
  </r>
  <r>
    <s v="A2228"/>
    <s v="Data Analytics Course"/>
    <n v="196"/>
    <n v="3440"/>
    <n v="212.98"/>
    <n v="15"/>
    <n v="5"/>
    <n v="2.5999999999999999E-2"/>
    <n v="1539"/>
    <d v="2024-11-26T00:00:00"/>
    <s v="Hyderabad"/>
    <x v="2"/>
    <s v="learn data analytics"/>
    <d v="2024-11-26T00:00:00"/>
    <n v="5.6976744186046514E-2"/>
    <n v="1.0866326530612245"/>
    <n v="14.198666666666666"/>
    <n v="42.595999999999997"/>
    <n v="7.2260306132031182"/>
  </r>
  <r>
    <s v="A2229"/>
    <s v="Data Analytics Course"/>
    <n v="87"/>
    <n v="3031"/>
    <n v="234.25"/>
    <n v="17"/>
    <n v="7"/>
    <n v="0.08"/>
    <n v="1167"/>
    <d v="2024-11-05T00:00:00"/>
    <s v="Hyderabad"/>
    <x v="0"/>
    <s v="data analitics online"/>
    <d v="2024-11-05T00:00:00"/>
    <n v="2.8703398218409767E-2"/>
    <n v="2.6925287356321839"/>
    <n v="13.779411764705882"/>
    <n v="33.464285714285715"/>
    <n v="4.9818569903948768"/>
  </r>
  <r>
    <s v="A2230"/>
    <s v="Data Analytics Course"/>
    <n v="151"/>
    <n v="5957"/>
    <n v="188.22"/>
    <n v="15"/>
    <n v="8"/>
    <n v="5.2999999999999999E-2"/>
    <n v="1468"/>
    <d v="2024-11-25T00:00:00"/>
    <s v="Hyderabad"/>
    <x v="2"/>
    <s v="analytics for data"/>
    <d v="2024-11-25T00:00:00"/>
    <n v="2.5348329696155782E-2"/>
    <n v="1.2464900662251654"/>
    <n v="12.548"/>
    <n v="23.5275"/>
    <n v="7.7993836999256194"/>
  </r>
  <r>
    <s v="A2231"/>
    <s v="Data Analytics Course"/>
    <n v="93"/>
    <n v="4689"/>
    <n v="197.54"/>
    <n v="15"/>
    <n v="4"/>
    <n v="4.2999999999999997E-2"/>
    <n v="1073"/>
    <s v="25-11-2024"/>
    <s v="Hyderabad"/>
    <x v="1"/>
    <s v="data analitics online"/>
    <d v="2024-11-25T00:00:00"/>
    <n v="1.983365323096609E-2"/>
    <n v="2.1240860215053763"/>
    <n v="13.169333333333332"/>
    <n v="49.384999999999998"/>
    <n v="5.4318112787283592"/>
  </r>
  <r>
    <s v="A2232"/>
    <s v="Data Analytics Course"/>
    <n v="145"/>
    <n v="3085"/>
    <n v="194.96"/>
    <n v="26"/>
    <n v="5"/>
    <n v="3.3000000000000002E-2"/>
    <n v="1673"/>
    <s v="24-11-2024"/>
    <s v="Hyderabad"/>
    <x v="0"/>
    <s v="online data analytic"/>
    <d v="2024-11-24T00:00:00"/>
    <n v="4.7001620745542948E-2"/>
    <n v="1.344551724137931"/>
    <n v="7.4984615384615392"/>
    <n v="38.992000000000004"/>
    <n v="8.5812474353713579"/>
  </r>
  <r>
    <s v="A2233"/>
    <s v="Data Analytics Course"/>
    <n v="128"/>
    <n v="3341"/>
    <n v="185.57"/>
    <n v="25"/>
    <n v="5"/>
    <n v="3.9E-2"/>
    <n v="1516"/>
    <d v="2024-11-20T00:00:00"/>
    <s v="Hyderabad"/>
    <x v="2"/>
    <s v="online data analytic"/>
    <d v="2024-11-20T00:00:00"/>
    <n v="3.8311882669859326E-2"/>
    <n v="1.4497656249999999"/>
    <n v="7.4227999999999996"/>
    <n v="37.113999999999997"/>
    <n v="8.1694239370587916"/>
  </r>
  <r>
    <s v="A2234"/>
    <s v="Data Analytics Course"/>
    <n v="134"/>
    <n v="5521"/>
    <n v="243.57"/>
    <n v="15"/>
    <n v="3"/>
    <n v="4.5999999999999999E-2"/>
    <n v="1658"/>
    <s v="24-11-2024"/>
    <s v="Hyderabad"/>
    <x v="0"/>
    <s v="online data analytic"/>
    <d v="2024-11-24T00:00:00"/>
    <n v="2.4270965404817969E-2"/>
    <n v="1.8176865671641791"/>
    <n v="16.238"/>
    <n v="81.19"/>
    <n v="6.8070780473785772"/>
  </r>
  <r>
    <s v="A2235"/>
    <s v="Data Analytics Course"/>
    <n v="104"/>
    <n v="3696"/>
    <n v="206.54"/>
    <n v="28"/>
    <n v="7"/>
    <n v="5.2999999999999999E-2"/>
    <n v="1985"/>
    <d v="2024-11-11T00:00:00"/>
    <s v="Hyderabad"/>
    <x v="0"/>
    <s v="data anaytics training"/>
    <d v="2024-11-11T00:00:00"/>
    <n v="2.813852813852814E-2"/>
    <n v="1.9859615384615383"/>
    <n v="7.3764285714285709"/>
    <n v="29.505714285714284"/>
    <n v="9.6107291565798398"/>
  </r>
  <r>
    <s v="A2236"/>
    <s v="Data Analytics Course"/>
    <n v="177"/>
    <n v="3765"/>
    <n v="216.48"/>
    <n v="26"/>
    <n v="10"/>
    <n v="5.6000000000000001E-2"/>
    <n v="1507"/>
    <d v="2024-11-20T00:00:00"/>
    <s v="Hyderabad"/>
    <x v="2"/>
    <s v="data analitics online"/>
    <d v="2024-11-20T00:00:00"/>
    <n v="4.7011952191235058E-2"/>
    <n v="1.2230508474576272"/>
    <n v="8.3261538461538454"/>
    <n v="21.648"/>
    <n v="6.9613821138211387"/>
  </r>
  <r>
    <s v="A2237"/>
    <s v="Data Analytics Course"/>
    <n v="94"/>
    <n v="5455"/>
    <n v="249.09"/>
    <n v="15"/>
    <n v="3"/>
    <n v="4.5999999999999999E-2"/>
    <n v="1505"/>
    <s v="14-11-2024"/>
    <s v="Hyderabad"/>
    <x v="1"/>
    <s v="analytics for data"/>
    <d v="2024-11-14T00:00:00"/>
    <n v="1.7231897341888177E-2"/>
    <n v="2.6498936170212768"/>
    <n v="16.606000000000002"/>
    <n v="83.03"/>
    <n v="6.0419928539885177"/>
  </r>
  <r>
    <s v="A2238"/>
    <s v="Data Analytics Course"/>
    <n v="198"/>
    <n v="5260"/>
    <n v="205.53"/>
    <n v="13"/>
    <n v="10"/>
    <n v="5.0999999999999997E-2"/>
    <n v="1766"/>
    <d v="2024-11-12T00:00:00"/>
    <s v="Hyderabad"/>
    <x v="0"/>
    <s v="analytics for data"/>
    <d v="2024-11-12T00:00:00"/>
    <n v="3.76425855513308E-2"/>
    <n v="1.0380303030303031"/>
    <n v="15.81"/>
    <n v="20.553000000000001"/>
    <n v="8.5924195981121976"/>
  </r>
  <r>
    <s v="A2239"/>
    <s v="Data Analytics Course"/>
    <n v="140"/>
    <n v="4404"/>
    <n v="186.01"/>
    <n v="23"/>
    <n v="6"/>
    <n v="5.8999999999999997E-2"/>
    <n v="1625"/>
    <d v="2024-11-09T00:00:00"/>
    <s v="Hyderabad"/>
    <x v="2"/>
    <s v="analytics for data"/>
    <d v="2024-11-09T00:00:00"/>
    <n v="3.1789282470481378E-2"/>
    <n v="1.328642857142857"/>
    <n v="8.0873913043478254"/>
    <n v="31.001666666666665"/>
    <n v="8.7360894575560462"/>
  </r>
  <r>
    <s v="A2240"/>
    <s v="Data Analytics Course"/>
    <n v="137"/>
    <n v="5445"/>
    <n v="237.51"/>
    <n v="20"/>
    <n v="5"/>
    <n v="4.5999999999999999E-2"/>
    <n v="1904"/>
    <s v="25-11-2024"/>
    <s v="Hyderabad"/>
    <x v="2"/>
    <s v="learn data analytics"/>
    <d v="2024-11-25T00:00:00"/>
    <n v="2.5160697887970616E-2"/>
    <n v="1.7336496350364963"/>
    <n v="11.875499999999999"/>
    <n v="47.501999999999995"/>
    <n v="8.0165045682287062"/>
  </r>
  <r>
    <s v="A2241"/>
    <s v="Data Analytics Course"/>
    <n v="153"/>
    <n v="3068"/>
    <n v="215.57"/>
    <n v="25"/>
    <n v="8"/>
    <n v="5.1999999999999998E-2"/>
    <n v="1165"/>
    <s v="19-11-2024"/>
    <s v="Hyderabad"/>
    <x v="2"/>
    <s v="analytics for data"/>
    <d v="2024-11-19T00:00:00"/>
    <n v="4.9869621903520206E-2"/>
    <n v="1.4089542483660131"/>
    <n v="8.6227999999999998"/>
    <n v="26.946249999999999"/>
    <n v="5.4042770329823258"/>
  </r>
  <r>
    <s v="A2242"/>
    <s v="Data Analytics Course"/>
    <n v="177"/>
    <n v="4518.5"/>
    <n v="240.09"/>
    <n v="26"/>
    <n v="10"/>
    <n v="4.5999999999999999E-2"/>
    <n v="1505"/>
    <d v="2024-11-08T00:00:00"/>
    <s v="Hyderabad"/>
    <x v="1"/>
    <s v="data anaytics training"/>
    <d v="2024-11-08T00:00:00"/>
    <n v="3.9172291689720043E-2"/>
    <n v="1.3564406779661018"/>
    <n v="9.2342307692307699"/>
    <n v="24.009"/>
    <n v="6.2684826523387063"/>
  </r>
  <r>
    <s v="A2243"/>
    <s v="Data Analytics Course"/>
    <n v="100"/>
    <n v="4042"/>
    <n v="215.57"/>
    <n v="13"/>
    <n v="6"/>
    <n v="4.5999999999999999E-2"/>
    <n v="1678"/>
    <d v="2024-11-18T00:00:00"/>
    <s v="Hyderabad"/>
    <x v="0"/>
    <s v="analytics for data"/>
    <d v="2024-11-18T00:00:00"/>
    <n v="2.4740227610094014E-2"/>
    <n v="2.1556999999999999"/>
    <n v="16.58230769230769"/>
    <n v="35.928333333333335"/>
    <n v="7.7840144732569465"/>
  </r>
  <r>
    <s v="A2244"/>
    <s v="Data Analytics Course"/>
    <n v="160"/>
    <n v="5645"/>
    <n v="195.42"/>
    <n v="25"/>
    <n v="6"/>
    <n v="3.1E-2"/>
    <n v="1600"/>
    <s v="16-11-2024"/>
    <s v="Hyderabad"/>
    <x v="2"/>
    <s v="data analitics online"/>
    <d v="2024-11-16T00:00:00"/>
    <n v="2.8343666961913198E-2"/>
    <n v="1.2213749999999999"/>
    <n v="7.8167999999999997"/>
    <n v="32.57"/>
    <n v="8.1874936035206236"/>
  </r>
  <r>
    <s v="A2245"/>
    <s v="Data Analytics Course"/>
    <n v="194"/>
    <n v="3751"/>
    <n v="244.34"/>
    <n v="23"/>
    <n v="5"/>
    <n v="2.5999999999999999E-2"/>
    <n v="1505"/>
    <d v="2024-02-11T00:00:00"/>
    <s v="Hyderabad"/>
    <x v="1"/>
    <s v="data analitics online"/>
    <d v="2024-02-11T00:00:00"/>
    <n v="5.1719541455611834E-2"/>
    <n v="1.2594845360824742"/>
    <n v="10.623478260869565"/>
    <n v="48.868000000000002"/>
    <n v="6.1594499467954487"/>
  </r>
  <r>
    <s v="A2246"/>
    <s v="Data Analytics Course"/>
    <n v="128"/>
    <n v="5010"/>
    <n v="202.34"/>
    <n v="26"/>
    <n v="7"/>
    <n v="5.5E-2"/>
    <n v="1505"/>
    <d v="2024-11-16T00:00:00"/>
    <s v="Hyderabad"/>
    <x v="2"/>
    <s v="data anaytics training"/>
    <d v="2024-11-16T00:00:00"/>
    <n v="2.5548902195608781E-2"/>
    <n v="1.58078125"/>
    <n v="7.7823076923076924"/>
    <n v="28.905714285714286"/>
    <n v="7.43797568449145"/>
  </r>
  <r>
    <s v="A2247"/>
    <s v="Data Analytics Course"/>
    <n v="80"/>
    <n v="4506"/>
    <n v="236.47"/>
    <n v="11"/>
    <n v="5"/>
    <n v="4.5999999999999999E-2"/>
    <n v="1953"/>
    <s v="20-11-2024"/>
    <s v="Hyderabad"/>
    <x v="0"/>
    <s v="data analytics course"/>
    <d v="2024-11-20T00:00:00"/>
    <n v="1.775410563692854E-2"/>
    <n v="2.9558749999999998"/>
    <n v="21.497272727272726"/>
    <n v="47.293999999999997"/>
    <n v="8.2589757685964393"/>
  </r>
  <r>
    <s v="A2248"/>
    <s v="Data Analytics Course"/>
    <n v="81"/>
    <n v="5843"/>
    <n v="209.54"/>
    <n v="10"/>
    <n v="9"/>
    <n v="4.5999999999999999E-2"/>
    <n v="1979"/>
    <d v="2024-11-09T00:00:00"/>
    <s v="Hyderabad"/>
    <x v="2"/>
    <s v="data anaytics training"/>
    <d v="2024-11-09T00:00:00"/>
    <n v="1.3862741742255691E-2"/>
    <n v="2.5869135802469136"/>
    <n v="20.954000000000001"/>
    <n v="23.28222222222222"/>
    <n v="9.4444974706499956"/>
  </r>
  <r>
    <s v="A2249"/>
    <s v="Data Analytics Course"/>
    <n v="102"/>
    <n v="5369"/>
    <n v="198.39"/>
    <n v="29"/>
    <n v="4"/>
    <n v="3.9E-2"/>
    <n v="1659"/>
    <s v="19-11-2024"/>
    <s v="Hyderabad"/>
    <x v="2"/>
    <s v="data analytics course"/>
    <d v="2024-11-19T00:00:00"/>
    <n v="1.8997951201341033E-2"/>
    <n v="1.9449999999999998"/>
    <n v="6.8410344827586202"/>
    <n v="49.597499999999997"/>
    <n v="8.362316649024649"/>
  </r>
  <r>
    <s v="A2250"/>
    <s v="Data Analytics Course"/>
    <n v="197"/>
    <n v="4047"/>
    <n v="202.72"/>
    <n v="15"/>
    <n v="3"/>
    <n v="1.4999999999999999E-2"/>
    <n v="1345"/>
    <d v="2024-05-11T00:00:00"/>
    <s v="Hyderabad"/>
    <x v="1"/>
    <s v="data analitics online"/>
    <d v="2024-05-11T00:00:00"/>
    <n v="4.867803311094638E-2"/>
    <n v="1.0290355329949239"/>
    <n v="13.514666666666667"/>
    <n v="67.573333333333338"/>
    <n v="6.6347671665351227"/>
  </r>
  <r>
    <s v="A2251"/>
    <s v="Data Analytics Course"/>
    <n v="84"/>
    <n v="4463"/>
    <n v="198.44"/>
    <n v="17"/>
    <n v="3"/>
    <n v="3.5999999999999997E-2"/>
    <n v="1110"/>
    <d v="2024-11-02T00:00:00"/>
    <s v="Hyderabad"/>
    <x v="1"/>
    <s v="analytics for data"/>
    <d v="2024-11-02T00:00:00"/>
    <n v="1.8821420569123906E-2"/>
    <n v="2.3623809523809522"/>
    <n v="11.672941176470587"/>
    <n v="66.146666666666661"/>
    <n v="5.5936303164684542"/>
  </r>
  <r>
    <s v="A2252"/>
    <s v="Data Analytics Course"/>
    <n v="119"/>
    <n v="4610"/>
    <n v="222.7"/>
    <n v="18"/>
    <n v="3"/>
    <n v="2.5000000000000001E-2"/>
    <n v="1473"/>
    <d v="2024-11-18T00:00:00"/>
    <s v="Hyderabad"/>
    <x v="0"/>
    <s v="data analitics online"/>
    <d v="2024-11-18T00:00:00"/>
    <n v="2.5813449023861172E-2"/>
    <n v="1.8714285714285714"/>
    <n v="12.372222222222222"/>
    <n v="74.233333333333334"/>
    <n v="6.6142792995060624"/>
  </r>
  <r>
    <s v="A2253"/>
    <s v="Data Analytics Course"/>
    <n v="96"/>
    <n v="5957"/>
    <n v="225.59"/>
    <n v="27"/>
    <n v="10"/>
    <n v="0.104"/>
    <n v="1062"/>
    <d v="2024-11-21T00:00:00"/>
    <s v="Hyderabad"/>
    <x v="1"/>
    <s v="data analitics online"/>
    <d v="2024-11-21T00:00:00"/>
    <n v="1.6115494376363941E-2"/>
    <n v="2.3498958333333335"/>
    <n v="8.355185185185185"/>
    <n v="22.559000000000001"/>
    <n v="4.7076554811826767"/>
  </r>
  <r>
    <s v="A2254"/>
    <s v="Data Analytics Course"/>
    <n v="144"/>
    <n v="5704"/>
    <n v="196.67"/>
    <n v="29"/>
    <n v="6"/>
    <n v="4.2000000000000003E-2"/>
    <n v="1573"/>
    <s v="29-11-2024"/>
    <s v="Hyderabad"/>
    <x v="1"/>
    <s v="analytics for data"/>
    <d v="2024-11-29T00:00:00"/>
    <n v="2.5245441795231416E-2"/>
    <n v="1.3657638888888888"/>
    <n v="6.7817241379310342"/>
    <n v="32.778333333333329"/>
    <n v="7.9981695225504659"/>
  </r>
  <r>
    <s v="A2255"/>
    <s v="Data Analytics Course"/>
    <n v="148"/>
    <n v="5335"/>
    <n v="223.36"/>
    <n v="21"/>
    <n v="9"/>
    <n v="6.0999999999999999E-2"/>
    <n v="1251"/>
    <d v="2024-11-20T00:00:00"/>
    <s v="Hyderabad"/>
    <x v="2"/>
    <s v="data analitics online"/>
    <d v="2024-11-20T00:00:00"/>
    <n v="2.7741330834114338E-2"/>
    <n v="1.5091891891891893"/>
    <n v="10.636190476190476"/>
    <n v="24.817777777777778"/>
    <n v="5.6008237822349569"/>
  </r>
  <r>
    <s v="A2256"/>
    <s v="Data Analytics Course"/>
    <n v="151"/>
    <n v="4901"/>
    <n v="224.29"/>
    <n v="27"/>
    <n v="7"/>
    <n v="4.5999999999999999E-2"/>
    <n v="1425"/>
    <d v="2024-11-05T00:00:00"/>
    <s v="Hyderabad"/>
    <x v="1"/>
    <s v="data anaytics training"/>
    <d v="2024-11-05T00:00:00"/>
    <n v="3.0810038767598448E-2"/>
    <n v="1.4853642384105961"/>
    <n v="8.3070370370370359"/>
    <n v="32.041428571428568"/>
    <n v="6.3533817825137104"/>
  </r>
  <r>
    <s v="A2257"/>
    <s v="Data Analytics Course"/>
    <n v="175"/>
    <n v="5392"/>
    <n v="187.74"/>
    <n v="17"/>
    <n v="9"/>
    <n v="4.5999999999999999E-2"/>
    <n v="1015"/>
    <d v="2024-11-21T00:00:00"/>
    <s v="Hyderabad"/>
    <x v="2"/>
    <s v="data analitics online"/>
    <d v="2024-11-21T00:00:00"/>
    <n v="3.2455489614243327E-2"/>
    <n v="1.0728"/>
    <n v="11.043529411764707"/>
    <n v="20.86"/>
    <n v="5.4064131245339295"/>
  </r>
  <r>
    <s v="A2258"/>
    <s v="Data Analytics Course"/>
    <n v="189"/>
    <n v="3461"/>
    <n v="224.72"/>
    <n v="20"/>
    <n v="7"/>
    <n v="4.5999999999999999E-2"/>
    <n v="1390"/>
    <d v="2024-11-21T00:00:00"/>
    <s v="Hyderabad"/>
    <x v="0"/>
    <s v="data anaytics training"/>
    <d v="2024-11-21T00:00:00"/>
    <n v="5.4608494654724067E-2"/>
    <n v="1.188994708994709"/>
    <n v="11.236000000000001"/>
    <n v="32.10285714285714"/>
    <n v="6.1854752580989674"/>
  </r>
  <r>
    <s v="A2259"/>
    <s v="Data Analytics Course"/>
    <n v="157"/>
    <n v="5451"/>
    <n v="183.89"/>
    <n v="12"/>
    <n v="10"/>
    <n v="6.4000000000000001E-2"/>
    <n v="1180"/>
    <s v="29-11-2024"/>
    <s v="Hyderabad"/>
    <x v="0"/>
    <s v="data analytics course"/>
    <d v="2024-11-29T00:00:00"/>
    <n v="2.8802054668868097E-2"/>
    <n v="1.1712738853503184"/>
    <n v="15.324166666666665"/>
    <n v="18.388999999999999"/>
    <n v="6.4168796563162767"/>
  </r>
  <r>
    <s v="A2260"/>
    <s v="Data Analytics Course"/>
    <n v="126"/>
    <n v="4518.5"/>
    <n v="201.56"/>
    <n v="27"/>
    <n v="10"/>
    <n v="7.9000000000000001E-2"/>
    <n v="1122"/>
    <d v="2024-11-21T00:00:00"/>
    <s v="Hyderabad"/>
    <x v="0"/>
    <s v="analytics for data"/>
    <d v="2024-11-21T00:00:00"/>
    <n v="2.7885360185902403E-2"/>
    <n v="1.5996825396825396"/>
    <n v="7.4651851851851854"/>
    <n v="20.155999999999999"/>
    <n v="5.5665806707680092"/>
  </r>
  <r>
    <s v="A2261"/>
    <s v="Data Analytics Course"/>
    <n v="85"/>
    <n v="3770"/>
    <n v="204.04"/>
    <n v="30"/>
    <n v="7"/>
    <n v="4.5999999999999999E-2"/>
    <n v="1238"/>
    <s v="14-11-2024"/>
    <s v="Hyderabad"/>
    <x v="1"/>
    <s v="learn data analytics"/>
    <d v="2024-11-14T00:00:00"/>
    <n v="2.2546419098143235E-2"/>
    <n v="2.4004705882352941"/>
    <n v="6.801333333333333"/>
    <n v="29.148571428571426"/>
    <n v="6.06743775730249"/>
  </r>
  <r>
    <s v="A2262"/>
    <s v="Data Analytics Course"/>
    <n v="89"/>
    <n v="3573"/>
    <n v="193.53"/>
    <n v="20"/>
    <n v="10"/>
    <n v="0.112"/>
    <n v="1926"/>
    <s v="15-11-2024"/>
    <s v="Hyderabad"/>
    <x v="0"/>
    <s v="learn data analytics"/>
    <d v="2024-11-15T00:00:00"/>
    <n v="2.4909040022390149E-2"/>
    <n v="2.174494382022472"/>
    <n v="9.6765000000000008"/>
    <n v="19.353000000000002"/>
    <n v="9.9519454348163077"/>
  </r>
  <r>
    <s v="A2263"/>
    <s v="Data Analytics Course"/>
    <n v="152"/>
    <n v="4092"/>
    <n v="196.66"/>
    <n v="10"/>
    <n v="5"/>
    <n v="4.5999999999999999E-2"/>
    <n v="1396"/>
    <d v="2024-11-11T00:00:00"/>
    <s v="Hyderabad"/>
    <x v="0"/>
    <s v="analytics for data"/>
    <d v="2024-11-11T00:00:00"/>
    <n v="3.7145650048875857E-2"/>
    <n v="1.2938157894736841"/>
    <n v="19.666"/>
    <n v="39.332000000000001"/>
    <n v="7.0985457134140137"/>
  </r>
  <r>
    <s v="A2264"/>
    <s v="Data Analytics Course"/>
    <n v="126"/>
    <n v="3999"/>
    <n v="181.58"/>
    <n v="22"/>
    <n v="9"/>
    <n v="7.0999999999999994E-2"/>
    <n v="1145"/>
    <d v="2024-11-27T00:00:00"/>
    <s v="Hyderabad"/>
    <x v="1"/>
    <s v="online data analytic"/>
    <d v="2024-11-27T00:00:00"/>
    <n v="3.1507876969242309E-2"/>
    <n v="1.4411111111111112"/>
    <n v="8.2536363636363639"/>
    <n v="20.175555555555558"/>
    <n v="6.305760546315673"/>
  </r>
  <r>
    <s v="A2265"/>
    <s v="Data Analytics Course"/>
    <n v="153"/>
    <n v="3354"/>
    <n v="243.13"/>
    <n v="24"/>
    <n v="6"/>
    <n v="3.9E-2"/>
    <n v="1536"/>
    <d v="2024-11-10T00:00:00"/>
    <s v="Hyderabad"/>
    <x v="1"/>
    <s v="data analytics course"/>
    <d v="2024-11-10T00:00:00"/>
    <n v="4.5617173524150269E-2"/>
    <n v="1.5890849673202614"/>
    <n v="10.130416666666667"/>
    <n v="40.521666666666668"/>
    <n v="6.3176078641056224"/>
  </r>
  <r>
    <s v="A2266"/>
    <s v="Data Analytics Course"/>
    <n v="98"/>
    <n v="4801"/>
    <n v="186.52"/>
    <n v="10"/>
    <n v="3"/>
    <n v="3.1E-2"/>
    <n v="1121"/>
    <d v="2024-11-07T00:00:00"/>
    <s v="Hyderabad"/>
    <x v="0"/>
    <s v="learn data analytics"/>
    <d v="2024-11-07T00:00:00"/>
    <n v="2.0412414080399916E-2"/>
    <n v="1.9032653061224492"/>
    <n v="18.652000000000001"/>
    <n v="62.173333333333339"/>
    <n v="6.0100793480591888"/>
  </r>
  <r>
    <s v="A2267"/>
    <s v="Data Analytics Course"/>
    <n v="145"/>
    <n v="4799"/>
    <n v="194.74"/>
    <n v="17"/>
    <n v="6"/>
    <n v="4.5999999999999999E-2"/>
    <n v="1381"/>
    <d v="2024-07-11T00:00:00"/>
    <s v="Hyderabad"/>
    <x v="0"/>
    <s v="analytics for data"/>
    <d v="2024-07-11T00:00:00"/>
    <n v="3.0214628047509899E-2"/>
    <n v="1.3430344827586207"/>
    <n v="11.455294117647059"/>
    <n v="32.456666666666671"/>
    <n v="7.0915066242169047"/>
  </r>
  <r>
    <s v="A2268"/>
    <s v="Data Analytics Course"/>
    <n v="179"/>
    <n v="3753"/>
    <n v="220.87"/>
    <n v="23"/>
    <n v="6"/>
    <n v="4.5999999999999999E-2"/>
    <n v="1966"/>
    <d v="2024-11-14T00:00:00"/>
    <s v="Hyderabad"/>
    <x v="2"/>
    <s v="data analytics course"/>
    <d v="2024-11-14T00:00:00"/>
    <n v="4.769517719158007E-2"/>
    <n v="1.2339106145251397"/>
    <n v="9.6030434782608705"/>
    <n v="36.811666666666667"/>
    <n v="8.9011635803866529"/>
  </r>
  <r>
    <s v="A2269"/>
    <s v="Data Analytics Course"/>
    <n v="108"/>
    <n v="4698"/>
    <n v="187.19"/>
    <n v="19"/>
    <n v="10"/>
    <n v="4.5999999999999999E-2"/>
    <n v="1118"/>
    <s v="15-11-2024"/>
    <s v="Hyderabad"/>
    <x v="1"/>
    <s v="data analitics online"/>
    <d v="2024-11-15T00:00:00"/>
    <n v="2.2988505747126436E-2"/>
    <n v="1.7332407407407406"/>
    <n v="9.8521052631578954"/>
    <n v="18.719000000000001"/>
    <n v="5.9725412682301409"/>
  </r>
  <r>
    <s v="A2270"/>
    <s v="Data Analytics Course"/>
    <n v="191"/>
    <n v="3522"/>
    <n v="216.65"/>
    <n v="25"/>
    <n v="5"/>
    <n v="2.5999999999999999E-2"/>
    <n v="1835"/>
    <d v="2024-11-24T00:00:00"/>
    <s v="Hyderabad"/>
    <x v="2"/>
    <s v="data anaytics training"/>
    <d v="2024-11-24T00:00:00"/>
    <n v="5.4230550823395798E-2"/>
    <n v="1.1342931937172775"/>
    <n v="8.6660000000000004"/>
    <n v="43.33"/>
    <n v="8.4698822986383568"/>
  </r>
  <r>
    <s v="A2271"/>
    <s v="Data Analytics Course"/>
    <n v="183"/>
    <n v="3363"/>
    <n v="212.08"/>
    <n v="10"/>
    <n v="9"/>
    <n v="4.9000000000000002E-2"/>
    <n v="1511"/>
    <d v="2024-07-11T00:00:00"/>
    <s v="Hyderabad"/>
    <x v="2"/>
    <s v="data analitics online"/>
    <d v="2024-07-11T00:00:00"/>
    <n v="5.4415700267618196E-2"/>
    <n v="1.1589071038251366"/>
    <n v="21.208000000000002"/>
    <n v="23.564444444444447"/>
    <n v="7.1246699358732553"/>
  </r>
  <r>
    <s v="A2272"/>
    <s v="Data Analytics Course"/>
    <n v="175"/>
    <n v="5924"/>
    <n v="223.3"/>
    <n v="14"/>
    <n v="3"/>
    <n v="1.7000000000000001E-2"/>
    <n v="1505"/>
    <d v="2024-11-04T00:00:00"/>
    <s v="Hyderabad"/>
    <x v="1"/>
    <s v="analytics for data"/>
    <d v="2024-11-04T00:00:00"/>
    <n v="2.9540850776502363E-2"/>
    <n v="1.276"/>
    <n v="15.950000000000001"/>
    <n v="74.433333333333337"/>
    <n v="6.7398119122257052"/>
  </r>
  <r>
    <s v="A2273"/>
    <s v="Data Analytics Course"/>
    <n v="97"/>
    <n v="3558"/>
    <n v="195.5"/>
    <n v="13"/>
    <n v="3"/>
    <n v="5.8000000000000003E-2"/>
    <n v="1544"/>
    <d v="2024-11-11T00:00:00"/>
    <s v="Hyderabad"/>
    <x v="0"/>
    <s v="data analytics course"/>
    <d v="2024-11-11T00:00:00"/>
    <n v="2.7262507026419337E-2"/>
    <n v="2.0154639175257731"/>
    <n v="15.038461538461538"/>
    <n v="65.166666666666671"/>
    <n v="7.8976982097186701"/>
  </r>
  <r>
    <s v="A2274"/>
    <s v="Data Analytics Course"/>
    <n v="159"/>
    <n v="4208"/>
    <n v="236.75"/>
    <n v="13"/>
    <n v="8"/>
    <n v="0.05"/>
    <n v="1849"/>
    <d v="2024-11-16T00:00:00"/>
    <s v="Hyderabad"/>
    <x v="2"/>
    <s v="data anaytics training"/>
    <d v="2024-11-16T00:00:00"/>
    <n v="3.7785171102661594E-2"/>
    <n v="1.4889937106918238"/>
    <n v="18.21153846153846"/>
    <n v="29.59375"/>
    <n v="7.8099260823653642"/>
  </r>
  <r>
    <s v="A2275"/>
    <s v="Data Analytics Course"/>
    <n v="125"/>
    <n v="3607"/>
    <n v="224.45"/>
    <n v="22"/>
    <n v="9"/>
    <n v="7.1999999999999995E-2"/>
    <n v="1392"/>
    <d v="2024-02-11T00:00:00"/>
    <s v="Hyderabad"/>
    <x v="2"/>
    <s v="analytics for data"/>
    <d v="2024-02-11T00:00:00"/>
    <n v="3.4654837815359024E-2"/>
    <n v="1.7955999999999999"/>
    <n v="10.202272727272726"/>
    <n v="24.938888888888886"/>
    <n v="6.2018266874582313"/>
  </r>
  <r>
    <s v="A2276"/>
    <s v="Data Analytics Course"/>
    <n v="193"/>
    <n v="4518.5"/>
    <n v="199.27"/>
    <n v="13"/>
    <n v="9"/>
    <n v="4.5999999999999999E-2"/>
    <n v="1612"/>
    <d v="2024-08-11T00:00:00"/>
    <s v="Hyderabad"/>
    <x v="1"/>
    <s v="data analitics online"/>
    <d v="2024-08-11T00:00:00"/>
    <n v="4.2713289808564786E-2"/>
    <n v="1.0324870466321243"/>
    <n v="15.328461538461539"/>
    <n v="22.141111111111112"/>
    <n v="8.0895267727204292"/>
  </r>
  <r>
    <s v="A2277"/>
    <s v="Data Analytics Course"/>
    <n v="110"/>
    <n v="5220"/>
    <n v="233.06"/>
    <n v="16"/>
    <n v="4"/>
    <n v="3.5999999999999997E-2"/>
    <n v="1711"/>
    <s v="15-11-2024"/>
    <s v="Hyderabad"/>
    <x v="1"/>
    <s v="data anaytics training"/>
    <d v="2024-11-15T00:00:00"/>
    <n v="2.1072796934865901E-2"/>
    <n v="2.1187272727272726"/>
    <n v="14.56625"/>
    <n v="58.265000000000001"/>
    <n v="7.3414571355015878"/>
  </r>
  <r>
    <s v="A2278"/>
    <s v="Data Analytics Course"/>
    <n v="83"/>
    <n v="5247"/>
    <n v="231.04"/>
    <n v="27"/>
    <n v="3"/>
    <n v="5.3999999999999999E-2"/>
    <n v="1636"/>
    <d v="2024-11-04T00:00:00"/>
    <s v="Hyderabad"/>
    <x v="0"/>
    <s v="data analitics online"/>
    <d v="2024-11-04T00:00:00"/>
    <n v="1.5818562988374311E-2"/>
    <n v="2.7836144578313253"/>
    <n v="8.5570370370370359"/>
    <n v="77.013333333333335"/>
    <n v="7.0810249307479225"/>
  </r>
  <r>
    <s v="A2279"/>
    <s v="Data Analytics Course"/>
    <n v="166"/>
    <n v="5522"/>
    <n v="218.34"/>
    <n v="13"/>
    <n v="3"/>
    <n v="1.7999999999999999E-2"/>
    <n v="1235"/>
    <d v="2024-11-22T00:00:00"/>
    <s v="Hyderabad"/>
    <x v="0"/>
    <s v="online data analytic"/>
    <d v="2024-11-22T00:00:00"/>
    <n v="3.0061571894241218E-2"/>
    <n v="1.3153012048192771"/>
    <n v="16.795384615384616"/>
    <n v="72.78"/>
    <n v="5.6563158376843452"/>
  </r>
  <r>
    <s v="A2280"/>
    <s v="Data Analytics Course"/>
    <n v="108"/>
    <n v="3682"/>
    <n v="214.43"/>
    <n v="20"/>
    <n v="3"/>
    <n v="2.8000000000000001E-2"/>
    <n v="1553"/>
    <s v="27-11-2024"/>
    <s v="Hyderabad"/>
    <x v="0"/>
    <s v="learn data analytics"/>
    <d v="2024-11-27T00:00:00"/>
    <n v="2.9331884845192831E-2"/>
    <n v="1.985462962962963"/>
    <n v="10.721500000000001"/>
    <n v="71.476666666666674"/>
    <n v="7.2424567457911673"/>
  </r>
  <r>
    <s v="A2281"/>
    <s v="Data Analytics Course"/>
    <n v="84"/>
    <n v="4549"/>
    <n v="191.96"/>
    <n v="15"/>
    <n v="7"/>
    <n v="4.5999999999999999E-2"/>
    <n v="1303"/>
    <s v="13-11-2024"/>
    <s v="Hyderabad"/>
    <x v="0"/>
    <s v="data analytics course"/>
    <d v="2024-11-13T00:00:00"/>
    <n v="1.8465596834469113E-2"/>
    <n v="2.2852380952380953"/>
    <n v="12.797333333333334"/>
    <n v="27.422857142857143"/>
    <n v="6.7878724734319649"/>
  </r>
  <r>
    <s v="A2282"/>
    <s v="Data Analytics Course"/>
    <n v="117"/>
    <n v="5170"/>
    <n v="215.57"/>
    <n v="16"/>
    <n v="10"/>
    <n v="8.5000000000000006E-2"/>
    <n v="1505"/>
    <s v="20-11-2024"/>
    <s v="Hyderabad"/>
    <x v="2"/>
    <s v="data analitics online"/>
    <d v="2024-11-20T00:00:00"/>
    <n v="2.2630560928433269E-2"/>
    <n v="1.8424786324786324"/>
    <n v="13.473125"/>
    <n v="21.556999999999999"/>
    <n v="6.9814909310200868"/>
  </r>
  <r>
    <s v="A2283"/>
    <s v="Data Analytics Course"/>
    <n v="195"/>
    <n v="3122"/>
    <n v="205.3"/>
    <n v="24"/>
    <n v="4"/>
    <n v="4.2999999999999997E-2"/>
    <n v="1326"/>
    <d v="2024-11-14T00:00:00"/>
    <s v="Hyderabad"/>
    <x v="1"/>
    <s v="data anaytics training"/>
    <d v="2024-11-14T00:00:00"/>
    <n v="6.2459961563100574E-2"/>
    <n v="1.0528205128205128"/>
    <n v="8.5541666666666671"/>
    <n v="51.325000000000003"/>
    <n v="6.4588407208962488"/>
  </r>
  <r>
    <s v="A2284"/>
    <s v="Data Analytics Course"/>
    <n v="149"/>
    <n v="3650"/>
    <n v="220.25"/>
    <n v="17"/>
    <n v="3"/>
    <n v="0.02"/>
    <n v="1505"/>
    <s v="29-11-2024"/>
    <s v="Hyderabad"/>
    <x v="1"/>
    <s v="data analitics online"/>
    <d v="2024-11-29T00:00:00"/>
    <n v="4.0821917808219178E-2"/>
    <n v="1.4781879194630871"/>
    <n v="12.955882352941176"/>
    <n v="73.416666666666671"/>
    <n v="6.833144154370034"/>
  </r>
  <r>
    <s v="A2285"/>
    <s v="Data Analytics Course"/>
    <n v="142"/>
    <n v="5436"/>
    <n v="237.09"/>
    <n v="14"/>
    <n v="7"/>
    <n v="4.5999999999999999E-2"/>
    <n v="1269"/>
    <s v="20-11-2024"/>
    <s v="Hyderabad"/>
    <x v="2"/>
    <s v="online data analytic"/>
    <d v="2024-11-20T00:00:00"/>
    <n v="2.6122148638704931E-2"/>
    <n v="1.6696478873239438"/>
    <n v="16.934999999999999"/>
    <n v="33.869999999999997"/>
    <n v="5.3523978236112866"/>
  </r>
  <r>
    <s v="A2286"/>
    <s v="Data Analytics Course"/>
    <n v="98"/>
    <n v="5485"/>
    <n v="182.29"/>
    <n v="16"/>
    <n v="5"/>
    <n v="5.0999999999999997E-2"/>
    <n v="1518"/>
    <d v="2024-11-19T00:00:00"/>
    <s v="Hyderabad"/>
    <x v="0"/>
    <s v="learn data analytics"/>
    <d v="2024-11-19T00:00:00"/>
    <n v="1.7866909753874203E-2"/>
    <n v="1.8601020408163265"/>
    <n v="11.393125"/>
    <n v="36.457999999999998"/>
    <n v="8.3273904218552861"/>
  </r>
  <r>
    <s v="A2287"/>
    <s v="Data Analytics Course"/>
    <n v="169"/>
    <n v="3778"/>
    <n v="215.57"/>
    <n v="11"/>
    <n v="3"/>
    <n v="1.7999999999999999E-2"/>
    <n v="1721"/>
    <s v="14-11-2024"/>
    <s v="Hyderabad"/>
    <x v="0"/>
    <s v="data anaytics training"/>
    <d v="2024-11-14T00:00:00"/>
    <n v="4.4732662784542084E-2"/>
    <n v="1.2755621301775149"/>
    <n v="19.597272727272728"/>
    <n v="71.856666666666669"/>
    <n v="7.9834856427146637"/>
  </r>
  <r>
    <s v="A2288"/>
    <s v="Data Analytics Course"/>
    <n v="99"/>
    <n v="3051"/>
    <n v="215.57"/>
    <n v="18"/>
    <n v="6"/>
    <n v="5.2999999999999999E-2"/>
    <n v="1762"/>
    <d v="2024-11-29T00:00:00"/>
    <s v="Hyderabad"/>
    <x v="1"/>
    <s v="online data analytic"/>
    <d v="2024-11-29T00:00:00"/>
    <n v="3.2448377581120944E-2"/>
    <n v="2.1774747474747476"/>
    <n v="11.976111111111111"/>
    <n v="35.928333333333335"/>
    <n v="8.1736790833603941"/>
  </r>
  <r>
    <s v="A2289"/>
    <s v="Data Analytics Course"/>
    <n v="170"/>
    <n v="5286"/>
    <n v="190.65"/>
    <n v="22"/>
    <n v="7"/>
    <n v="4.1000000000000002E-2"/>
    <n v="1110"/>
    <d v="2024-11-09T00:00:00"/>
    <s v="Hyderabad"/>
    <x v="0"/>
    <s v="data analitics online"/>
    <d v="2024-11-09T00:00:00"/>
    <n v="3.2160423760877792E-2"/>
    <n v="1.1214705882352942"/>
    <n v="8.665909090909091"/>
    <n v="27.235714285714288"/>
    <n v="5.8221872541306059"/>
  </r>
  <r>
    <s v="A2290"/>
    <s v="Data Analytics Course"/>
    <n v="139"/>
    <n v="3533"/>
    <n v="248.96"/>
    <n v="22"/>
    <n v="4"/>
    <n v="4.5999999999999999E-2"/>
    <n v="1606"/>
    <d v="2024-05-11T00:00:00"/>
    <s v="Hyderabad"/>
    <x v="1"/>
    <s v="data anaytics training"/>
    <d v="2024-05-11T00:00:00"/>
    <n v="3.9343334276818569E-2"/>
    <n v="1.7910791366906476"/>
    <n v="11.316363636363636"/>
    <n v="62.24"/>
    <n v="6.4508354755784056"/>
  </r>
  <r>
    <s v="A2291"/>
    <s v="Data Analytics Course"/>
    <n v="156"/>
    <n v="5125"/>
    <n v="182.15"/>
    <n v="26"/>
    <n v="10"/>
    <n v="6.4000000000000001E-2"/>
    <n v="1658"/>
    <s v="16-11-2024"/>
    <s v="Hyderabad"/>
    <x v="1"/>
    <s v="data analytics course"/>
    <d v="2024-11-16T00:00:00"/>
    <n v="3.0439024390243902E-2"/>
    <n v="1.1676282051282052"/>
    <n v="7.0057692307692312"/>
    <n v="18.215"/>
    <n v="9.1023881416415033"/>
  </r>
  <r>
    <s v="A2292"/>
    <s v="Data Analytics Course"/>
    <n v="91"/>
    <n v="4500"/>
    <n v="241.81"/>
    <n v="20"/>
    <n v="3"/>
    <n v="3.3000000000000002E-2"/>
    <n v="1902"/>
    <d v="2024-11-22T00:00:00"/>
    <s v="Hyderabad"/>
    <x v="1"/>
    <s v="data analitics online"/>
    <d v="2024-11-22T00:00:00"/>
    <n v="2.0222222222222221E-2"/>
    <n v="2.6572527472527474"/>
    <n v="12.0905"/>
    <n v="80.603333333333339"/>
    <n v="7.8656796658533557"/>
  </r>
  <r>
    <s v="A2293"/>
    <s v="Data Analytics Course"/>
    <n v="140"/>
    <n v="4633"/>
    <n v="228.65"/>
    <n v="15"/>
    <n v="4"/>
    <n v="4.9000000000000002E-2"/>
    <n v="1738"/>
    <d v="2024-11-20T00:00:00"/>
    <s v="Hyderabad"/>
    <x v="1"/>
    <s v="data analitics online"/>
    <d v="2024-11-20T00:00:00"/>
    <n v="3.0218001295057199E-2"/>
    <n v="1.6332142857142857"/>
    <n v="15.243333333333334"/>
    <n v="57.162500000000001"/>
    <n v="7.6011371091187403"/>
  </r>
  <r>
    <s v="A2294"/>
    <s v="Data Analytics Course"/>
    <n v="142"/>
    <n v="3155"/>
    <n v="229.01"/>
    <n v="20"/>
    <n v="10"/>
    <n v="5.2999999999999999E-2"/>
    <n v="1955"/>
    <d v="2024-01-11T00:00:00"/>
    <s v="Hyderabad"/>
    <x v="1"/>
    <s v="learn data analytics"/>
    <d v="2024-01-11T00:00:00"/>
    <n v="4.5007923930269415E-2"/>
    <n v="1.6127464788732393"/>
    <n v="11.4505"/>
    <n v="22.901"/>
    <n v="8.5367451203004237"/>
  </r>
  <r>
    <s v="A2295"/>
    <s v="Data Analytics Course"/>
    <n v="198"/>
    <n v="3444"/>
    <n v="195.91"/>
    <n v="27"/>
    <n v="4"/>
    <n v="5.6000000000000001E-2"/>
    <n v="1317"/>
    <d v="2024-10-11T00:00:00"/>
    <s v="Hyderabad"/>
    <x v="0"/>
    <s v="data analitics online"/>
    <d v="2024-10-11T00:00:00"/>
    <n v="5.7491289198606271E-2"/>
    <n v="0.98944444444444446"/>
    <n v="7.2559259259259257"/>
    <n v="48.977499999999999"/>
    <n v="6.7224746056862843"/>
  </r>
  <r>
    <s v="A2296"/>
    <s v="Data Analytics Course"/>
    <n v="88"/>
    <n v="4253"/>
    <n v="210.5"/>
    <n v="23"/>
    <n v="8"/>
    <n v="5.0999999999999997E-2"/>
    <n v="1918"/>
    <d v="2024-11-11T00:00:00"/>
    <s v="Hyderabad"/>
    <x v="2"/>
    <s v="data analitics online"/>
    <d v="2024-11-11T00:00:00"/>
    <n v="2.0691276745826475E-2"/>
    <n v="2.3920454545454546"/>
    <n v="9.1521739130434785"/>
    <n v="26.3125"/>
    <n v="9.1116389548693579"/>
  </r>
  <r>
    <s v="A2297"/>
    <s v="Data Analytics Course"/>
    <n v="130"/>
    <n v="4925"/>
    <n v="201.1"/>
    <n v="26"/>
    <n v="5"/>
    <n v="4.5999999999999999E-2"/>
    <n v="1301"/>
    <s v="15-11-2024"/>
    <s v="Hyderabad"/>
    <x v="2"/>
    <s v="analytics for data"/>
    <d v="2024-11-15T00:00:00"/>
    <n v="2.6395939086294416E-2"/>
    <n v="1.5469230769230768"/>
    <n v="7.7346153846153847"/>
    <n v="40.22"/>
    <n v="6.4694181999005469"/>
  </r>
  <r>
    <s v="A2298"/>
    <s v="Data Analytics Course"/>
    <n v="186"/>
    <n v="3576"/>
    <n v="213.96"/>
    <n v="26"/>
    <n v="4"/>
    <n v="2.1999999999999999E-2"/>
    <n v="1689"/>
    <d v="2024-02-11T00:00:00"/>
    <s v="Hyderabad"/>
    <x v="2"/>
    <s v="learn data analytics"/>
    <d v="2024-02-11T00:00:00"/>
    <n v="5.2013422818791948E-2"/>
    <n v="1.1503225806451614"/>
    <n v="8.2292307692307691"/>
    <n v="53.49"/>
    <n v="7.8939988782950081"/>
  </r>
  <r>
    <s v="A2299"/>
    <s v="Data Analytics Course"/>
    <n v="146"/>
    <n v="5831"/>
    <n v="203.07"/>
    <n v="19"/>
    <n v="5"/>
    <n v="5.5E-2"/>
    <n v="1216"/>
    <s v="28-11-2024"/>
    <s v="Hyderabad"/>
    <x v="1"/>
    <s v="analytics for data"/>
    <d v="2024-11-28T00:00:00"/>
    <n v="2.5038586863316756E-2"/>
    <n v="1.390890410958904"/>
    <n v="10.687894736842106"/>
    <n v="40.613999999999997"/>
    <n v="5.9880829270694838"/>
  </r>
  <r>
    <s v="A2300"/>
    <s v="Data Analytics Course"/>
    <n v="199"/>
    <n v="5147"/>
    <n v="203.08"/>
    <n v="27"/>
    <n v="10"/>
    <n v="0.05"/>
    <n v="1126"/>
    <s v="30-11-2024"/>
    <s v="Hyderabad"/>
    <x v="2"/>
    <s v="data analytics course"/>
    <d v="2024-11-30T00:00:00"/>
    <n v="3.8663299009131534E-2"/>
    <n v="1.0205025125628142"/>
    <n v="7.5214814814814819"/>
    <n v="20.308"/>
    <n v="5.5446129604096903"/>
  </r>
  <r>
    <s v="A2301"/>
    <s v="Data Analytics Course"/>
    <n v="94"/>
    <n v="4242"/>
    <n v="208.78"/>
    <n v="14"/>
    <n v="5"/>
    <n v="5.2999999999999999E-2"/>
    <n v="1122"/>
    <d v="2024-11-17T00:00:00"/>
    <s v="Hyderabad"/>
    <x v="2"/>
    <s v="learn data analytics"/>
    <d v="2024-11-17T00:00:00"/>
    <n v="2.2159358793022159E-2"/>
    <n v="2.221063829787234"/>
    <n v="14.912857142857144"/>
    <n v="41.756"/>
    <n v="5.3740779768177029"/>
  </r>
  <r>
    <s v="A2302"/>
    <s v="Data Analytics Course"/>
    <n v="119"/>
    <n v="5530"/>
    <n v="205.75"/>
    <n v="25"/>
    <n v="9"/>
    <n v="4.5999999999999999E-2"/>
    <n v="1725"/>
    <d v="2024-11-14T00:00:00"/>
    <s v="Hyderabad"/>
    <x v="1"/>
    <s v="analytics for data"/>
    <d v="2024-11-14T00:00:00"/>
    <n v="2.1518987341772152E-2"/>
    <n v="1.7289915966386555"/>
    <n v="8.23"/>
    <n v="22.861111111111111"/>
    <n v="8.3839611178614817"/>
  </r>
  <r>
    <s v="A2303"/>
    <s v="Data Analytics Course"/>
    <n v="168"/>
    <n v="4614"/>
    <n v="241.24"/>
    <n v="28"/>
    <n v="9"/>
    <n v="4.5999999999999999E-2"/>
    <n v="1307"/>
    <d v="2024-11-01T00:00:00"/>
    <s v="Hyderabad"/>
    <x v="1"/>
    <s v="online data analytic"/>
    <d v="2024-11-01T00:00:00"/>
    <n v="3.6410923276983094E-2"/>
    <n v="1.4359523809523811"/>
    <n v="8.6157142857142865"/>
    <n v="26.804444444444446"/>
    <n v="5.4178411540374727"/>
  </r>
  <r>
    <s v="A2304"/>
    <s v="Data Analytics Course"/>
    <n v="117"/>
    <n v="5016"/>
    <n v="249.38"/>
    <n v="10"/>
    <n v="9"/>
    <n v="7.6999999999999999E-2"/>
    <n v="1832"/>
    <d v="2024-02-11T00:00:00"/>
    <s v="Hyderabad"/>
    <x v="2"/>
    <s v="learn data analytics"/>
    <d v="2024-02-11T00:00:00"/>
    <n v="2.3325358851674641E-2"/>
    <n v="2.1314529914529916"/>
    <n v="24.937999999999999"/>
    <n v="27.70888888888889"/>
    <n v="7.3462186221830139"/>
  </r>
  <r>
    <s v="A2305"/>
    <s v="Data Analytics Course"/>
    <n v="156"/>
    <n v="5072"/>
    <n v="249.37"/>
    <n v="18"/>
    <n v="3"/>
    <n v="5.8000000000000003E-2"/>
    <n v="1701"/>
    <d v="2024-11-12T00:00:00"/>
    <s v="Hyderabad"/>
    <x v="1"/>
    <s v="learn data analytics"/>
    <d v="2024-11-12T00:00:00"/>
    <n v="3.0757097791798107E-2"/>
    <n v="1.598525641025641"/>
    <n v="13.853888888888889"/>
    <n v="83.123333333333335"/>
    <n v="6.8211893972811488"/>
  </r>
  <r>
    <s v="A2306"/>
    <s v="Data Analytics Course"/>
    <n v="151"/>
    <n v="4805"/>
    <n v="241.95"/>
    <n v="22"/>
    <n v="3"/>
    <n v="5.6000000000000001E-2"/>
    <n v="1571"/>
    <d v="2024-11-03T00:00:00"/>
    <s v="Hyderabad"/>
    <x v="2"/>
    <s v="online data analytic"/>
    <d v="2024-11-03T00:00:00"/>
    <n v="3.1425598335067639E-2"/>
    <n v="1.6023178807947018"/>
    <n v="10.997727272727273"/>
    <n v="80.649999999999991"/>
    <n v="6.4930770820417445"/>
  </r>
  <r>
    <s v="A2307"/>
    <s v="Data Analytics Course"/>
    <n v="133"/>
    <n v="4474"/>
    <n v="198.99"/>
    <n v="10"/>
    <n v="7"/>
    <n v="4.5999999999999999E-2"/>
    <n v="1394"/>
    <d v="2024-11-03T00:00:00"/>
    <s v="Hyderabad"/>
    <x v="1"/>
    <s v="online data analytic"/>
    <d v="2024-11-03T00:00:00"/>
    <n v="2.9727313366115334E-2"/>
    <n v="1.4961654135338347"/>
    <n v="19.899000000000001"/>
    <n v="28.427142857142858"/>
    <n v="7.0053771546308861"/>
  </r>
  <r>
    <s v="A2308"/>
    <s v="Data Analytics Course"/>
    <n v="105"/>
    <n v="5151"/>
    <n v="188.18"/>
    <n v="14"/>
    <n v="9"/>
    <n v="3.2000000000000001E-2"/>
    <n v="1595"/>
    <d v="2024-11-03T00:00:00"/>
    <s v="Hyderabad"/>
    <x v="2"/>
    <s v="online data analytic"/>
    <d v="2024-11-03T00:00:00"/>
    <n v="2.03843913803145E-2"/>
    <n v="1.7921904761904763"/>
    <n v="13.441428571428572"/>
    <n v="20.908888888888889"/>
    <n v="8.4759273036454452"/>
  </r>
  <r>
    <s v="A2309"/>
    <s v="Data Analytics Course"/>
    <n v="98"/>
    <n v="4515"/>
    <n v="219.39"/>
    <n v="12"/>
    <n v="7"/>
    <n v="4.5999999999999999E-2"/>
    <n v="1805"/>
    <d v="2024-11-07T00:00:00"/>
    <s v="Hyderabad"/>
    <x v="0"/>
    <s v="learn data analytics"/>
    <d v="2024-11-07T00:00:00"/>
    <n v="2.1705426356589147E-2"/>
    <n v="2.2386734693877548"/>
    <n v="18.282499999999999"/>
    <n v="31.341428571428569"/>
    <n v="8.2273576735493883"/>
  </r>
  <r>
    <s v="A2310"/>
    <s v="Data Analytics Course"/>
    <n v="93"/>
    <n v="4269"/>
    <n v="247.76"/>
    <n v="21"/>
    <n v="8"/>
    <n v="8.5999999999999993E-2"/>
    <n v="1543"/>
    <s v="19-11-2024"/>
    <s v="Hyderabad"/>
    <x v="2"/>
    <s v="learn data analytics"/>
    <d v="2024-11-19T00:00:00"/>
    <n v="2.1784961349262121E-2"/>
    <n v="2.6640860215053763"/>
    <n v="11.798095238095238"/>
    <n v="30.97"/>
    <n v="6.2278010978366165"/>
  </r>
  <r>
    <s v="A2311"/>
    <s v="Data Analytics Course"/>
    <n v="165"/>
    <n v="3759"/>
    <n v="231.62"/>
    <n v="23"/>
    <n v="7"/>
    <n v="4.5999999999999999E-2"/>
    <n v="1052"/>
    <d v="2024-11-28T00:00:00"/>
    <s v="Hyderabad"/>
    <x v="1"/>
    <s v="analytics for data"/>
    <d v="2024-11-28T00:00:00"/>
    <n v="4.3894652833200321E-2"/>
    <n v="1.4037575757575758"/>
    <n v="10.070434782608697"/>
    <n v="33.088571428571427"/>
    <n v="4.5419221138070975"/>
  </r>
  <r>
    <s v="A2312"/>
    <s v="Data Analytics Course"/>
    <n v="156"/>
    <n v="4476"/>
    <n v="186.68"/>
    <n v="17"/>
    <n v="10"/>
    <n v="3.3000000000000002E-2"/>
    <n v="1372"/>
    <d v="2024-11-13T00:00:00"/>
    <s v="Hyderabad"/>
    <x v="2"/>
    <s v="analytics for data"/>
    <d v="2024-11-13T00:00:00"/>
    <n v="3.4852546916890083E-2"/>
    <n v="1.1966666666666668"/>
    <n v="10.981176470588236"/>
    <n v="18.667999999999999"/>
    <n v="7.3494750374973217"/>
  </r>
  <r>
    <s v="A2313"/>
    <s v="Data Analytics Course"/>
    <n v="166"/>
    <n v="5749"/>
    <n v="236.52"/>
    <n v="11"/>
    <n v="5"/>
    <n v="3.5999999999999997E-2"/>
    <n v="1780"/>
    <d v="2024-11-15T00:00:00"/>
    <s v="Hyderabad"/>
    <x v="0"/>
    <s v="analytics for data"/>
    <d v="2024-11-15T00:00:00"/>
    <n v="2.8874586884675597E-2"/>
    <n v="1.4248192771084338"/>
    <n v="21.501818181818184"/>
    <n v="47.304000000000002"/>
    <n v="7.5257906308134617"/>
  </r>
  <r>
    <s v="A2314"/>
    <s v="Data Analytics Course"/>
    <n v="134"/>
    <n v="5166"/>
    <n v="191.92"/>
    <n v="10"/>
    <n v="3"/>
    <n v="3.6999999999999998E-2"/>
    <n v="1526"/>
    <d v="2024-11-04T00:00:00"/>
    <s v="Hyderabad"/>
    <x v="1"/>
    <s v="learn data analytics"/>
    <d v="2024-11-04T00:00:00"/>
    <n v="2.5938830816879598E-2"/>
    <n v="1.4322388059701492"/>
    <n v="19.192"/>
    <n v="63.973333333333329"/>
    <n v="7.9512296790329309"/>
  </r>
  <r>
    <s v="A2315"/>
    <s v="Data Analytics Course"/>
    <n v="103"/>
    <n v="3687"/>
    <n v="194.73"/>
    <n v="27"/>
    <n v="4"/>
    <n v="4.5999999999999999E-2"/>
    <n v="1347"/>
    <d v="2024-11-15T00:00:00"/>
    <s v="Hyderabad"/>
    <x v="2"/>
    <s v="learn data analytics"/>
    <d v="2024-11-15T00:00:00"/>
    <n v="2.7935991320857067E-2"/>
    <n v="1.8905825242718446"/>
    <n v="7.2122222222222216"/>
    <n v="48.682499999999997"/>
    <n v="6.9172700662455711"/>
  </r>
  <r>
    <s v="A2316"/>
    <s v="Data Analytics Course"/>
    <n v="95"/>
    <n v="4939"/>
    <n v="219.43"/>
    <n v="26"/>
    <n v="3"/>
    <n v="3.2000000000000001E-2"/>
    <n v="1785"/>
    <d v="2024-07-11T00:00:00"/>
    <s v="Hyderabad"/>
    <x v="1"/>
    <s v="data anaytics training"/>
    <d v="2024-07-11T00:00:00"/>
    <n v="1.9234662887224134E-2"/>
    <n v="2.3097894736842104"/>
    <n v="8.4396153846153847"/>
    <n v="73.143333333333331"/>
    <n v="8.1347126646310901"/>
  </r>
  <r>
    <s v="A2317"/>
    <s v="Data Analytics Course"/>
    <n v="155"/>
    <n v="3180"/>
    <n v="229.63"/>
    <n v="15"/>
    <n v="8"/>
    <n v="5.1999999999999998E-2"/>
    <n v="1832"/>
    <s v="15-11-2024"/>
    <s v="Hyderabad"/>
    <x v="0"/>
    <s v="data analytics course"/>
    <d v="2024-11-15T00:00:00"/>
    <n v="4.8742138364779877E-2"/>
    <n v="1.4814838709677418"/>
    <n v="15.308666666666666"/>
    <n v="28.703749999999999"/>
    <n v="7.9780516483037935"/>
  </r>
  <r>
    <s v="A2318"/>
    <s v="Data Analytics Course"/>
    <n v="184"/>
    <n v="3981"/>
    <n v="193.25"/>
    <n v="16"/>
    <n v="3"/>
    <n v="3.5000000000000003E-2"/>
    <n v="1359"/>
    <s v="30-11-2024"/>
    <s v="Hyderabad"/>
    <x v="2"/>
    <s v="learn data analytics"/>
    <d v="2024-11-30T00:00:00"/>
    <n v="4.6219542828435066E-2"/>
    <n v="1.0502717391304348"/>
    <n v="12.078125"/>
    <n v="64.416666666666671"/>
    <n v="7.0323415265200522"/>
  </r>
  <r>
    <s v="A2319"/>
    <s v="Data Analytics Course"/>
    <n v="186"/>
    <n v="3392"/>
    <n v="218.16"/>
    <n v="29"/>
    <n v="7"/>
    <n v="3.7999999999999999E-2"/>
    <n v="1012"/>
    <d v="2024-08-11T00:00:00"/>
    <s v="Hyderabad"/>
    <x v="0"/>
    <s v="analytics for data"/>
    <d v="2024-08-11T00:00:00"/>
    <n v="5.483490566037736E-2"/>
    <n v="1.1729032258064516"/>
    <n v="7.5227586206896548"/>
    <n v="31.165714285714284"/>
    <n v="4.6387972130546391"/>
  </r>
  <r>
    <s v="A2320"/>
    <s v="Data Analytics Course"/>
    <n v="93"/>
    <n v="3160"/>
    <n v="220.75"/>
    <n v="30"/>
    <n v="8"/>
    <n v="8.5999999999999993E-2"/>
    <n v="1472"/>
    <d v="2024-11-08T00:00:00"/>
    <s v="Hyderabad"/>
    <x v="0"/>
    <s v="data analitics online"/>
    <d v="2024-11-08T00:00:00"/>
    <n v="2.9430379746835444E-2"/>
    <n v="2.3736559139784945"/>
    <n v="7.3583333333333334"/>
    <n v="27.59375"/>
    <n v="6.6681766704416763"/>
  </r>
  <r>
    <s v="A2321"/>
    <s v="Data Analytics Course"/>
    <n v="138"/>
    <n v="4699"/>
    <n v="202.54"/>
    <n v="26"/>
    <n v="9"/>
    <n v="6.5000000000000002E-2"/>
    <n v="1133"/>
    <d v="2024-11-25T00:00:00"/>
    <s v="Hyderabad"/>
    <x v="2"/>
    <s v="online data analytic"/>
    <d v="2024-11-25T00:00:00"/>
    <n v="2.9367950627793148E-2"/>
    <n v="1.4676811594202899"/>
    <n v="7.79"/>
    <n v="22.504444444444445"/>
    <n v="5.593956749284092"/>
  </r>
  <r>
    <s v="A2322"/>
    <s v="Data Analytics Course"/>
    <n v="96"/>
    <n v="3730"/>
    <n v="217.61"/>
    <n v="16"/>
    <n v="4"/>
    <n v="4.2000000000000003E-2"/>
    <n v="1283"/>
    <d v="2024-11-07T00:00:00"/>
    <s v="Hyderabad"/>
    <x v="0"/>
    <s v="analytics for data"/>
    <d v="2024-11-07T00:00:00"/>
    <n v="2.5737265415549597E-2"/>
    <n v="2.2667708333333336"/>
    <n v="13.600625000000001"/>
    <n v="54.402500000000003"/>
    <n v="5.8958687560314322"/>
  </r>
  <r>
    <s v="A2323"/>
    <s v="Data Analytics Course"/>
    <n v="127"/>
    <n v="5221"/>
    <n v="226.67"/>
    <n v="17"/>
    <n v="3"/>
    <n v="4.5999999999999999E-2"/>
    <n v="1384"/>
    <d v="2024-11-03T00:00:00"/>
    <s v="Hyderabad"/>
    <x v="2"/>
    <s v="data anaytics training"/>
    <d v="2024-11-03T00:00:00"/>
    <n v="2.4324841984294198E-2"/>
    <n v="1.784803149606299"/>
    <n v="13.333529411764705"/>
    <n v="75.556666666666658"/>
    <n v="6.1057925618740905"/>
  </r>
  <r>
    <s v="A2324"/>
    <s v="Data Analytics Course"/>
    <n v="92"/>
    <n v="3299"/>
    <n v="188.58"/>
    <n v="11"/>
    <n v="9"/>
    <n v="9.8000000000000004E-2"/>
    <n v="1678"/>
    <d v="2024-11-27T00:00:00"/>
    <s v="Hyderabad"/>
    <x v="0"/>
    <s v="data analitics online"/>
    <d v="2024-11-27T00:00:00"/>
    <n v="2.7887238557138528E-2"/>
    <n v="2.0497826086956521"/>
    <n v="17.143636363636364"/>
    <n v="20.953333333333333"/>
    <n v="8.8980803902852887"/>
  </r>
  <r>
    <s v="A2325"/>
    <s v="Data Analytics Course"/>
    <n v="156"/>
    <n v="5634"/>
    <n v="247.45"/>
    <n v="16"/>
    <n v="5"/>
    <n v="3.2000000000000001E-2"/>
    <n v="1925"/>
    <d v="2024-08-11T00:00:00"/>
    <s v="Hyderabad"/>
    <x v="2"/>
    <s v="data analytics course"/>
    <d v="2024-08-11T00:00:00"/>
    <n v="2.7689030883919063E-2"/>
    <n v="1.5862179487179486"/>
    <n v="15.465624999999999"/>
    <n v="49.489999999999995"/>
    <n v="7.7793493635077793"/>
  </r>
  <r>
    <s v="A2326"/>
    <s v="Data Analytics Course"/>
    <n v="113"/>
    <n v="5991"/>
    <n v="211.28"/>
    <n v="16"/>
    <n v="3"/>
    <n v="2.7E-2"/>
    <n v="1499"/>
    <s v="16-11-2024"/>
    <s v="Hyderabad"/>
    <x v="2"/>
    <s v="learn data analytics"/>
    <d v="2024-11-16T00:00:00"/>
    <n v="1.8861625771991321E-2"/>
    <n v="1.8697345132743364"/>
    <n v="13.205"/>
    <n v="70.426666666666662"/>
    <n v="7.0948504354411206"/>
  </r>
  <r>
    <s v="A2327"/>
    <s v="Data Analytics Course"/>
    <n v="84"/>
    <n v="3917"/>
    <n v="233.19"/>
    <n v="13"/>
    <n v="10"/>
    <n v="4.9000000000000002E-2"/>
    <n v="1505"/>
    <d v="2024-11-11T00:00:00"/>
    <s v="Hyderabad"/>
    <x v="0"/>
    <s v="data analytics course"/>
    <d v="2024-11-11T00:00:00"/>
    <n v="2.1444983405667604E-2"/>
    <n v="2.7760714285714285"/>
    <n v="17.937692307692309"/>
    <n v="23.318999999999999"/>
    <n v="6.4539645782409192"/>
  </r>
  <r>
    <s v="A2328"/>
    <s v="Data Analytics Course"/>
    <n v="189"/>
    <n v="5335"/>
    <n v="181.46"/>
    <n v="27"/>
    <n v="9"/>
    <n v="4.8000000000000001E-2"/>
    <n v="1734"/>
    <d v="2024-08-11T00:00:00"/>
    <s v="Hyderabad"/>
    <x v="1"/>
    <s v="online data analytic"/>
    <d v="2024-08-11T00:00:00"/>
    <n v="3.5426429240862228E-2"/>
    <n v="0.96010582010582013"/>
    <n v="6.7207407407407409"/>
    <n v="20.162222222222223"/>
    <n v="9.5558249752011459"/>
  </r>
  <r>
    <s v="A2329"/>
    <s v="Data Analytics Course"/>
    <n v="149"/>
    <n v="4550"/>
    <n v="219.44"/>
    <n v="11"/>
    <n v="9"/>
    <n v="0.06"/>
    <n v="1659"/>
    <d v="2024-11-16T00:00:00"/>
    <s v="Hyderabad"/>
    <x v="2"/>
    <s v="online data analytic"/>
    <d v="2024-11-16T00:00:00"/>
    <n v="3.274725274725275E-2"/>
    <n v="1.4727516778523491"/>
    <n v="19.949090909090909"/>
    <n v="24.382222222222222"/>
    <n v="7.5601531170251546"/>
  </r>
  <r>
    <s v="A2330"/>
    <s v="Data Analytics Course"/>
    <n v="100"/>
    <n v="5805"/>
    <n v="181.27"/>
    <n v="15"/>
    <n v="4"/>
    <n v="0.04"/>
    <n v="1195"/>
    <d v="2024-04-11T00:00:00"/>
    <s v="Hyderabad"/>
    <x v="0"/>
    <s v="learn data analytics"/>
    <d v="2024-04-11T00:00:00"/>
    <n v="1.7226528854435832E-2"/>
    <n v="1.8127000000000002"/>
    <n v="12.084666666666667"/>
    <n v="45.317500000000003"/>
    <n v="6.5923760136812488"/>
  </r>
  <r>
    <s v="A2331"/>
    <s v="Data Analytics Course"/>
    <n v="105"/>
    <n v="5156"/>
    <n v="201.01"/>
    <n v="25"/>
    <n v="10"/>
    <n v="4.5999999999999999E-2"/>
    <n v="1472"/>
    <d v="2024-11-11T00:00:00"/>
    <s v="Hyderabad"/>
    <x v="0"/>
    <s v="analytics for data"/>
    <d v="2024-11-11T00:00:00"/>
    <n v="2.0364623739332816E-2"/>
    <n v="1.9143809523809523"/>
    <n v="8.0404"/>
    <n v="20.100999999999999"/>
    <n v="7.3230187552858066"/>
  </r>
  <r>
    <s v="A2332"/>
    <s v="Data Analytics Course"/>
    <n v="86"/>
    <n v="5060"/>
    <n v="249.4"/>
    <n v="15"/>
    <n v="4"/>
    <n v="4.7E-2"/>
    <n v="1761"/>
    <s v="15-11-2024"/>
    <s v="Hyderabad"/>
    <x v="2"/>
    <s v="data analitics online"/>
    <d v="2024-11-15T00:00:00"/>
    <n v="1.6996047430830039E-2"/>
    <n v="2.9"/>
    <n v="16.626666666666669"/>
    <n v="62.35"/>
    <n v="7.0609462710505211"/>
  </r>
  <r>
    <s v="A2333"/>
    <s v="Data Analytics Course"/>
    <n v="93"/>
    <n v="5178"/>
    <n v="245.13"/>
    <n v="14"/>
    <n v="5"/>
    <n v="5.3999999999999999E-2"/>
    <n v="1080"/>
    <d v="2024-11-08T00:00:00"/>
    <s v="Hyderabad"/>
    <x v="1"/>
    <s v="data analitics online"/>
    <d v="2024-11-08T00:00:00"/>
    <n v="1.7960602549246814E-2"/>
    <n v="2.6358064516129032"/>
    <n v="17.509285714285713"/>
    <n v="49.025999999999996"/>
    <n v="4.4058254803573611"/>
  </r>
  <r>
    <s v="A2334"/>
    <s v="Data Analytics Course"/>
    <n v="180"/>
    <n v="3076"/>
    <n v="227.91"/>
    <n v="12"/>
    <n v="10"/>
    <n v="5.6000000000000001E-2"/>
    <n v="1505"/>
    <d v="2024-05-11T00:00:00"/>
    <s v="Hyderabad"/>
    <x v="0"/>
    <s v="online data analytic"/>
    <d v="2024-05-11T00:00:00"/>
    <n v="5.8517555266579972E-2"/>
    <n v="1.2661666666666667"/>
    <n v="18.9925"/>
    <n v="22.791"/>
    <n v="6.6034838313369315"/>
  </r>
  <r>
    <s v="A2335"/>
    <s v="Data Analytics Course"/>
    <n v="156"/>
    <n v="3218"/>
    <n v="235.69"/>
    <n v="28"/>
    <n v="6"/>
    <n v="3.7999999999999999E-2"/>
    <n v="1289"/>
    <d v="2024-11-16T00:00:00"/>
    <s v="Hyderabad"/>
    <x v="2"/>
    <s v="data analitics online"/>
    <d v="2024-11-16T00:00:00"/>
    <n v="4.8477315102548164E-2"/>
    <n v="1.5108333333333333"/>
    <n v="8.4175000000000004"/>
    <n v="39.281666666666666"/>
    <n v="5.4690483261911833"/>
  </r>
  <r>
    <s v="A2336"/>
    <s v="Data Analytics Course"/>
    <n v="124"/>
    <n v="4682"/>
    <n v="207.53"/>
    <n v="20"/>
    <n v="3"/>
    <n v="3.3000000000000002E-2"/>
    <n v="1550"/>
    <d v="2024-11-03T00:00:00"/>
    <s v="Hyderabad"/>
    <x v="2"/>
    <s v="online data analytic"/>
    <d v="2024-11-03T00:00:00"/>
    <n v="2.648440837249039E-2"/>
    <n v="1.6736290322580645"/>
    <n v="10.3765"/>
    <n v="69.176666666666662"/>
    <n v="7.468799691610851"/>
  </r>
  <r>
    <s v="A2337"/>
    <s v="Data Analytics Course"/>
    <n v="177"/>
    <n v="3592"/>
    <n v="205.25"/>
    <n v="29"/>
    <n v="9"/>
    <n v="5.0999999999999997E-2"/>
    <n v="1271"/>
    <d v="2024-11-15T00:00:00"/>
    <s v="Hyderabad"/>
    <x v="0"/>
    <s v="data anaytics training"/>
    <d v="2024-11-15T00:00:00"/>
    <n v="4.9276169265033407E-2"/>
    <n v="1.1596045197740112"/>
    <n v="7.0775862068965516"/>
    <n v="22.805555555555557"/>
    <n v="6.1924482338611453"/>
  </r>
  <r>
    <s v="A2338"/>
    <s v="Data Analytics Course"/>
    <n v="156"/>
    <n v="3506"/>
    <n v="242.9"/>
    <n v="13"/>
    <n v="7"/>
    <n v="4.5999999999999999E-2"/>
    <n v="1208"/>
    <d v="2024-11-01T00:00:00"/>
    <s v="Hyderabad"/>
    <x v="0"/>
    <s v="analytics for data"/>
    <d v="2024-11-01T00:00:00"/>
    <n v="4.4495151169423847E-2"/>
    <n v="1.5570512820512821"/>
    <n v="18.684615384615384"/>
    <n v="34.700000000000003"/>
    <n v="4.973240016467682"/>
  </r>
  <r>
    <s v="A2339"/>
    <s v="Data Analytics Course"/>
    <n v="132"/>
    <n v="3562"/>
    <n v="238.34"/>
    <n v="23"/>
    <n v="4"/>
    <n v="0.03"/>
    <n v="1033"/>
    <s v="29-11-2024"/>
    <s v="Hyderabad"/>
    <x v="2"/>
    <s v="data analytics course"/>
    <d v="2024-11-29T00:00:00"/>
    <n v="3.7057832678270633E-2"/>
    <n v="1.8056060606060607"/>
    <n v="10.362608695652174"/>
    <n v="59.585000000000001"/>
    <n v="4.3341444994545606"/>
  </r>
  <r>
    <s v="A2340"/>
    <s v="Data Analytics Course"/>
    <n v="178"/>
    <n v="4518.5"/>
    <n v="203.6"/>
    <n v="12"/>
    <n v="3"/>
    <n v="1.7000000000000001E-2"/>
    <n v="1155"/>
    <d v="2024-11-02T00:00:00"/>
    <s v="Hyderabad"/>
    <x v="2"/>
    <s v="analytics for data"/>
    <d v="2024-11-02T00:00:00"/>
    <n v="3.9393604072147835E-2"/>
    <n v="1.1438202247191012"/>
    <n v="16.966666666666665"/>
    <n v="67.86666666666666"/>
    <n v="5.6728880157170929"/>
  </r>
  <r>
    <s v="A2341"/>
    <s v="Data Analytics Course"/>
    <n v="153"/>
    <n v="3953"/>
    <n v="237.56"/>
    <n v="20"/>
    <n v="6"/>
    <n v="5.2999999999999999E-2"/>
    <n v="1388"/>
    <s v="26-11-2024"/>
    <s v="Hyderabad"/>
    <x v="2"/>
    <s v="learn data analytics"/>
    <d v="2024-11-26T00:00:00"/>
    <n v="3.8704781178851504E-2"/>
    <n v="1.5526797385620916"/>
    <n v="11.878"/>
    <n v="39.593333333333334"/>
    <n v="5.8427344670819998"/>
  </r>
  <r>
    <s v="A2342"/>
    <s v="Data Analytics Course"/>
    <n v="187"/>
    <n v="4891"/>
    <n v="223.99"/>
    <n v="14"/>
    <n v="8"/>
    <n v="4.2999999999999997E-2"/>
    <n v="1014"/>
    <d v="2024-11-26T00:00:00"/>
    <s v="Hyderabad"/>
    <x v="1"/>
    <s v="online data analytic"/>
    <d v="2024-11-26T00:00:00"/>
    <n v="3.823349008382744E-2"/>
    <n v="1.197807486631016"/>
    <n v="15.999285714285715"/>
    <n v="27.998750000000001"/>
    <n v="4.5269878119558911"/>
  </r>
  <r>
    <s v="A2343"/>
    <s v="Data Analytics Course"/>
    <n v="155"/>
    <n v="4976"/>
    <n v="183.21"/>
    <n v="10"/>
    <n v="5"/>
    <n v="5.2999999999999999E-2"/>
    <n v="1554"/>
    <s v="13-11-2024"/>
    <s v="Hyderabad"/>
    <x v="2"/>
    <s v="online data analytic"/>
    <d v="2024-11-13T00:00:00"/>
    <n v="3.1149517684887461E-2"/>
    <n v="1.1820000000000002"/>
    <n v="18.321000000000002"/>
    <n v="36.642000000000003"/>
    <n v="8.482069756017685"/>
  </r>
  <r>
    <s v="A2344"/>
    <s v="Data Analytics Course"/>
    <n v="90"/>
    <n v="5781"/>
    <n v="200.71"/>
    <n v="28"/>
    <n v="5"/>
    <n v="4.5999999999999999E-2"/>
    <n v="1505"/>
    <d v="2024-07-11T00:00:00"/>
    <s v="Hyderabad"/>
    <x v="1"/>
    <s v="data analitics online"/>
    <d v="2024-07-11T00:00:00"/>
    <n v="1.5568240788790867E-2"/>
    <n v="2.2301111111111114"/>
    <n v="7.1682142857142859"/>
    <n v="40.142000000000003"/>
    <n v="7.4983807483433811"/>
  </r>
  <r>
    <s v="A2345"/>
    <s v="Data Analytics Course"/>
    <n v="172"/>
    <n v="3001"/>
    <n v="210.62"/>
    <n v="14"/>
    <n v="4"/>
    <n v="2.3E-2"/>
    <n v="1192"/>
    <d v="2024-11-25T00:00:00"/>
    <s v="Hyderabad"/>
    <x v="2"/>
    <s v="data analitics online"/>
    <d v="2024-11-25T00:00:00"/>
    <n v="5.7314228590469841E-2"/>
    <n v="1.2245348837209302"/>
    <n v="15.044285714285715"/>
    <n v="52.655000000000001"/>
    <n v="5.6594815307188302"/>
  </r>
  <r>
    <s v="A2346"/>
    <s v="Data Analytics Course"/>
    <n v="92"/>
    <n v="5728"/>
    <n v="224.5"/>
    <n v="14"/>
    <n v="9"/>
    <n v="9.8000000000000004E-2"/>
    <n v="1876"/>
    <s v="26-11-2024"/>
    <s v="Hyderabad"/>
    <x v="2"/>
    <s v="online data analytic"/>
    <d v="2024-11-26T00:00:00"/>
    <n v="1.6061452513966481E-2"/>
    <n v="2.4402173913043477"/>
    <n v="16.035714285714285"/>
    <n v="24.944444444444443"/>
    <n v="8.3563474387527847"/>
  </r>
  <r>
    <s v="A2347"/>
    <s v="Data Analytics Course"/>
    <n v="162"/>
    <n v="5103"/>
    <n v="188.15"/>
    <n v="13"/>
    <n v="9"/>
    <n v="5.6000000000000001E-2"/>
    <n v="1264"/>
    <d v="2024-11-28T00:00:00"/>
    <s v="Hyderabad"/>
    <x v="1"/>
    <s v="analytics for data"/>
    <d v="2024-11-28T00:00:00"/>
    <n v="3.1746031746031744E-2"/>
    <n v="1.1614197530864199"/>
    <n v="14.473076923076924"/>
    <n v="20.905555555555555"/>
    <n v="6.7180441137390376"/>
  </r>
  <r>
    <s v="A2348"/>
    <s v="Data Analytics Course"/>
    <n v="193"/>
    <n v="3131"/>
    <n v="198.1"/>
    <n v="22"/>
    <n v="5"/>
    <n v="3.5000000000000003E-2"/>
    <n v="1870"/>
    <d v="2024-11-19T00:00:00"/>
    <s v="Hyderabad"/>
    <x v="2"/>
    <s v="data analytics course"/>
    <d v="2024-11-19T00:00:00"/>
    <n v="6.1641648035771317E-2"/>
    <n v="1.0264248704663212"/>
    <n v="9.004545454545454"/>
    <n v="39.619999999999997"/>
    <n v="9.4396769308430084"/>
  </r>
  <r>
    <s v="A2349"/>
    <s v="Data Analytics Course"/>
    <n v="139"/>
    <n v="3547"/>
    <n v="238.34"/>
    <n v="13"/>
    <n v="5"/>
    <n v="4.5999999999999999E-2"/>
    <n v="1130"/>
    <d v="2024-11-02T00:00:00"/>
    <s v="Hyderabad"/>
    <x v="0"/>
    <s v="data analitics online"/>
    <d v="2024-11-02T00:00:00"/>
    <n v="3.9188046236255991E-2"/>
    <n v="1.7146762589928057"/>
    <n v="18.333846153846153"/>
    <n v="47.667999999999999"/>
    <n v="4.7411261223462278"/>
  </r>
  <r>
    <s v="A2350"/>
    <s v="Data Analytics Course"/>
    <n v="185"/>
    <n v="4070"/>
    <n v="200.95"/>
    <n v="21"/>
    <n v="5"/>
    <n v="2.7E-2"/>
    <n v="1503"/>
    <d v="2024-11-07T00:00:00"/>
    <s v="Hyderabad"/>
    <x v="1"/>
    <s v="online data analytic"/>
    <d v="2024-11-07T00:00:00"/>
    <n v="4.5454545454545456E-2"/>
    <n v="1.0862162162162161"/>
    <n v="9.5690476190476179"/>
    <n v="40.19"/>
    <n v="7.4794725055984079"/>
  </r>
  <r>
    <s v="A2351"/>
    <s v="Data Analytics Course"/>
    <n v="117"/>
    <n v="3350"/>
    <n v="243.68"/>
    <n v="23"/>
    <n v="5"/>
    <n v="5.6000000000000001E-2"/>
    <n v="1204"/>
    <d v="2024-11-14T00:00:00"/>
    <s v="Hyderabad"/>
    <x v="0"/>
    <s v="analytics for data"/>
    <d v="2024-11-14T00:00:00"/>
    <n v="3.4925373134328357E-2"/>
    <n v="2.0827350427350426"/>
    <n v="10.594782608695652"/>
    <n v="48.736000000000004"/>
    <n v="4.9409061063690087"/>
  </r>
  <r>
    <s v="A2352"/>
    <s v="Data Analytics Course"/>
    <n v="123"/>
    <n v="4976"/>
    <n v="244.49"/>
    <n v="14"/>
    <n v="4"/>
    <n v="3.3000000000000002E-2"/>
    <n v="1579"/>
    <d v="2024-11-02T00:00:00"/>
    <s v="Hyderabad"/>
    <x v="0"/>
    <s v="analytics for data"/>
    <d v="2024-11-02T00:00:00"/>
    <n v="2.4718649517684887E-2"/>
    <n v="1.9877235772357724"/>
    <n v="17.463571428571431"/>
    <n v="61.122500000000002"/>
    <n v="6.4583418544725752"/>
  </r>
  <r>
    <s v="A2353"/>
    <s v="Data Analytics Course"/>
    <n v="181"/>
    <n v="5612"/>
    <n v="203.66"/>
    <n v="17"/>
    <n v="3"/>
    <n v="1.7000000000000001E-2"/>
    <n v="1505"/>
    <d v="2024-07-11T00:00:00"/>
    <s v="Hyderabad"/>
    <x v="2"/>
    <s v="data anaytics training"/>
    <d v="2024-07-11T00:00:00"/>
    <n v="3.2252316464718461E-2"/>
    <n v="1.1251933701657459"/>
    <n v="11.98"/>
    <n v="67.88666666666667"/>
    <n v="7.3897672591574191"/>
  </r>
  <r>
    <s v="A2354"/>
    <s v="Data Analytics Course"/>
    <n v="118"/>
    <n v="4390"/>
    <n v="214.04"/>
    <n v="24"/>
    <n v="8"/>
    <n v="6.8000000000000005E-2"/>
    <n v="1071"/>
    <d v="2024-11-18T00:00:00"/>
    <s v="Hyderabad"/>
    <x v="2"/>
    <s v="analytics for data"/>
    <d v="2024-11-18T00:00:00"/>
    <n v="2.6879271070615034E-2"/>
    <n v="1.8138983050847457"/>
    <n v="8.918333333333333"/>
    <n v="26.754999999999999"/>
    <n v="5.0037376191366105"/>
  </r>
  <r>
    <s v="A2355"/>
    <s v="Data Analytics Course"/>
    <n v="82"/>
    <n v="3698"/>
    <n v="229.12"/>
    <n v="30"/>
    <n v="9"/>
    <n v="0.11"/>
    <n v="1246"/>
    <d v="2024-11-20T00:00:00"/>
    <s v="Hyderabad"/>
    <x v="1"/>
    <s v="learn data analytics"/>
    <d v="2024-11-20T00:00:00"/>
    <n v="2.2174148188209845E-2"/>
    <n v="2.7941463414634149"/>
    <n v="7.6373333333333333"/>
    <n v="25.457777777777778"/>
    <n v="5.4381983240223466"/>
  </r>
  <r>
    <s v="A2356"/>
    <s v="Data Analytics Course"/>
    <n v="175"/>
    <n v="4295"/>
    <n v="195.17"/>
    <n v="18"/>
    <n v="6"/>
    <n v="4.5999999999999999E-2"/>
    <n v="1939"/>
    <s v="27-11-2024"/>
    <s v="Hyderabad"/>
    <x v="2"/>
    <s v="data analitics online"/>
    <d v="2024-11-27T00:00:00"/>
    <n v="4.0745052386495922E-2"/>
    <n v="1.1152571428571427"/>
    <n v="10.842777777777776"/>
    <n v="32.528333333333329"/>
    <n v="9.9349285238510028"/>
  </r>
  <r>
    <s v="A2357"/>
    <s v="Data Analytics Course"/>
    <n v="130"/>
    <n v="3332"/>
    <n v="202.06"/>
    <n v="14"/>
    <n v="5"/>
    <n v="3.7999999999999999E-2"/>
    <n v="1184"/>
    <d v="2024-11-14T00:00:00"/>
    <s v="Hyderabad"/>
    <x v="0"/>
    <s v="online data analytic"/>
    <d v="2024-11-14T00:00:00"/>
    <n v="3.9015606242496996E-2"/>
    <n v="1.5543076923076924"/>
    <n v="14.432857142857143"/>
    <n v="40.411999999999999"/>
    <n v="5.8596456498069882"/>
  </r>
  <r>
    <s v="A2358"/>
    <s v="Data Analytics Course"/>
    <n v="92"/>
    <n v="4082"/>
    <n v="186.29"/>
    <n v="25"/>
    <n v="5"/>
    <n v="5.3999999999999999E-2"/>
    <n v="1046"/>
    <d v="2024-11-24T00:00:00"/>
    <s v="Hyderabad"/>
    <x v="2"/>
    <s v="online data analytic"/>
    <d v="2024-11-24T00:00:00"/>
    <n v="2.2537971582557569E-2"/>
    <n v="2.0248913043478258"/>
    <n v="7.4516"/>
    <n v="37.257999999999996"/>
    <n v="5.6149014976649312"/>
  </r>
  <r>
    <s v="A2359"/>
    <s v="Data Analytics Course"/>
    <n v="159"/>
    <n v="4464"/>
    <n v="204.86"/>
    <n v="27"/>
    <n v="3"/>
    <n v="4.5999999999999999E-2"/>
    <n v="1963"/>
    <s v="20-11-2024"/>
    <s v="Hyderabad"/>
    <x v="2"/>
    <s v="analytics for data"/>
    <d v="2024-11-20T00:00:00"/>
    <n v="3.5618279569892476E-2"/>
    <n v="1.2884276729559749"/>
    <n v="7.587407407407408"/>
    <n v="68.286666666666676"/>
    <n v="9.5821536659181881"/>
  </r>
  <r>
    <s v="A2360"/>
    <s v="Data Analytics Course"/>
    <n v="193"/>
    <n v="5263"/>
    <n v="240.5"/>
    <n v="18"/>
    <n v="6"/>
    <n v="5.3999999999999999E-2"/>
    <n v="1670"/>
    <d v="2024-11-21T00:00:00"/>
    <s v="Hyderabad"/>
    <x v="2"/>
    <s v="online data analytic"/>
    <d v="2024-11-21T00:00:00"/>
    <n v="3.6671100133003988E-2"/>
    <n v="1.2461139896373057"/>
    <n v="13.361111111111111"/>
    <n v="40.083333333333336"/>
    <n v="6.9438669438669436"/>
  </r>
  <r>
    <s v="A2361"/>
    <s v="Data Analytics Course"/>
    <n v="98"/>
    <n v="4371"/>
    <n v="246.23"/>
    <n v="25"/>
    <n v="7"/>
    <n v="7.0999999999999994E-2"/>
    <n v="1114"/>
    <d v="2024-11-14T00:00:00"/>
    <s v="Hyderabad"/>
    <x v="2"/>
    <s v="analytics for data"/>
    <d v="2024-11-14T00:00:00"/>
    <n v="2.2420498741706704E-2"/>
    <n v="2.5125510204081634"/>
    <n v="9.8491999999999997"/>
    <n v="35.175714285714285"/>
    <n v="4.5242253177923084"/>
  </r>
  <r>
    <s v="A2362"/>
    <s v="Data Analytics Course"/>
    <n v="176"/>
    <n v="3657"/>
    <n v="209.44"/>
    <n v="19"/>
    <n v="3"/>
    <n v="1.7000000000000001E-2"/>
    <n v="1171"/>
    <d v="2024-11-07T00:00:00"/>
    <s v="Hyderabad"/>
    <x v="0"/>
    <s v="online data analytic"/>
    <d v="2024-11-07T00:00:00"/>
    <n v="4.8126879956248293E-2"/>
    <n v="1.19"/>
    <n v="11.023157894736842"/>
    <n v="69.813333333333333"/>
    <n v="5.591100076394194"/>
  </r>
  <r>
    <s v="A2363"/>
    <s v="Data Analytics Course"/>
    <n v="182"/>
    <n v="5833"/>
    <n v="243.72"/>
    <n v="20"/>
    <n v="5"/>
    <n v="2.7E-2"/>
    <n v="1206"/>
    <s v="14-11-2024"/>
    <s v="Hyderabad"/>
    <x v="0"/>
    <s v="data analytics course"/>
    <d v="2024-11-14T00:00:00"/>
    <n v="3.1201782959026231E-2"/>
    <n v="1.3391208791208791"/>
    <n v="12.186"/>
    <n v="48.744"/>
    <n v="4.9483013293943872"/>
  </r>
  <r>
    <s v="A2364"/>
    <s v="Data Analytics Course"/>
    <n v="85"/>
    <n v="3077"/>
    <n v="200.16"/>
    <n v="11"/>
    <n v="10"/>
    <n v="0.11799999999999999"/>
    <n v="1876"/>
    <d v="2024-11-23T00:00:00"/>
    <s v="Hyderabad"/>
    <x v="1"/>
    <s v="analytics for data"/>
    <d v="2024-11-23T00:00:00"/>
    <n v="2.7624309392265192E-2"/>
    <n v="2.3548235294117648"/>
    <n v="18.196363636363635"/>
    <n v="20.015999999999998"/>
    <n v="9.3725019984012796"/>
  </r>
  <r>
    <s v="A2365"/>
    <s v="Data Analytics Course"/>
    <n v="98"/>
    <n v="3646"/>
    <n v="239.05"/>
    <n v="14"/>
    <n v="6"/>
    <n v="3.4000000000000002E-2"/>
    <n v="1586"/>
    <s v="14-11-2024"/>
    <s v="Hyderabad"/>
    <x v="0"/>
    <s v="data analytics course"/>
    <d v="2024-11-14T00:00:00"/>
    <n v="2.6878771256171146E-2"/>
    <n v="2.4392857142857145"/>
    <n v="17.074999999999999"/>
    <n v="39.841666666666669"/>
    <n v="6.6345952729554485"/>
  </r>
  <r>
    <s v="A2366"/>
    <s v="Data Analytics Course"/>
    <n v="160"/>
    <n v="3139"/>
    <n v="230.55"/>
    <n v="28"/>
    <n v="5"/>
    <n v="3.1E-2"/>
    <n v="1449"/>
    <s v="15-11-2024"/>
    <s v="Hyderabad"/>
    <x v="0"/>
    <s v="analytics for data"/>
    <d v="2024-11-15T00:00:00"/>
    <n v="5.097164702134438E-2"/>
    <n v="1.4409375"/>
    <n v="8.2339285714285726"/>
    <n v="46.11"/>
    <n v="6.2849707221860767"/>
  </r>
  <r>
    <s v="A2367"/>
    <s v="Data Analytics Course"/>
    <n v="179"/>
    <n v="4005"/>
    <n v="232.47"/>
    <n v="16"/>
    <n v="10"/>
    <n v="5.6000000000000001E-2"/>
    <n v="1553"/>
    <d v="2024-11-24T00:00:00"/>
    <s v="Hyderabad"/>
    <x v="0"/>
    <s v="analytics for data"/>
    <d v="2024-11-24T00:00:00"/>
    <n v="4.469413233458177E-2"/>
    <n v="1.2987150837988828"/>
    <n v="14.529375"/>
    <n v="23.247"/>
    <n v="6.6804318836839158"/>
  </r>
  <r>
    <s v="A2368"/>
    <s v="Data Analytics Course"/>
    <n v="139"/>
    <n v="4315"/>
    <n v="196.3"/>
    <n v="24"/>
    <n v="5"/>
    <n v="4.5999999999999999E-2"/>
    <n v="1364"/>
    <d v="2024-11-26T00:00:00"/>
    <s v="Hyderabad"/>
    <x v="1"/>
    <s v="data analytics course"/>
    <d v="2024-11-26T00:00:00"/>
    <n v="3.2213209733487833E-2"/>
    <n v="1.4122302158273383"/>
    <n v="8.1791666666666671"/>
    <n v="39.260000000000005"/>
    <n v="6.9485481406011207"/>
  </r>
  <r>
    <s v="A2369"/>
    <s v="Data Analytics Course"/>
    <n v="195"/>
    <n v="3876"/>
    <n v="187.59"/>
    <n v="28"/>
    <n v="3"/>
    <n v="4.5999999999999999E-2"/>
    <n v="1828"/>
    <s v="21-11-2024"/>
    <s v="Hyderabad"/>
    <x v="1"/>
    <s v="data analytics course"/>
    <d v="2024-11-21T00:00:00"/>
    <n v="5.0309597523219812E-2"/>
    <n v="0.96199999999999997"/>
    <n v="6.699642857142857"/>
    <n v="62.53"/>
    <n v="9.744655898502053"/>
  </r>
  <r>
    <s v="A2370"/>
    <s v="Data Analytics Course"/>
    <n v="197"/>
    <n v="3174"/>
    <n v="215.57"/>
    <n v="22"/>
    <n v="7"/>
    <n v="3.5999999999999997E-2"/>
    <n v="1527"/>
    <d v="2024-11-14T00:00:00"/>
    <s v="Hyderabad"/>
    <x v="2"/>
    <s v="data analitics online"/>
    <d v="2024-11-14T00:00:00"/>
    <n v="6.2066792690611217E-2"/>
    <n v="1.094263959390863"/>
    <n v="9.7986363636363638"/>
    <n v="30.795714285714286"/>
    <n v="7.0835459479519418"/>
  </r>
  <r>
    <s v="A2371"/>
    <s v="Data Analytics Course"/>
    <n v="92"/>
    <n v="5550"/>
    <n v="226.38"/>
    <n v="28"/>
    <n v="8"/>
    <n v="8.6999999999999994E-2"/>
    <n v="1322"/>
    <s v="21-11-2024"/>
    <s v="Hyderabad"/>
    <x v="2"/>
    <s v="learn data analytics"/>
    <d v="2024-11-21T00:00:00"/>
    <n v="1.6576576576576577E-2"/>
    <n v="2.4606521739130436"/>
    <n v="8.0849999999999991"/>
    <n v="28.297499999999999"/>
    <n v="5.8397384927997171"/>
  </r>
  <r>
    <s v="A2372"/>
    <s v="Data Analytics Course"/>
    <n v="90"/>
    <n v="3526"/>
    <n v="211.39"/>
    <n v="10"/>
    <n v="3"/>
    <n v="3.6999999999999998E-2"/>
    <n v="1395"/>
    <d v="2024-11-20T00:00:00"/>
    <s v="Hyderabad"/>
    <x v="0"/>
    <s v="online data analytic"/>
    <d v="2024-11-20T00:00:00"/>
    <n v="2.5524673851389675E-2"/>
    <n v="2.3487777777777774"/>
    <n v="21.138999999999999"/>
    <n v="70.463333333333324"/>
    <n v="6.5991768768626713"/>
  </r>
  <r>
    <s v="A2373"/>
    <s v="Data Analytics Course"/>
    <n v="149"/>
    <n v="3192"/>
    <n v="215.57"/>
    <n v="20"/>
    <n v="4"/>
    <n v="3.7999999999999999E-2"/>
    <n v="1708"/>
    <d v="2024-11-14T00:00:00"/>
    <s v="Hyderabad"/>
    <x v="2"/>
    <s v="online data analytic"/>
    <d v="2024-11-14T00:00:00"/>
    <n v="4.6679197994987466E-2"/>
    <n v="1.4467785234899329"/>
    <n v="10.778499999999999"/>
    <n v="53.892499999999998"/>
    <n v="7.9231804054367494"/>
  </r>
  <r>
    <s v="A2374"/>
    <s v="Data Analytics Course"/>
    <n v="82"/>
    <n v="4132"/>
    <n v="247.13"/>
    <n v="11"/>
    <n v="6"/>
    <n v="7.2999999999999995E-2"/>
    <n v="1091"/>
    <d v="2024-11-12T00:00:00"/>
    <s v="Hyderabad"/>
    <x v="2"/>
    <s v="data anaytics training"/>
    <d v="2024-11-12T00:00:00"/>
    <n v="1.9845111326234271E-2"/>
    <n v="3.0137804878048779"/>
    <n v="22.466363636363635"/>
    <n v="41.188333333333333"/>
    <n v="4.4146805325132519"/>
  </r>
  <r>
    <s v="A2375"/>
    <s v="Data Analytics Course"/>
    <n v="151"/>
    <n v="5826"/>
    <n v="226.53"/>
    <n v="16"/>
    <n v="8"/>
    <n v="5.2999999999999999E-2"/>
    <n v="1511"/>
    <d v="2024-11-25T00:00:00"/>
    <s v="Hyderabad"/>
    <x v="0"/>
    <s v="learn data analytics"/>
    <d v="2024-11-25T00:00:00"/>
    <n v="2.5918297288019223E-2"/>
    <n v="1.5001986754966887"/>
    <n v="14.158125"/>
    <n v="28.31625"/>
    <n v="6.6701982077429038"/>
  </r>
  <r>
    <s v="A2376"/>
    <s v="Data Analytics Course"/>
    <n v="162"/>
    <n v="5997"/>
    <n v="240.29"/>
    <n v="20"/>
    <n v="5"/>
    <n v="3.5000000000000003E-2"/>
    <n v="1144"/>
    <s v="24-11-2024"/>
    <s v="Hyderabad"/>
    <x v="1"/>
    <s v="data analitics online"/>
    <d v="2024-11-24T00:00:00"/>
    <n v="2.7013506753376687E-2"/>
    <n v="1.4832716049382715"/>
    <n v="12.0145"/>
    <n v="48.058"/>
    <n v="4.7609138957093515"/>
  </r>
  <r>
    <s v="A2377"/>
    <s v="Data Analytics Course"/>
    <n v="197"/>
    <n v="4541"/>
    <n v="243.81"/>
    <n v="19"/>
    <n v="9"/>
    <n v="5.7000000000000002E-2"/>
    <n v="1701"/>
    <d v="2024-11-11T00:00:00"/>
    <s v="Hyderabad"/>
    <x v="0"/>
    <s v="data anaytics training"/>
    <d v="2024-11-11T00:00:00"/>
    <n v="4.3382514864567276E-2"/>
    <n v="1.2376142131979695"/>
    <n v="12.832105263157894"/>
    <n v="27.09"/>
    <n v="6.9767441860465116"/>
  </r>
  <r>
    <s v="A2378"/>
    <s v="Data Analytics Course"/>
    <n v="133"/>
    <n v="4642"/>
    <n v="184.52"/>
    <n v="22"/>
    <n v="4"/>
    <n v="3.2000000000000001E-2"/>
    <n v="1074"/>
    <d v="2024-11-14T00:00:00"/>
    <s v="Hyderabad"/>
    <x v="0"/>
    <s v="online data analytic"/>
    <d v="2024-11-14T00:00:00"/>
    <n v="2.8651443343386471E-2"/>
    <n v="1.3873684210526316"/>
    <n v="8.3872727272727285"/>
    <n v="46.13"/>
    <n v="5.8205072620854104"/>
  </r>
  <r>
    <s v="A2379"/>
    <s v="Data Analytics Course"/>
    <n v="194"/>
    <n v="5509"/>
    <n v="235.45"/>
    <n v="18"/>
    <n v="5"/>
    <n v="4.5999999999999999E-2"/>
    <n v="1025"/>
    <d v="2024-11-12T00:00:00"/>
    <s v="Hyderabad"/>
    <x v="2"/>
    <s v="online data analytic"/>
    <d v="2024-11-12T00:00:00"/>
    <n v="3.5215102559448173E-2"/>
    <n v="1.2136597938144329"/>
    <n v="13.080555555555556"/>
    <n v="47.089999999999996"/>
    <n v="4.3533658950945"/>
  </r>
  <r>
    <s v="A2380"/>
    <s v="Data Analytics Course"/>
    <n v="169"/>
    <n v="3647"/>
    <n v="194.12"/>
    <n v="12"/>
    <n v="6"/>
    <n v="3.5999999999999997E-2"/>
    <n v="1697"/>
    <d v="2024-11-22T00:00:00"/>
    <s v="Hyderabad"/>
    <x v="0"/>
    <s v="learn data analytics"/>
    <d v="2024-11-22T00:00:00"/>
    <n v="4.6339457088017545E-2"/>
    <n v="1.1486390532544379"/>
    <n v="16.176666666666666"/>
    <n v="32.353333333333332"/>
    <n v="8.7420152483000209"/>
  </r>
  <r>
    <s v="A2381"/>
    <s v="Data Analytics Course"/>
    <n v="149"/>
    <n v="5209"/>
    <n v="183.91"/>
    <n v="18"/>
    <n v="10"/>
    <n v="4.5999999999999999E-2"/>
    <n v="1799"/>
    <s v="29-11-2024"/>
    <s v="Hyderabad"/>
    <x v="0"/>
    <s v="learn data analytics"/>
    <d v="2024-11-29T00:00:00"/>
    <n v="2.8604338644653483E-2"/>
    <n v="1.2342953020134229"/>
    <n v="10.217222222222222"/>
    <n v="18.390999999999998"/>
    <n v="9.7819585666902285"/>
  </r>
  <r>
    <s v="A2382"/>
    <s v="Data Analytics Course"/>
    <n v="124"/>
    <n v="5980"/>
    <n v="200.65"/>
    <n v="25"/>
    <n v="4"/>
    <n v="3.2000000000000001E-2"/>
    <n v="1768"/>
    <d v="2024-11-04T00:00:00"/>
    <s v="Hyderabad"/>
    <x v="0"/>
    <s v="learn data analytics"/>
    <d v="2024-11-04T00:00:00"/>
    <n v="2.0735785953177259E-2"/>
    <n v="1.6181451612903226"/>
    <n v="8.0259999999999998"/>
    <n v="50.162500000000001"/>
    <n v="8.811363070022427"/>
  </r>
  <r>
    <s v="A2383"/>
    <s v="Data Analytics Course"/>
    <n v="170"/>
    <n v="5443"/>
    <n v="235.99"/>
    <n v="23"/>
    <n v="5"/>
    <n v="4.5999999999999999E-2"/>
    <n v="1314"/>
    <s v="21-11-2024"/>
    <s v="Hyderabad"/>
    <x v="1"/>
    <s v="analytics for data"/>
    <d v="2024-11-21T00:00:00"/>
    <n v="3.1232776042623554E-2"/>
    <n v="1.3881764705882353"/>
    <n v="10.260434782608696"/>
    <n v="47.198"/>
    <n v="5.5680325437518539"/>
  </r>
  <r>
    <s v="A2384"/>
    <s v="Data Analytics Course"/>
    <n v="127"/>
    <n v="5326"/>
    <n v="226.11"/>
    <n v="18"/>
    <n v="10"/>
    <n v="0.04"/>
    <n v="1040"/>
    <s v="21-11-2024"/>
    <s v="Hyderabad"/>
    <x v="1"/>
    <s v="online data analytic"/>
    <d v="2024-11-21T00:00:00"/>
    <n v="2.3845287269996244E-2"/>
    <n v="1.7803937007874018"/>
    <n v="12.561666666666667"/>
    <n v="22.611000000000001"/>
    <n v="4.599531201627526"/>
  </r>
  <r>
    <s v="A2385"/>
    <s v="Data Analytics Course"/>
    <n v="114"/>
    <n v="5565"/>
    <n v="210.04"/>
    <n v="16"/>
    <n v="4"/>
    <n v="3.5000000000000003E-2"/>
    <n v="1800"/>
    <d v="2024-11-07T00:00:00"/>
    <s v="Hyderabad"/>
    <x v="0"/>
    <s v="data anaytics training"/>
    <d v="2024-11-07T00:00:00"/>
    <n v="2.0485175202156335E-2"/>
    <n v="1.842456140350877"/>
    <n v="13.1275"/>
    <n v="52.51"/>
    <n v="8.5697962292896595"/>
  </r>
  <r>
    <s v="A2386"/>
    <s v="Data Analytics Course"/>
    <n v="154"/>
    <n v="3312"/>
    <n v="203.23"/>
    <n v="16"/>
    <n v="5"/>
    <n v="4.2000000000000003E-2"/>
    <n v="1977"/>
    <d v="2024-11-04T00:00:00"/>
    <s v="Hyderabad"/>
    <x v="0"/>
    <s v="data anaytics training"/>
    <d v="2024-11-04T00:00:00"/>
    <n v="4.64975845410628E-2"/>
    <n v="1.3196753246753246"/>
    <n v="12.701874999999999"/>
    <n v="40.646000000000001"/>
    <n v="9.7278945037642082"/>
  </r>
  <r>
    <s v="A2387"/>
    <s v="Data Analytics Course"/>
    <n v="139"/>
    <n v="4369"/>
    <n v="225.53"/>
    <n v="28"/>
    <n v="4"/>
    <n v="4.5999999999999999E-2"/>
    <n v="1241"/>
    <d v="2024-11-23T00:00:00"/>
    <s v="Hyderabad"/>
    <x v="2"/>
    <s v="data analitics online"/>
    <d v="2024-11-23T00:00:00"/>
    <n v="3.1815060654612037E-2"/>
    <n v="1.6225179856115108"/>
    <n v="8.0546428571428574"/>
    <n v="56.3825"/>
    <n v="5.5025938899481224"/>
  </r>
  <r>
    <s v="A2388"/>
    <s v="Data Analytics Course"/>
    <n v="126"/>
    <n v="3570"/>
    <n v="214.78"/>
    <n v="28"/>
    <n v="9"/>
    <n v="7.0999999999999994E-2"/>
    <n v="1078"/>
    <d v="2024-12-11T00:00:00"/>
    <s v="Hyderabad"/>
    <x v="2"/>
    <s v="data anaytics training"/>
    <d v="2024-12-11T00:00:00"/>
    <n v="3.5294117647058823E-2"/>
    <n v="1.7046031746031747"/>
    <n v="7.6707142857142854"/>
    <n v="23.864444444444445"/>
    <n v="5.0190893006797657"/>
  </r>
  <r>
    <s v="A2389"/>
    <s v="Data Analytics Course"/>
    <n v="139"/>
    <n v="3883"/>
    <n v="225.89"/>
    <n v="23"/>
    <n v="5"/>
    <n v="4.5999999999999999E-2"/>
    <n v="1183"/>
    <s v="21-11-2024"/>
    <s v="Hyderabad"/>
    <x v="1"/>
    <s v="online data analytic"/>
    <d v="2024-11-21T00:00:00"/>
    <n v="3.5797064125676022E-2"/>
    <n v="1.6251079136690647"/>
    <n v="9.8213043478260857"/>
    <n v="45.177999999999997"/>
    <n v="5.2370622869538277"/>
  </r>
  <r>
    <s v="A2390"/>
    <s v="Data Analytics Course"/>
    <n v="125"/>
    <n v="5736"/>
    <n v="197.28"/>
    <n v="30"/>
    <n v="5"/>
    <n v="0.04"/>
    <n v="1265"/>
    <s v="18-11-2024"/>
    <s v="Hyderabad"/>
    <x v="1"/>
    <s v="analytics for data"/>
    <d v="2024-11-18T00:00:00"/>
    <n v="2.1792189679218969E-2"/>
    <n v="1.5782400000000001"/>
    <n v="6.5759999999999996"/>
    <n v="39.456000000000003"/>
    <n v="6.4122060016220601"/>
  </r>
  <r>
    <s v="A2391"/>
    <s v="Data Analytics Course"/>
    <n v="197"/>
    <n v="5921"/>
    <n v="214.97"/>
    <n v="18"/>
    <n v="6"/>
    <n v="0.03"/>
    <n v="1975"/>
    <d v="2024-11-14T00:00:00"/>
    <s v="Hyderabad"/>
    <x v="0"/>
    <s v="learn data analytics"/>
    <d v="2024-11-14T00:00:00"/>
    <n v="3.3271406856949841E-2"/>
    <n v="1.0912182741116752"/>
    <n v="11.942777777777778"/>
    <n v="35.828333333333333"/>
    <n v="9.1873284644368987"/>
  </r>
  <r>
    <s v="A2392"/>
    <s v="Data Analytics Course"/>
    <n v="98"/>
    <n v="3687"/>
    <n v="206.7"/>
    <n v="12"/>
    <n v="10"/>
    <n v="4.5999999999999999E-2"/>
    <n v="1640"/>
    <d v="2024-11-07T00:00:00"/>
    <s v="Hyderabad"/>
    <x v="1"/>
    <s v="online data analytic"/>
    <d v="2024-11-07T00:00:00"/>
    <n v="2.6579875237320316E-2"/>
    <n v="2.1091836734693876"/>
    <n v="17.224999999999998"/>
    <n v="20.669999999999998"/>
    <n v="7.934204160619255"/>
  </r>
  <r>
    <s v="A2393"/>
    <s v="Data Analytics Course"/>
    <n v="164"/>
    <n v="5334"/>
    <n v="203.91"/>
    <n v="18"/>
    <n v="6"/>
    <n v="5.7000000000000002E-2"/>
    <n v="1128"/>
    <s v="18-11-2024"/>
    <s v="Hyderabad"/>
    <x v="0"/>
    <s v="data analytics course"/>
    <d v="2024-11-18T00:00:00"/>
    <n v="3.0746156730408699E-2"/>
    <n v="1.2433536585365854"/>
    <n v="11.328333333333333"/>
    <n v="33.984999999999999"/>
    <n v="5.5318522877740177"/>
  </r>
  <r>
    <s v="A2394"/>
    <s v="Data Analytics Course"/>
    <n v="111"/>
    <n v="4647"/>
    <n v="247"/>
    <n v="15"/>
    <n v="4"/>
    <n v="4.5999999999999999E-2"/>
    <n v="1601"/>
    <d v="2024-11-29T00:00:00"/>
    <s v="Hyderabad"/>
    <x v="0"/>
    <s v="learn data analytics"/>
    <d v="2024-11-29T00:00:00"/>
    <n v="2.3886378308586184E-2"/>
    <n v="2.2252252252252251"/>
    <n v="16.466666666666665"/>
    <n v="61.75"/>
    <n v="6.4817813765182191"/>
  </r>
  <r>
    <s v="A2395"/>
    <s v="Data Analytics Course"/>
    <n v="191"/>
    <n v="3485"/>
    <n v="212.43"/>
    <n v="10"/>
    <n v="7"/>
    <n v="4.5999999999999999E-2"/>
    <n v="1813"/>
    <s v="28-11-2024"/>
    <s v="Hyderabad"/>
    <x v="1"/>
    <s v="analytics for data"/>
    <d v="2024-11-28T00:00:00"/>
    <n v="5.4806312769010046E-2"/>
    <n v="1.1121989528795813"/>
    <n v="21.243000000000002"/>
    <n v="30.34714285714286"/>
    <n v="8.5345760956550389"/>
  </r>
  <r>
    <s v="A2396"/>
    <s v="Data Analytics Course"/>
    <n v="149"/>
    <n v="5720"/>
    <n v="211.54"/>
    <n v="14"/>
    <n v="5"/>
    <n v="3.4000000000000002E-2"/>
    <n v="1612"/>
    <d v="2024-11-29T00:00:00"/>
    <s v="Hyderabad"/>
    <x v="0"/>
    <s v="data analytics course"/>
    <d v="2024-11-29T00:00:00"/>
    <n v="2.6048951048951049E-2"/>
    <n v="1.4197315436241611"/>
    <n v="15.11"/>
    <n v="42.308"/>
    <n v="7.6203082159402484"/>
  </r>
  <r>
    <s v="A2397"/>
    <s v="Data Analytics Course"/>
    <n v="183"/>
    <n v="3540"/>
    <n v="222.14"/>
    <n v="15"/>
    <n v="3"/>
    <n v="1.6E-2"/>
    <n v="1248"/>
    <d v="2024-11-11T00:00:00"/>
    <s v="Hyderabad"/>
    <x v="1"/>
    <s v="learn data analytics"/>
    <d v="2024-11-11T00:00:00"/>
    <n v="5.1694915254237285E-2"/>
    <n v="1.2138797814207649"/>
    <n v="14.809333333333333"/>
    <n v="74.046666666666667"/>
    <n v="5.6180786891149728"/>
  </r>
  <r>
    <s v="A2398"/>
    <s v="Data Analytics Course"/>
    <n v="198"/>
    <n v="4035"/>
    <n v="215.94"/>
    <n v="22"/>
    <n v="8"/>
    <n v="4.5999999999999999E-2"/>
    <n v="1505"/>
    <d v="2024-10-11T00:00:00"/>
    <s v="Hyderabad"/>
    <x v="1"/>
    <s v="learn data analytics"/>
    <d v="2024-10-11T00:00:00"/>
    <n v="4.9070631970260223E-2"/>
    <n v="1.0906060606060606"/>
    <n v="9.8154545454545445"/>
    <n v="26.9925"/>
    <n v="6.96952857275169"/>
  </r>
  <r>
    <s v="A2399"/>
    <s v="Data Analytics Course"/>
    <n v="170"/>
    <n v="3024"/>
    <n v="234.76"/>
    <n v="11"/>
    <n v="10"/>
    <n v="4.5999999999999999E-2"/>
    <n v="1941"/>
    <d v="2024-06-11T00:00:00"/>
    <s v="Hyderabad"/>
    <x v="1"/>
    <s v="learn data analytics"/>
    <d v="2024-06-11T00:00:00"/>
    <n v="5.6216931216931214E-2"/>
    <n v="1.3809411764705881"/>
    <n v="21.34181818181818"/>
    <n v="23.475999999999999"/>
    <n v="8.2680184017720233"/>
  </r>
  <r>
    <s v="A2400"/>
    <s v="Data Analytics Course"/>
    <n v="174"/>
    <n v="4334"/>
    <n v="186.29"/>
    <n v="12"/>
    <n v="4"/>
    <n v="2.3E-2"/>
    <n v="1457"/>
    <d v="2024-11-22T00:00:00"/>
    <s v="Hyderabad"/>
    <x v="1"/>
    <s v="analytics for data"/>
    <d v="2024-11-22T00:00:00"/>
    <n v="4.0147669589293958E-2"/>
    <n v="1.0706321839080459"/>
    <n v="15.524166666666666"/>
    <n v="46.572499999999998"/>
    <n v="7.8211390842235229"/>
  </r>
  <r>
    <s v="A2401"/>
    <s v="Data Analytics Course"/>
    <n v="91"/>
    <n v="4038"/>
    <n v="197.15"/>
    <n v="23"/>
    <n v="6"/>
    <n v="6.6000000000000003E-2"/>
    <n v="1000"/>
    <d v="2024-11-29T00:00:00"/>
    <s v="Hyderabad"/>
    <x v="1"/>
    <s v="data analitics online"/>
    <d v="2024-11-29T00:00:00"/>
    <n v="2.2535908865775136E-2"/>
    <n v="2.1664835164835163"/>
    <n v="8.5717391304347821"/>
    <n v="32.858333333333334"/>
    <n v="5.0722799898554403"/>
  </r>
  <r>
    <s v="A2402"/>
    <s v="Data Analytics Course"/>
    <n v="197"/>
    <n v="4347"/>
    <n v="215.2"/>
    <n v="20"/>
    <n v="6"/>
    <n v="4.5999999999999999E-2"/>
    <n v="1204"/>
    <d v="2024-11-26T00:00:00"/>
    <s v="Hyderabad"/>
    <x v="0"/>
    <s v="online data analytic"/>
    <d v="2024-11-26T00:00:00"/>
    <n v="4.5318610536001842E-2"/>
    <n v="1.0923857868020304"/>
    <n v="10.76"/>
    <n v="35.866666666666667"/>
    <n v="5.5947955390334574"/>
  </r>
  <r>
    <s v="A2403"/>
    <s v="Data Analytics Course"/>
    <n v="139"/>
    <n v="5803"/>
    <n v="203.03"/>
    <n v="16"/>
    <n v="8"/>
    <n v="3.4000000000000002E-2"/>
    <n v="1397"/>
    <d v="2024-11-30T00:00:00"/>
    <s v="Hyderabad"/>
    <x v="1"/>
    <s v="analytics for data"/>
    <d v="2024-11-30T00:00:00"/>
    <n v="2.3953127692572806E-2"/>
    <n v="1.4606474820143884"/>
    <n v="12.689375"/>
    <n v="25.37875"/>
    <n v="6.8807565384425944"/>
  </r>
  <r>
    <s v="A2404"/>
    <s v="Data Analytics Course"/>
    <n v="152"/>
    <n v="4182"/>
    <n v="233.45"/>
    <n v="19"/>
    <n v="5"/>
    <n v="3.3000000000000002E-2"/>
    <n v="1719"/>
    <d v="2024-11-13T00:00:00"/>
    <s v="Hyderabad"/>
    <x v="1"/>
    <s v="data analytics course"/>
    <d v="2024-11-13T00:00:00"/>
    <n v="3.6346245815399331E-2"/>
    <n v="1.5358552631578946"/>
    <n v="12.286842105263156"/>
    <n v="46.69"/>
    <n v="7.3634611265795673"/>
  </r>
  <r>
    <s v="A2405"/>
    <s v="Data Analytics Course"/>
    <n v="189"/>
    <n v="4809"/>
    <n v="225.32"/>
    <n v="27"/>
    <n v="10"/>
    <n v="5.2999999999999999E-2"/>
    <n v="1324"/>
    <d v="2024-11-18T00:00:00"/>
    <s v="Hyderabad"/>
    <x v="1"/>
    <s v="analytics for data"/>
    <d v="2024-11-18T00:00:00"/>
    <n v="3.9301310043668124E-2"/>
    <n v="1.1921693121693122"/>
    <n v="8.3451851851851853"/>
    <n v="22.532"/>
    <n v="5.8760873424462989"/>
  </r>
  <r>
    <s v="A2406"/>
    <s v="Data Analytics Course"/>
    <n v="139"/>
    <n v="5640"/>
    <n v="210.51"/>
    <n v="13"/>
    <n v="8"/>
    <n v="4.5999999999999999E-2"/>
    <n v="1536"/>
    <d v="2024-11-11T00:00:00"/>
    <s v="Hyderabad"/>
    <x v="0"/>
    <s v="data analytics course"/>
    <d v="2024-11-11T00:00:00"/>
    <n v="2.4645390070921987E-2"/>
    <n v="1.5144604316546761"/>
    <n v="16.193076923076923"/>
    <n v="26.313749999999999"/>
    <n v="7.2965654838249971"/>
  </r>
  <r>
    <s v="A2407"/>
    <s v="Data Analytics Course"/>
    <n v="159"/>
    <n v="3401"/>
    <n v="222.71"/>
    <n v="18"/>
    <n v="3"/>
    <n v="1.9E-2"/>
    <n v="1849"/>
    <d v="2024-11-05T00:00:00"/>
    <s v="Hyderabad"/>
    <x v="0"/>
    <s v="data analitics online"/>
    <d v="2024-11-05T00:00:00"/>
    <n v="4.6750955601293734E-2"/>
    <n v="1.4006918238993711"/>
    <n v="12.372777777777777"/>
    <n v="74.236666666666665"/>
    <n v="8.302276503075749"/>
  </r>
  <r>
    <s v="A2408"/>
    <s v="Data Analytics Course"/>
    <n v="175"/>
    <n v="5561"/>
    <n v="231.96"/>
    <n v="20"/>
    <n v="8"/>
    <n v="5.7000000000000002E-2"/>
    <n v="1174"/>
    <d v="2024-11-14T00:00:00"/>
    <s v="Hyderabad"/>
    <x v="1"/>
    <s v="data analytics course"/>
    <d v="2024-11-14T00:00:00"/>
    <n v="3.1469160222981477E-2"/>
    <n v="1.3254857142857144"/>
    <n v="11.598000000000001"/>
    <n v="28.995000000000001"/>
    <n v="5.0612174512847039"/>
  </r>
  <r>
    <s v="A2409"/>
    <s v="Data Analytics Course"/>
    <n v="175"/>
    <n v="5720"/>
    <n v="243.8"/>
    <n v="17"/>
    <n v="6"/>
    <n v="4.5999999999999999E-2"/>
    <n v="1505"/>
    <d v="2024-11-26T00:00:00"/>
    <s v="Hyderabad"/>
    <x v="0"/>
    <s v="data analitics online"/>
    <d v="2024-11-26T00:00:00"/>
    <n v="3.0594405594405596E-2"/>
    <n v="1.3931428571428572"/>
    <n v="14.341176470588236"/>
    <n v="40.633333333333333"/>
    <n v="6.1730926989335515"/>
  </r>
  <r>
    <s v="A2410"/>
    <s v="Data Analytics Course"/>
    <n v="82"/>
    <n v="4898"/>
    <n v="215.11"/>
    <n v="25"/>
    <n v="8"/>
    <n v="9.8000000000000004E-2"/>
    <n v="1776"/>
    <d v="2024-09-11T00:00:00"/>
    <s v="Hyderabad"/>
    <x v="2"/>
    <s v="analytics for data"/>
    <d v="2024-09-11T00:00:00"/>
    <n v="1.6741527153940384E-2"/>
    <n v="2.6232926829268295"/>
    <n v="8.6044"/>
    <n v="26.888750000000002"/>
    <n v="8.2562409929803344"/>
  </r>
  <r>
    <s v="A2411"/>
    <s v="Data Analytics Course"/>
    <n v="146"/>
    <n v="5871"/>
    <n v="218.69"/>
    <n v="30"/>
    <n v="4"/>
    <n v="4.5999999999999999E-2"/>
    <n v="1505"/>
    <d v="2024-11-22T00:00:00"/>
    <s v="Hyderabad"/>
    <x v="0"/>
    <s v="learn data analytics"/>
    <d v="2024-11-22T00:00:00"/>
    <n v="2.4867995230795435E-2"/>
    <n v="1.4978767123287671"/>
    <n v="7.2896666666666663"/>
    <n v="54.672499999999999"/>
    <n v="6.8818876034569483"/>
  </r>
  <r>
    <s v="A2412"/>
    <s v="Data Analytics Course"/>
    <n v="85"/>
    <n v="5954"/>
    <n v="201.88"/>
    <n v="18"/>
    <n v="6"/>
    <n v="7.0999999999999994E-2"/>
    <n v="1526"/>
    <d v="2024-11-27T00:00:00"/>
    <s v="Hyderabad"/>
    <x v="2"/>
    <s v="analytics for data"/>
    <d v="2024-11-27T00:00:00"/>
    <n v="1.4276116896204233E-2"/>
    <n v="2.3750588235294119"/>
    <n v="11.215555555555556"/>
    <n v="33.646666666666668"/>
    <n v="7.5589459084604718"/>
  </r>
  <r>
    <s v="A2413"/>
    <s v="Data Analytics Course"/>
    <n v="128"/>
    <n v="3487"/>
    <n v="236.19"/>
    <n v="25"/>
    <n v="6"/>
    <n v="4.7E-2"/>
    <n v="1961"/>
    <d v="2024-02-11T00:00:00"/>
    <s v="Hyderabad"/>
    <x v="2"/>
    <s v="data analytics course"/>
    <d v="2024-02-11T00:00:00"/>
    <n v="3.6707771723544592E-2"/>
    <n v="1.845234375"/>
    <n v="9.4475999999999996"/>
    <n v="39.365000000000002"/>
    <n v="8.3026377069308612"/>
  </r>
  <r>
    <s v="A2414"/>
    <s v="Data Analytics Course"/>
    <n v="153"/>
    <n v="3808"/>
    <n v="189.61"/>
    <n v="19"/>
    <n v="8"/>
    <n v="5.1999999999999998E-2"/>
    <n v="1246"/>
    <d v="2024-02-11T00:00:00"/>
    <s v="Hyderabad"/>
    <x v="2"/>
    <s v="data analytics course"/>
    <d v="2024-02-11T00:00:00"/>
    <n v="4.0178571428571432E-2"/>
    <n v="1.2392810457516341"/>
    <n v="9.9794736842105269"/>
    <n v="23.701250000000002"/>
    <n v="6.5713833658562306"/>
  </r>
  <r>
    <s v="A2415"/>
    <s v="Data Analytics Course"/>
    <n v="192"/>
    <n v="5720"/>
    <n v="243.11"/>
    <n v="30"/>
    <n v="9"/>
    <n v="4.5999999999999999E-2"/>
    <n v="1555"/>
    <d v="2024-11-02T00:00:00"/>
    <s v="Hyderabad"/>
    <x v="1"/>
    <s v="online data analytic"/>
    <d v="2024-11-02T00:00:00"/>
    <n v="3.3566433566433566E-2"/>
    <n v="1.2661979166666668"/>
    <n v="8.1036666666666672"/>
    <n v="27.012222222222224"/>
    <n v="6.3962815186541064"/>
  </r>
  <r>
    <s v="A2416"/>
    <s v="Data Analytics Course"/>
    <n v="148"/>
    <n v="4721"/>
    <n v="189.48"/>
    <n v="26"/>
    <n v="8"/>
    <n v="5.3999999999999999E-2"/>
    <n v="1176"/>
    <d v="2024-11-01T00:00:00"/>
    <s v="Hyderabad"/>
    <x v="1"/>
    <s v="online data analytic"/>
    <d v="2024-11-01T00:00:00"/>
    <n v="3.1349290404575299E-2"/>
    <n v="1.2802702702702702"/>
    <n v="7.287692307692307"/>
    <n v="23.684999999999999"/>
    <n v="6.2064597846738447"/>
  </r>
  <r>
    <s v="A2417"/>
    <s v="Data Analytics Course"/>
    <n v="153"/>
    <n v="4768"/>
    <n v="214.39"/>
    <n v="25"/>
    <n v="5"/>
    <n v="4.1000000000000002E-2"/>
    <n v="1837"/>
    <s v="26-11-2024"/>
    <s v="Hyderabad"/>
    <x v="2"/>
    <s v="data analitics online"/>
    <d v="2024-11-26T00:00:00"/>
    <n v="3.2088926174496643E-2"/>
    <n v="1.4012418300653593"/>
    <n v="8.5755999999999997"/>
    <n v="42.878"/>
    <n v="8.5684966649563883"/>
  </r>
  <r>
    <s v="A2418"/>
    <s v="Data Analytics Course"/>
    <n v="139"/>
    <n v="5494"/>
    <n v="187.68"/>
    <n v="23"/>
    <n v="8"/>
    <n v="4.5999999999999999E-2"/>
    <n v="1402"/>
    <s v="24-11-2024"/>
    <s v="Hyderabad"/>
    <x v="2"/>
    <s v="data analytics course"/>
    <d v="2024-11-24T00:00:00"/>
    <n v="2.5300327630141974E-2"/>
    <n v="1.3502158273381295"/>
    <n v="8.16"/>
    <n v="23.46"/>
    <n v="7.4701619778346116"/>
  </r>
  <r>
    <s v="A2419"/>
    <s v="Data Analytics Course"/>
    <n v="169"/>
    <n v="4518.5"/>
    <n v="180.58"/>
    <n v="30"/>
    <n v="7"/>
    <n v="4.9000000000000002E-2"/>
    <n v="1661"/>
    <d v="2024-11-26T00:00:00"/>
    <s v="Hyderabad"/>
    <x v="1"/>
    <s v="data anaytics training"/>
    <d v="2024-11-26T00:00:00"/>
    <n v="3.7401792630297664E-2"/>
    <n v="1.0685207100591716"/>
    <n v="6.0193333333333339"/>
    <n v="25.797142857142859"/>
    <n v="9.1981393288293276"/>
  </r>
  <r>
    <s v="A2420"/>
    <s v="Data Analytics Course"/>
    <n v="146"/>
    <n v="5173"/>
    <n v="234.26"/>
    <n v="20"/>
    <n v="7"/>
    <n v="4.8000000000000001E-2"/>
    <n v="1089"/>
    <d v="2024-11-28T00:00:00"/>
    <s v="Hyderabad"/>
    <x v="1"/>
    <s v="online data analytic"/>
    <d v="2024-11-28T00:00:00"/>
    <n v="2.8223468006959213E-2"/>
    <n v="1.6045205479452054"/>
    <n v="11.712999999999999"/>
    <n v="33.465714285714284"/>
    <n v="4.648680952787501"/>
  </r>
  <r>
    <s v="A2421"/>
    <s v="Data Analytics Course"/>
    <n v="81"/>
    <n v="4808"/>
    <n v="189.19"/>
    <n v="17"/>
    <n v="9"/>
    <n v="0.111"/>
    <n v="1759"/>
    <s v="25-11-2024"/>
    <s v="Hyderabad"/>
    <x v="0"/>
    <s v="online data analytic"/>
    <d v="2024-11-25T00:00:00"/>
    <n v="1.6846921797004991E-2"/>
    <n v="2.335679012345679"/>
    <n v="11.128823529411765"/>
    <n v="21.021111111111111"/>
    <n v="9.2975315820075064"/>
  </r>
  <r>
    <s v="A2422"/>
    <s v="Data Analytics Course"/>
    <n v="185"/>
    <n v="4518.5"/>
    <n v="234.72"/>
    <n v="18"/>
    <n v="6"/>
    <n v="3.2000000000000001E-2"/>
    <n v="1508"/>
    <d v="2024-11-27T00:00:00"/>
    <s v="Hyderabad"/>
    <x v="0"/>
    <s v="data analitics online"/>
    <d v="2024-11-27T00:00:00"/>
    <n v="4.0942790749142415E-2"/>
    <n v="1.2687567567567568"/>
    <n v="13.04"/>
    <n v="39.119999999999997"/>
    <n v="6.4246762099522838"/>
  </r>
  <r>
    <s v="A2423"/>
    <s v="Data Analytics Course"/>
    <n v="90"/>
    <n v="5319"/>
    <n v="208.19"/>
    <n v="13"/>
    <n v="7"/>
    <n v="4.5999999999999999E-2"/>
    <n v="1719"/>
    <d v="2024-11-26T00:00:00"/>
    <s v="Hyderabad"/>
    <x v="2"/>
    <s v="data anaytics training"/>
    <d v="2024-11-26T00:00:00"/>
    <n v="1.6920473773265651E-2"/>
    <n v="2.3132222222222221"/>
    <n v="16.014615384615386"/>
    <n v="29.741428571428571"/>
    <n v="8.2568807339449535"/>
  </r>
  <r>
    <s v="A2424"/>
    <s v="Data Analytics Course"/>
    <n v="155"/>
    <n v="4532"/>
    <n v="203.44"/>
    <n v="19"/>
    <n v="8"/>
    <n v="5.1999999999999998E-2"/>
    <n v="1709"/>
    <s v="17-11-2024"/>
    <s v="Hyderabad"/>
    <x v="0"/>
    <s v="learn data analytics"/>
    <d v="2024-11-17T00:00:00"/>
    <n v="3.420123565754634E-2"/>
    <n v="1.312516129032258"/>
    <n v="10.707368421052632"/>
    <n v="25.43"/>
    <n v="8.4005112072355494"/>
  </r>
  <r>
    <s v="A2425"/>
    <s v="Data Analytics Course"/>
    <n v="125"/>
    <n v="3458"/>
    <n v="180.49"/>
    <n v="19"/>
    <n v="3"/>
    <n v="4.5999999999999999E-2"/>
    <n v="1754"/>
    <d v="2024-11-09T00:00:00"/>
    <s v="Hyderabad"/>
    <x v="2"/>
    <s v="data analitics online"/>
    <d v="2024-11-09T00:00:00"/>
    <n v="3.6148062463851938E-2"/>
    <n v="1.4439200000000001"/>
    <n v="9.4994736842105265"/>
    <n v="60.163333333333334"/>
    <n v="9.7179899163388548"/>
  </r>
  <r>
    <s v="A2426"/>
    <s v="Data Analytics Course"/>
    <n v="151"/>
    <n v="5432"/>
    <n v="204.76"/>
    <n v="18"/>
    <n v="9"/>
    <n v="0.06"/>
    <n v="1505"/>
    <d v="2024-11-13T00:00:00"/>
    <s v="Hyderabad"/>
    <x v="1"/>
    <s v="data anaytics training"/>
    <d v="2024-11-13T00:00:00"/>
    <n v="2.779823269513991E-2"/>
    <n v="1.3560264900662251"/>
    <n v="11.375555555555556"/>
    <n v="22.751111111111111"/>
    <n v="7.3500683727290488"/>
  </r>
  <r>
    <s v="A2427"/>
    <s v="Data Analytics Course"/>
    <n v="82"/>
    <n v="3052"/>
    <n v="211.11"/>
    <n v="12"/>
    <n v="3"/>
    <n v="3.6999999999999998E-2"/>
    <n v="1917"/>
    <d v="2024-11-06T00:00:00"/>
    <s v="Hyderabad"/>
    <x v="0"/>
    <s v="learn data analytics"/>
    <d v="2024-11-06T00:00:00"/>
    <n v="2.6867627785058978E-2"/>
    <n v="2.5745121951219514"/>
    <n v="17.592500000000001"/>
    <n v="70.37"/>
    <n v="9.0805741082847806"/>
  </r>
  <r>
    <s v="A2428"/>
    <s v="Data Analytics Course"/>
    <n v="198"/>
    <n v="5718"/>
    <n v="194.37"/>
    <n v="13"/>
    <n v="8"/>
    <n v="0.04"/>
    <n v="1118"/>
    <d v="2024-11-16T00:00:00"/>
    <s v="Hyderabad"/>
    <x v="2"/>
    <s v="data anaytics training"/>
    <d v="2024-11-16T00:00:00"/>
    <n v="3.4627492130115428E-2"/>
    <n v="0.98166666666666669"/>
    <n v="14.951538461538462"/>
    <n v="24.296250000000001"/>
    <n v="5.7519164480115244"/>
  </r>
  <r>
    <s v="A2429"/>
    <s v="Data Analytics Course"/>
    <n v="115"/>
    <n v="4762"/>
    <n v="241.63"/>
    <n v="20"/>
    <n v="8"/>
    <n v="5.8000000000000003E-2"/>
    <n v="1555"/>
    <d v="2024-03-11T00:00:00"/>
    <s v="Hyderabad"/>
    <x v="0"/>
    <s v="data analytics course"/>
    <d v="2024-03-11T00:00:00"/>
    <n v="2.4149517009659806E-2"/>
    <n v="2.1011304347826085"/>
    <n v="12.0815"/>
    <n v="30.203749999999999"/>
    <n v="6.4354591731159214"/>
  </r>
  <r>
    <s v="A2430"/>
    <s v="Data Analytics Course"/>
    <n v="158"/>
    <n v="4953"/>
    <n v="243.07"/>
    <n v="20"/>
    <n v="8"/>
    <n v="5.0999999999999997E-2"/>
    <n v="1955"/>
    <d v="2024-11-04T00:00:00"/>
    <s v="Hyderabad"/>
    <x v="2"/>
    <s v="learn data analytics"/>
    <d v="2024-11-04T00:00:00"/>
    <n v="3.1899858671512217E-2"/>
    <n v="1.5384177215189874"/>
    <n v="12.153499999999999"/>
    <n v="30.383749999999999"/>
    <n v="8.0429505903649154"/>
  </r>
  <r>
    <s v="A2431"/>
    <s v="Data Analytics Course"/>
    <n v="102"/>
    <n v="3784"/>
    <n v="219.45"/>
    <n v="13"/>
    <n v="9"/>
    <n v="4.4999999999999998E-2"/>
    <n v="1967"/>
    <d v="2024-11-20T00:00:00"/>
    <s v="Hyderabad"/>
    <x v="0"/>
    <s v="data analytics course"/>
    <d v="2024-11-20T00:00:00"/>
    <n v="2.6955602536997886E-2"/>
    <n v="2.151470588235294"/>
    <n v="16.880769230769229"/>
    <n v="24.383333333333333"/>
    <n v="8.9633173843700167"/>
  </r>
  <r>
    <s v="A2432"/>
    <s v="Data Analytics Course"/>
    <n v="93"/>
    <n v="4518.5"/>
    <n v="192.81"/>
    <n v="22"/>
    <n v="7"/>
    <n v="7.4999999999999997E-2"/>
    <n v="1726"/>
    <d v="2024-11-18T00:00:00"/>
    <s v="Hyderabad"/>
    <x v="0"/>
    <s v="learn data analytics"/>
    <d v="2024-11-18T00:00:00"/>
    <n v="2.0582051565785107E-2"/>
    <n v="2.0732258064516129"/>
    <n v="8.7640909090909087"/>
    <n v="27.544285714285714"/>
    <n v="8.9518178517711728"/>
  </r>
  <r>
    <s v="A2433"/>
    <s v="Data Analytics Course"/>
    <n v="198"/>
    <n v="5860"/>
    <n v="185.25"/>
    <n v="24"/>
    <n v="9"/>
    <n v="4.1000000000000002E-2"/>
    <n v="1950"/>
    <d v="2024-11-01T00:00:00"/>
    <s v="Hyderabad"/>
    <x v="2"/>
    <s v="data anaytics training"/>
    <d v="2024-11-01T00:00:00"/>
    <n v="3.3788395904436858E-2"/>
    <n v="0.93560606060606055"/>
    <n v="7.71875"/>
    <n v="20.583333333333332"/>
    <n v="10.526315789473685"/>
  </r>
  <r>
    <s v="A2434"/>
    <s v="Data Analytics Course"/>
    <n v="174"/>
    <n v="4169"/>
    <n v="189.36"/>
    <n v="23"/>
    <n v="8"/>
    <n v="4.5999999999999999E-2"/>
    <n v="1110"/>
    <d v="2024-11-14T00:00:00"/>
    <s v="Hyderabad"/>
    <x v="2"/>
    <s v="data analytics course"/>
    <d v="2024-11-14T00:00:00"/>
    <n v="4.1736627488606383E-2"/>
    <n v="1.0882758620689656"/>
    <n v="8.2330434782608695"/>
    <n v="23.67"/>
    <n v="5.8618504435994927"/>
  </r>
  <r>
    <s v="A2435"/>
    <s v="Data Analytics Course"/>
    <n v="193"/>
    <n v="5831"/>
    <n v="215.57"/>
    <n v="24"/>
    <n v="5"/>
    <n v="4.5999999999999999E-2"/>
    <n v="1265"/>
    <d v="2024-11-14T00:00:00"/>
    <s v="Hyderabad"/>
    <x v="1"/>
    <s v="online data analytic"/>
    <d v="2024-11-14T00:00:00"/>
    <n v="3.3098953867261187E-2"/>
    <n v="1.1169430051813471"/>
    <n v="8.9820833333333336"/>
    <n v="43.113999999999997"/>
    <n v="5.8681634735816672"/>
  </r>
  <r>
    <s v="A2436"/>
    <s v="Data Analytics Course"/>
    <n v="117"/>
    <n v="5269"/>
    <n v="196.1"/>
    <n v="26"/>
    <n v="7"/>
    <n v="4.5999999999999999E-2"/>
    <n v="1096"/>
    <d v="2024-05-11T00:00:00"/>
    <s v="Hyderabad"/>
    <x v="0"/>
    <s v="online data analytic"/>
    <d v="2024-05-11T00:00:00"/>
    <n v="2.2205352059214273E-2"/>
    <n v="1.6760683760683761"/>
    <n v="7.5423076923076922"/>
    <n v="28.014285714285712"/>
    <n v="5.5889852116267216"/>
  </r>
  <r>
    <s v="A2437"/>
    <s v="Data Analytics Course"/>
    <n v="147"/>
    <n v="5793"/>
    <n v="240.32"/>
    <n v="25"/>
    <n v="5"/>
    <n v="4.9000000000000002E-2"/>
    <n v="1645"/>
    <d v="2024-11-27T00:00:00"/>
    <s v="Hyderabad"/>
    <x v="2"/>
    <s v="data analytics course"/>
    <d v="2024-11-27T00:00:00"/>
    <n v="2.5375453133091662E-2"/>
    <n v="1.634829931972789"/>
    <n v="9.6128"/>
    <n v="48.064"/>
    <n v="6.8450399467376837"/>
  </r>
  <r>
    <s v="A2438"/>
    <s v="Data Analytics Course"/>
    <n v="179"/>
    <n v="3338"/>
    <n v="218.33"/>
    <n v="30"/>
    <n v="7"/>
    <n v="3.9E-2"/>
    <n v="1505"/>
    <d v="2024-11-24T00:00:00"/>
    <s v="Hyderabad"/>
    <x v="0"/>
    <s v="data analitics online"/>
    <d v="2024-11-24T00:00:00"/>
    <n v="5.3624925104853206E-2"/>
    <n v="1.2197206703910615"/>
    <n v="7.2776666666666667"/>
    <n v="31.19"/>
    <n v="6.8932350112215452"/>
  </r>
  <r>
    <s v="A2439"/>
    <s v="Data Analytics Course"/>
    <n v="194"/>
    <n v="4297"/>
    <n v="237.87"/>
    <n v="22"/>
    <n v="3"/>
    <n v="4.5999999999999999E-2"/>
    <n v="1739"/>
    <d v="2024-11-29T00:00:00"/>
    <s v="Hyderabad"/>
    <x v="0"/>
    <s v="data analytics course"/>
    <d v="2024-11-29T00:00:00"/>
    <n v="4.514777751919944E-2"/>
    <n v="1.2261340206185567"/>
    <n v="10.812272727272727"/>
    <n v="79.290000000000006"/>
    <n v="7.3107159372766635"/>
  </r>
  <r>
    <s v="A2440"/>
    <s v="Data Analytics Course"/>
    <n v="112"/>
    <n v="3961"/>
    <n v="214.45"/>
    <n v="13"/>
    <n v="7"/>
    <n v="4.5999999999999999E-2"/>
    <n v="1594"/>
    <d v="2024-11-17T00:00:00"/>
    <s v="Hyderabad"/>
    <x v="0"/>
    <s v="analytics for data"/>
    <d v="2024-11-17T00:00:00"/>
    <n v="2.8275687957586469E-2"/>
    <n v="1.9147321428571427"/>
    <n v="16.496153846153845"/>
    <n v="30.635714285714283"/>
    <n v="7.4329680578223369"/>
  </r>
  <r>
    <s v="A2441"/>
    <s v="Data Analytics Course"/>
    <n v="88"/>
    <n v="5063"/>
    <n v="195.2"/>
    <n v="22"/>
    <n v="3"/>
    <n v="3.4000000000000002E-2"/>
    <n v="1460"/>
    <d v="2024-11-20T00:00:00"/>
    <s v="Hyderabad"/>
    <x v="1"/>
    <s v="analytics for data"/>
    <d v="2024-11-20T00:00:00"/>
    <n v="1.738099940746593E-2"/>
    <n v="2.2181818181818183"/>
    <n v="8.872727272727273"/>
    <n v="65.066666666666663"/>
    <n v="7.4795081967213122"/>
  </r>
  <r>
    <s v="A2442"/>
    <s v="Data Analytics Course"/>
    <n v="172"/>
    <n v="5635"/>
    <n v="200.16"/>
    <n v="21"/>
    <n v="7"/>
    <n v="3.5999999999999997E-2"/>
    <n v="1727"/>
    <s v="14-11-2024"/>
    <s v="Hyderabad"/>
    <x v="1"/>
    <s v="data analitics online"/>
    <d v="2024-11-14T00:00:00"/>
    <n v="3.0523513753327416E-2"/>
    <n v="1.1637209302325582"/>
    <n v="9.531428571428572"/>
    <n v="28.594285714285714"/>
    <n v="8.628097521982415"/>
  </r>
  <r>
    <s v="A2443"/>
    <s v="Data Analytics Course"/>
    <n v="81"/>
    <n v="4404"/>
    <n v="239.62"/>
    <n v="11"/>
    <n v="4"/>
    <n v="3.5000000000000003E-2"/>
    <n v="1814"/>
    <d v="2024-11-21T00:00:00"/>
    <s v="Hyderabad"/>
    <x v="1"/>
    <s v="data analytics course"/>
    <d v="2024-11-21T00:00:00"/>
    <n v="1.8392370572207085E-2"/>
    <n v="2.9582716049382718"/>
    <n v="21.783636363636365"/>
    <n v="59.905000000000001"/>
    <n v="7.5703196728152911"/>
  </r>
  <r>
    <s v="A2444"/>
    <s v="Data Analytics Course"/>
    <n v="142"/>
    <n v="4312"/>
    <n v="213.54"/>
    <n v="21"/>
    <n v="7"/>
    <n v="4.9000000000000002E-2"/>
    <n v="1666"/>
    <d v="2024-11-20T00:00:00"/>
    <s v="Hyderabad"/>
    <x v="0"/>
    <s v="learn data analytics"/>
    <d v="2024-11-20T00:00:00"/>
    <n v="3.2931354359925787E-2"/>
    <n v="1.5038028169014084"/>
    <n v="10.168571428571429"/>
    <n v="30.505714285714284"/>
    <n v="7.8018169897911402"/>
  </r>
  <r>
    <s v="A2445"/>
    <s v="Data Analytics Course"/>
    <n v="111"/>
    <n v="3302"/>
    <n v="193.18"/>
    <n v="30"/>
    <n v="10"/>
    <n v="4.5999999999999999E-2"/>
    <n v="1783"/>
    <s v="19-11-2024"/>
    <s v="Hyderabad"/>
    <x v="1"/>
    <s v="analytics for data"/>
    <d v="2024-11-19T00:00:00"/>
    <n v="3.3615990308903693E-2"/>
    <n v="1.7403603603603603"/>
    <n v="6.4393333333333338"/>
    <n v="19.318000000000001"/>
    <n v="9.2297339269075476"/>
  </r>
  <r>
    <s v="A2446"/>
    <s v="Data Analytics Course"/>
    <n v="81"/>
    <n v="3575"/>
    <n v="192.71"/>
    <n v="27"/>
    <n v="4"/>
    <n v="4.9000000000000002E-2"/>
    <n v="1158"/>
    <d v="2024-11-11T00:00:00"/>
    <s v="Hyderabad"/>
    <x v="2"/>
    <s v="online data analytic"/>
    <d v="2024-11-11T00:00:00"/>
    <n v="2.2657342657342656E-2"/>
    <n v="2.3791358024691358"/>
    <n v="7.1374074074074079"/>
    <n v="48.177500000000002"/>
    <n v="6.0090291110995793"/>
  </r>
  <r>
    <s v="A2447"/>
    <s v="Data Analytics Course"/>
    <n v="112"/>
    <n v="5055"/>
    <n v="213.36"/>
    <n v="26"/>
    <n v="5"/>
    <n v="5.8000000000000003E-2"/>
    <n v="1959"/>
    <d v="2024-11-29T00:00:00"/>
    <s v="Hyderabad"/>
    <x v="0"/>
    <s v="data anaytics training"/>
    <d v="2024-11-29T00:00:00"/>
    <n v="2.2156280909990108E-2"/>
    <n v="1.905"/>
    <n v="8.2061538461538461"/>
    <n v="42.672000000000004"/>
    <n v="9.1816647919010119"/>
  </r>
  <r>
    <s v="A2448"/>
    <s v="Data Analytics Course"/>
    <n v="101"/>
    <n v="5415"/>
    <n v="236.41"/>
    <n v="13"/>
    <n v="10"/>
    <n v="3.9E-2"/>
    <n v="1832"/>
    <s v="15-11-2024"/>
    <s v="Hyderabad"/>
    <x v="2"/>
    <s v="learn data analytics"/>
    <d v="2024-11-15T00:00:00"/>
    <n v="1.8651892890120036E-2"/>
    <n v="2.3406930693069308"/>
    <n v="18.185384615384613"/>
    <n v="23.640999999999998"/>
    <n v="7.7492491857366437"/>
  </r>
  <r>
    <s v="A2449"/>
    <s v="Data Analytics Course"/>
    <n v="166"/>
    <n v="3118"/>
    <n v="212.46"/>
    <n v="25"/>
    <n v="7"/>
    <n v="4.2000000000000003E-2"/>
    <n v="1813"/>
    <d v="2024-11-14T00:00:00"/>
    <s v="Hyderabad"/>
    <x v="2"/>
    <s v="online data analytic"/>
    <d v="2024-11-14T00:00:00"/>
    <n v="5.3239255933290569E-2"/>
    <n v="1.2798795180722893"/>
    <n v="8.4984000000000002"/>
    <n v="30.351428571428574"/>
    <n v="8.5333709874799961"/>
  </r>
  <r>
    <s v="A2450"/>
    <s v="Data Analytics Course"/>
    <n v="139"/>
    <n v="5271"/>
    <n v="215.57"/>
    <n v="14"/>
    <n v="8"/>
    <n v="4.5999999999999999E-2"/>
    <n v="1629"/>
    <d v="2024-11-22T00:00:00"/>
    <s v="Hyderabad"/>
    <x v="1"/>
    <s v="data analitics online"/>
    <d v="2024-11-22T00:00:00"/>
    <n v="2.6370707645608043E-2"/>
    <n v="1.5508633093525179"/>
    <n v="15.397857142857143"/>
    <n v="26.946249999999999"/>
    <n v="7.55671011736327"/>
  </r>
  <r>
    <s v="A2451"/>
    <s v="Data Analytics Course"/>
    <n v="148"/>
    <n v="4518.5"/>
    <n v="214.26"/>
    <n v="21"/>
    <n v="8"/>
    <n v="4.5999999999999999E-2"/>
    <n v="1629"/>
    <d v="2024-11-13T00:00:00"/>
    <s v="Hyderabad"/>
    <x v="2"/>
    <s v="data analitics online"/>
    <d v="2024-11-13T00:00:00"/>
    <n v="3.2754232599313933E-2"/>
    <n v="1.4477027027027027"/>
    <n v="10.202857142857143"/>
    <n v="26.782499999999999"/>
    <n v="7.6029123494819384"/>
  </r>
  <r>
    <s v="A2452"/>
    <s v="Data Analytics Course"/>
    <n v="126"/>
    <n v="5250"/>
    <n v="239.73"/>
    <n v="30"/>
    <n v="4"/>
    <n v="3.2000000000000001E-2"/>
    <n v="1070"/>
    <d v="2024-11-23T00:00:00"/>
    <s v="Hyderabad"/>
    <x v="2"/>
    <s v="analytics for data"/>
    <d v="2024-11-23T00:00:00"/>
    <n v="2.4E-2"/>
    <n v="1.9026190476190474"/>
    <n v="7.9909999999999997"/>
    <n v="59.932499999999997"/>
    <n v="4.463354607266508"/>
  </r>
  <r>
    <s v="A2453"/>
    <s v="Data Analytics Course"/>
    <n v="119"/>
    <n v="4405"/>
    <n v="233.66"/>
    <n v="25"/>
    <n v="3"/>
    <n v="3.9E-2"/>
    <n v="1407"/>
    <d v="2024-12-11T00:00:00"/>
    <s v="Hyderabad"/>
    <x v="0"/>
    <s v="data analytics course"/>
    <d v="2024-12-11T00:00:00"/>
    <n v="2.7014755959137344E-2"/>
    <n v="1.9635294117647057"/>
    <n v="9.3463999999999992"/>
    <n v="77.88666666666667"/>
    <n v="6.0215698022768125"/>
  </r>
  <r>
    <s v="A2454"/>
    <s v="Data Analytics Course"/>
    <n v="189"/>
    <n v="5060"/>
    <n v="236.54"/>
    <n v="26"/>
    <n v="7"/>
    <n v="4.2999999999999997E-2"/>
    <n v="1877"/>
    <d v="2024-11-10T00:00:00"/>
    <s v="Hyderabad"/>
    <x v="1"/>
    <s v="data anaytics training"/>
    <d v="2024-11-10T00:00:00"/>
    <n v="3.7351778656126482E-2"/>
    <n v="1.2515343915343915"/>
    <n v="9.0976923076923075"/>
    <n v="33.791428571428568"/>
    <n v="7.9352329415743643"/>
  </r>
  <r>
    <s v="A2455"/>
    <s v="Data Analytics Course"/>
    <n v="167"/>
    <n v="3296"/>
    <n v="246.85"/>
    <n v="29"/>
    <n v="8"/>
    <n v="4.8000000000000001E-2"/>
    <n v="1723"/>
    <d v="2024-11-17T00:00:00"/>
    <s v="Hyderabad"/>
    <x v="0"/>
    <s v="data analitics online"/>
    <d v="2024-11-17T00:00:00"/>
    <n v="5.0667475728155338E-2"/>
    <n v="1.4781437125748502"/>
    <n v="8.5120689655172406"/>
    <n v="30.856249999999999"/>
    <n v="6.9799473364391336"/>
  </r>
  <r>
    <s v="A2456"/>
    <s v="Data Analytics Course"/>
    <n v="198"/>
    <n v="3499"/>
    <n v="209.74"/>
    <n v="30"/>
    <n v="9"/>
    <n v="0.04"/>
    <n v="1893"/>
    <d v="2024-11-25T00:00:00"/>
    <s v="Hyderabad"/>
    <x v="0"/>
    <s v="data analytics course"/>
    <d v="2024-11-25T00:00:00"/>
    <n v="5.6587596456130325E-2"/>
    <n v="1.0592929292929294"/>
    <n v="6.9913333333333334"/>
    <n v="23.304444444444446"/>
    <n v="9.0254600934490323"/>
  </r>
  <r>
    <s v="A2457"/>
    <s v="Data Analytics Course"/>
    <n v="95"/>
    <n v="3449"/>
    <n v="184.55"/>
    <n v="10"/>
    <n v="10"/>
    <n v="4.1000000000000002E-2"/>
    <n v="1601"/>
    <s v="16-11-2024"/>
    <s v="Hyderabad"/>
    <x v="1"/>
    <s v="analytics for data"/>
    <d v="2024-11-16T00:00:00"/>
    <n v="2.7544215714699914E-2"/>
    <n v="1.9426315789473685"/>
    <n v="18.455000000000002"/>
    <n v="18.455000000000002"/>
    <n v="8.6751557843402871"/>
  </r>
  <r>
    <s v="A2458"/>
    <s v="Data Analytics Course"/>
    <n v="181"/>
    <n v="3738"/>
    <n v="206.61"/>
    <n v="16"/>
    <n v="9"/>
    <n v="0.05"/>
    <n v="1868"/>
    <d v="2024-11-09T00:00:00"/>
    <s v="Hyderabad"/>
    <x v="1"/>
    <s v="online data analytic"/>
    <d v="2024-11-09T00:00:00"/>
    <n v="4.8421615837346173E-2"/>
    <n v="1.1414917127071824"/>
    <n v="12.913125000000001"/>
    <n v="22.956666666666667"/>
    <n v="9.0411887130342183"/>
  </r>
  <r>
    <s v="A2459"/>
    <s v="Data Analytics Course"/>
    <n v="105"/>
    <n v="4236"/>
    <n v="180.2"/>
    <n v="12"/>
    <n v="7"/>
    <n v="6.7000000000000004E-2"/>
    <n v="1505"/>
    <d v="2024-11-24T00:00:00"/>
    <s v="Hyderabad"/>
    <x v="1"/>
    <s v="learn data analytics"/>
    <d v="2024-11-24T00:00:00"/>
    <n v="2.4787535410764873E-2"/>
    <n v="1.716190476190476"/>
    <n v="15.016666666666666"/>
    <n v="25.74285714285714"/>
    <n v="8.3518312985571601"/>
  </r>
  <r>
    <s v="A2460"/>
    <s v="Data Analytics Course"/>
    <n v="178"/>
    <n v="5751"/>
    <n v="205.34"/>
    <n v="24"/>
    <n v="10"/>
    <n v="4.5999999999999999E-2"/>
    <n v="1903"/>
    <d v="2024-11-20T00:00:00"/>
    <s v="Hyderabad"/>
    <x v="0"/>
    <s v="data analytics course"/>
    <d v="2024-11-20T00:00:00"/>
    <n v="3.0951138932359588E-2"/>
    <n v="1.1535955056179776"/>
    <n v="8.5558333333333341"/>
    <n v="20.533999999999999"/>
    <n v="9.2675562481737597"/>
  </r>
  <r>
    <s v="A2461"/>
    <s v="Data Analytics Course"/>
    <n v="127"/>
    <n v="5050"/>
    <n v="184.77"/>
    <n v="28"/>
    <n v="9"/>
    <n v="7.0999999999999994E-2"/>
    <n v="1906"/>
    <d v="2024-11-02T00:00:00"/>
    <s v="Hyderabad"/>
    <x v="0"/>
    <s v="data analitics online"/>
    <d v="2024-11-02T00:00:00"/>
    <n v="2.514851485148515E-2"/>
    <n v="1.4548818897637796"/>
    <n v="6.5989285714285719"/>
    <n v="20.53"/>
    <n v="10.315527412458732"/>
  </r>
  <r>
    <s v="A2462"/>
    <s v="Data Analytics Course"/>
    <n v="198"/>
    <n v="4773"/>
    <n v="202.54"/>
    <n v="17"/>
    <n v="10"/>
    <n v="4.5999999999999999E-2"/>
    <n v="1082"/>
    <d v="2024-11-19T00:00:00"/>
    <s v="Hyderabad"/>
    <x v="1"/>
    <s v="data analitics online"/>
    <d v="2024-11-19T00:00:00"/>
    <n v="4.1483343808925204E-2"/>
    <n v="1.0229292929292928"/>
    <n v="11.914117647058823"/>
    <n v="20.253999999999998"/>
    <n v="5.3421546361212604"/>
  </r>
  <r>
    <s v="A2463"/>
    <s v="Data Analytics Course"/>
    <n v="86"/>
    <n v="5652"/>
    <n v="249.13"/>
    <n v="25"/>
    <n v="7"/>
    <n v="8.1000000000000003E-2"/>
    <n v="1981"/>
    <d v="2024-06-11T00:00:00"/>
    <s v="Hyderabad"/>
    <x v="1"/>
    <s v="data anaytics training"/>
    <d v="2024-06-11T00:00:00"/>
    <n v="1.5215852795470631E-2"/>
    <n v="2.896860465116279"/>
    <n v="9.9651999999999994"/>
    <n v="35.589999999999996"/>
    <n v="7.9516718179263837"/>
  </r>
  <r>
    <s v="A2464"/>
    <s v="Data Analytics Course"/>
    <n v="139"/>
    <n v="5085"/>
    <n v="182.42"/>
    <n v="11"/>
    <n v="7"/>
    <n v="4.5999999999999999E-2"/>
    <n v="1109"/>
    <d v="2024-04-11T00:00:00"/>
    <s v="Hyderabad"/>
    <x v="0"/>
    <s v="online data analytic"/>
    <d v="2024-04-11T00:00:00"/>
    <n v="2.7335299901671582E-2"/>
    <n v="1.3123741007194243"/>
    <n v="16.583636363636362"/>
    <n v="26.06"/>
    <n v="6.0793772612652122"/>
  </r>
  <r>
    <s v="A2465"/>
    <s v="Data Analytics Course"/>
    <n v="191"/>
    <n v="5070"/>
    <n v="247.41"/>
    <n v="12"/>
    <n v="4"/>
    <n v="4.5999999999999999E-2"/>
    <n v="1266"/>
    <s v="25-11-2024"/>
    <s v="Hyderabad"/>
    <x v="1"/>
    <s v="analytics for data"/>
    <d v="2024-11-25T00:00:00"/>
    <n v="3.7672583826429983E-2"/>
    <n v="1.2953403141361257"/>
    <n v="20.6175"/>
    <n v="61.852499999999999"/>
    <n v="5.1170122468776524"/>
  </r>
  <r>
    <s v="A2466"/>
    <s v="Data Analytics Course"/>
    <n v="139"/>
    <n v="5879"/>
    <n v="197.9"/>
    <n v="24"/>
    <n v="4"/>
    <n v="2.9000000000000001E-2"/>
    <n v="1476"/>
    <d v="2024-11-05T00:00:00"/>
    <s v="Hyderabad"/>
    <x v="1"/>
    <s v="data analytics course"/>
    <d v="2024-11-05T00:00:00"/>
    <n v="2.3643476781765607E-2"/>
    <n v="1.4237410071942447"/>
    <n v="8.2458333333333336"/>
    <n v="49.475000000000001"/>
    <n v="7.4583122789287515"/>
  </r>
  <r>
    <s v="A2467"/>
    <s v="Data Analytics Course"/>
    <n v="197"/>
    <n v="3620"/>
    <n v="235.19"/>
    <n v="18"/>
    <n v="7"/>
    <n v="3.5999999999999997E-2"/>
    <n v="1740"/>
    <d v="2024-11-01T00:00:00"/>
    <s v="Hyderabad"/>
    <x v="1"/>
    <s v="online data analytic"/>
    <d v="2024-11-01T00:00:00"/>
    <n v="5.4419889502762428E-2"/>
    <n v="1.1938578680203045"/>
    <n v="13.066111111111111"/>
    <n v="33.598571428571425"/>
    <n v="7.3982737361282371"/>
  </r>
  <r>
    <s v="A2468"/>
    <s v="Data Analytics Course"/>
    <n v="116"/>
    <n v="4250"/>
    <n v="216.66"/>
    <n v="10"/>
    <n v="9"/>
    <n v="7.8E-2"/>
    <n v="1877"/>
    <d v="2024-11-02T00:00:00"/>
    <s v="Hyderabad"/>
    <x v="1"/>
    <s v="data anaytics training"/>
    <d v="2024-11-02T00:00:00"/>
    <n v="2.7294117647058823E-2"/>
    <n v="1.867758620689655"/>
    <n v="21.666"/>
    <n v="24.073333333333334"/>
    <n v="8.6633434874919235"/>
  </r>
  <r>
    <s v="A2469"/>
    <s v="Data Analytics Course"/>
    <n v="192"/>
    <n v="4850"/>
    <n v="235.42"/>
    <n v="22"/>
    <n v="10"/>
    <n v="5.1999999999999998E-2"/>
    <n v="1124"/>
    <d v="2024-11-14T00:00:00"/>
    <s v="Hyderabad"/>
    <x v="0"/>
    <s v="analytics for data"/>
    <d v="2024-11-14T00:00:00"/>
    <n v="3.9587628865979378E-2"/>
    <n v="1.2261458333333333"/>
    <n v="10.700909090909091"/>
    <n v="23.541999999999998"/>
    <n v="4.7744456715657124"/>
  </r>
  <r>
    <s v="A2470"/>
    <s v="Data Analytics Course"/>
    <n v="118"/>
    <n v="3815"/>
    <n v="185.78"/>
    <n v="16"/>
    <n v="4"/>
    <n v="4.5999999999999999E-2"/>
    <n v="1093"/>
    <s v="17-11-2024"/>
    <s v="Hyderabad"/>
    <x v="0"/>
    <s v="data analitics online"/>
    <d v="2024-11-17T00:00:00"/>
    <n v="3.0930537352555701E-2"/>
    <n v="1.5744067796610171"/>
    <n v="11.61125"/>
    <n v="46.445"/>
    <n v="5.883302831305846"/>
  </r>
  <r>
    <s v="A2471"/>
    <s v="Data Analytics Course"/>
    <n v="172"/>
    <n v="5741"/>
    <n v="198.44"/>
    <n v="14"/>
    <n v="4"/>
    <n v="2.3E-2"/>
    <n v="1755"/>
    <d v="2024-11-11T00:00:00"/>
    <s v="Hyderabad"/>
    <x v="0"/>
    <s v="analytics for data"/>
    <d v="2024-11-11T00:00:00"/>
    <n v="2.9959937293154503E-2"/>
    <n v="1.1537209302325582"/>
    <n v="14.174285714285714"/>
    <n v="49.61"/>
    <n v="8.8439830679298534"/>
  </r>
  <r>
    <s v="A2472"/>
    <s v="Data Analytics Course"/>
    <n v="174"/>
    <n v="4272"/>
    <n v="240.77"/>
    <n v="16"/>
    <n v="7"/>
    <n v="4.1000000000000002E-2"/>
    <n v="1004"/>
    <d v="2024-11-23T00:00:00"/>
    <s v="Hyderabad"/>
    <x v="0"/>
    <s v="learn data analytics"/>
    <d v="2024-11-23T00:00:00"/>
    <n v="4.0730337078651688E-2"/>
    <n v="1.383735632183908"/>
    <n v="15.048125000000001"/>
    <n v="34.395714285714284"/>
    <n v="4.1699547285791416"/>
  </r>
  <r>
    <s v="A2473"/>
    <s v="Data Analytics Course"/>
    <n v="175"/>
    <n v="4974"/>
    <n v="182.22"/>
    <n v="21"/>
    <n v="5"/>
    <n v="4.5999999999999999E-2"/>
    <n v="1300"/>
    <s v="23-11-2024"/>
    <s v="Hyderabad"/>
    <x v="1"/>
    <s v="learn data analytics"/>
    <d v="2024-11-23T00:00:00"/>
    <n v="3.5182951347004422E-2"/>
    <n v="1.0412571428571429"/>
    <n v="8.6771428571428579"/>
    <n v="36.444000000000003"/>
    <n v="7.1342333443090773"/>
  </r>
  <r>
    <s v="A2474"/>
    <s v="Data Analytics Course"/>
    <n v="139"/>
    <n v="3215"/>
    <n v="191.22"/>
    <n v="30"/>
    <n v="7"/>
    <n v="4.5999999999999999E-2"/>
    <n v="1588"/>
    <d v="2024-11-23T00:00:00"/>
    <s v="Hyderabad"/>
    <x v="0"/>
    <s v="analytics for data"/>
    <d v="2024-11-23T00:00:00"/>
    <n v="4.3234836702954901E-2"/>
    <n v="1.37568345323741"/>
    <n v="6.3739999999999997"/>
    <n v="27.317142857142859"/>
    <n v="8.3045706516054807"/>
  </r>
  <r>
    <s v="A2475"/>
    <s v="Data Analytics Course"/>
    <n v="139"/>
    <n v="3723"/>
    <n v="201.32"/>
    <n v="21"/>
    <n v="8"/>
    <n v="4.5999999999999999E-2"/>
    <n v="1505"/>
    <d v="2024-06-11T00:00:00"/>
    <s v="Hyderabad"/>
    <x v="2"/>
    <s v="data analytics course"/>
    <d v="2024-06-11T00:00:00"/>
    <n v="3.7335482138060705E-2"/>
    <n v="1.4483453237410071"/>
    <n v="9.586666666666666"/>
    <n v="25.164999999999999"/>
    <n v="7.4756606397774688"/>
  </r>
  <r>
    <s v="A2476"/>
    <s v="Data Analytics Course"/>
    <n v="103"/>
    <n v="4670"/>
    <n v="203.4"/>
    <n v="21"/>
    <n v="4"/>
    <n v="4.5999999999999999E-2"/>
    <n v="1562"/>
    <s v="25-11-2024"/>
    <s v="Hyderabad"/>
    <x v="1"/>
    <s v="analytics for data"/>
    <d v="2024-11-25T00:00:00"/>
    <n v="2.2055674518201285E-2"/>
    <n v="1.974757281553398"/>
    <n v="9.6857142857142868"/>
    <n v="50.85"/>
    <n v="7.6794493608652896"/>
  </r>
  <r>
    <s v="A2477"/>
    <s v="Data Analytics Course"/>
    <n v="187"/>
    <n v="4474"/>
    <n v="182.47"/>
    <n v="10"/>
    <n v="7"/>
    <n v="4.5999999999999999E-2"/>
    <n v="1768"/>
    <s v="13-11-2024"/>
    <s v="Hyderabad"/>
    <x v="2"/>
    <s v="online data analytic"/>
    <d v="2024-11-13T00:00:00"/>
    <n v="4.1797049620026824E-2"/>
    <n v="0.97577540106951866"/>
    <n v="18.247"/>
    <n v="26.067142857142859"/>
    <n v="9.6892639886008656"/>
  </r>
  <r>
    <s v="A2478"/>
    <s v="Data Analytics Course"/>
    <n v="139"/>
    <n v="3009"/>
    <n v="195.17"/>
    <n v="20"/>
    <n v="6"/>
    <n v="4.5999999999999999E-2"/>
    <n v="1083"/>
    <d v="2024-11-23T00:00:00"/>
    <s v="Hyderabad"/>
    <x v="2"/>
    <s v="data analitics online"/>
    <d v="2024-11-23T00:00:00"/>
    <n v="4.6194749086075106E-2"/>
    <n v="1.4041007194244604"/>
    <n v="9.7584999999999997"/>
    <n v="32.528333333333329"/>
    <n v="5.549008556642927"/>
  </r>
  <r>
    <s v="A2479"/>
    <s v="Data Analytics Course"/>
    <n v="109"/>
    <n v="3933"/>
    <n v="189.73"/>
    <n v="11"/>
    <n v="4"/>
    <n v="4.5999999999999999E-2"/>
    <n v="1700"/>
    <d v="2024-07-11T00:00:00"/>
    <s v="Hyderabad"/>
    <x v="0"/>
    <s v="data analitics online"/>
    <d v="2024-07-11T00:00:00"/>
    <n v="2.7714213068904144E-2"/>
    <n v="1.7406422018348624"/>
    <n v="17.248181818181816"/>
    <n v="47.432499999999997"/>
    <n v="8.9601011964370425"/>
  </r>
  <r>
    <s v="A2480"/>
    <s v="Data Analytics Course"/>
    <n v="118"/>
    <n v="4360"/>
    <n v="232.09"/>
    <n v="10"/>
    <n v="9"/>
    <n v="7.5999999999999998E-2"/>
    <n v="1252"/>
    <d v="2024-11-13T00:00:00"/>
    <s v="Hyderabad"/>
    <x v="0"/>
    <s v="data anaytics training"/>
    <d v="2024-11-13T00:00:00"/>
    <n v="2.706422018348624E-2"/>
    <n v="1.966864406779661"/>
    <n v="23.209"/>
    <n v="25.787777777777777"/>
    <n v="5.3944590460597182"/>
  </r>
  <r>
    <s v="A2481"/>
    <s v="Data Analytics Course"/>
    <n v="164"/>
    <n v="5120"/>
    <n v="185.69"/>
    <n v="10"/>
    <n v="5"/>
    <n v="3.1E-2"/>
    <n v="1597"/>
    <d v="2024-11-23T00:00:00"/>
    <s v="Hyderabad"/>
    <x v="2"/>
    <s v="analytics for data"/>
    <d v="2024-11-23T00:00:00"/>
    <n v="3.2031249999999997E-2"/>
    <n v="1.1322560975609757"/>
    <n v="18.568999999999999"/>
    <n v="37.137999999999998"/>
    <n v="8.6003554310948349"/>
  </r>
  <r>
    <s v="A2482"/>
    <s v="Data Analytics Course"/>
    <n v="166"/>
    <n v="3887"/>
    <n v="192"/>
    <n v="24"/>
    <n v="9"/>
    <n v="5.3999999999999999E-2"/>
    <n v="1890"/>
    <d v="2024-11-13T00:00:00"/>
    <s v="Hyderabad"/>
    <x v="2"/>
    <s v="data analytics course"/>
    <d v="2024-11-13T00:00:00"/>
    <n v="4.2706457422176484E-2"/>
    <n v="1.1566265060240963"/>
    <n v="8"/>
    <n v="21.333333333333332"/>
    <n v="9.84375"/>
  </r>
  <r>
    <s v="A2483"/>
    <s v="Data Analytics Course"/>
    <n v="88"/>
    <n v="3909"/>
    <n v="189.57"/>
    <n v="30"/>
    <n v="10"/>
    <n v="0.114"/>
    <n v="1750"/>
    <s v="29-11-2024"/>
    <s v="Hyderabad"/>
    <x v="0"/>
    <s v="data anaytics training"/>
    <d v="2024-11-29T00:00:00"/>
    <n v="2.2512151445382451E-2"/>
    <n v="2.1542045454545455"/>
    <n v="6.319"/>
    <n v="18.957000000000001"/>
    <n v="9.2314184733871389"/>
  </r>
  <r>
    <s v="A2484"/>
    <s v="Data Analytics Course"/>
    <n v="125"/>
    <n v="3017"/>
    <n v="232.51"/>
    <n v="14"/>
    <n v="7"/>
    <n v="4.5999999999999999E-2"/>
    <n v="1510"/>
    <d v="2024-11-08T00:00:00"/>
    <s v="Hyderabad"/>
    <x v="2"/>
    <s v="data anaytics training"/>
    <d v="2024-11-08T00:00:00"/>
    <n v="4.1431885979449787E-2"/>
    <n v="1.86008"/>
    <n v="16.607857142857142"/>
    <n v="33.215714285714284"/>
    <n v="6.49434432927616"/>
  </r>
  <r>
    <s v="A2485"/>
    <s v="Data Analytics Course"/>
    <n v="139"/>
    <n v="5127"/>
    <n v="206.95"/>
    <n v="26"/>
    <n v="5"/>
    <n v="4.5999999999999999E-2"/>
    <n v="1902"/>
    <s v="17-11-2024"/>
    <s v="Hyderabad"/>
    <x v="0"/>
    <s v="online data analytic"/>
    <d v="2024-11-17T00:00:00"/>
    <n v="2.7111371172225472E-2"/>
    <n v="1.4888489208633093"/>
    <n v="7.9596153846153843"/>
    <n v="41.39"/>
    <n v="9.1906257550132882"/>
  </r>
  <r>
    <s v="A2486"/>
    <s v="Data Analytics Course"/>
    <n v="151"/>
    <n v="3992"/>
    <n v="212.42"/>
    <n v="10"/>
    <n v="9"/>
    <n v="0.06"/>
    <n v="1890"/>
    <d v="2024-11-26T00:00:00"/>
    <s v="Hyderabad"/>
    <x v="2"/>
    <s v="learn data analytics"/>
    <d v="2024-11-26T00:00:00"/>
    <n v="3.7825651302605214E-2"/>
    <n v="1.4067549668874171"/>
    <n v="21.241999999999997"/>
    <n v="23.60222222222222"/>
    <n v="8.897467281800207"/>
  </r>
  <r>
    <s v="A2487"/>
    <s v="Data Analytics Course"/>
    <n v="182"/>
    <n v="3554"/>
    <n v="181.74"/>
    <n v="18"/>
    <n v="4"/>
    <n v="2.1999999999999999E-2"/>
    <n v="1933"/>
    <d v="2024-02-11T00:00:00"/>
    <s v="Hyderabad"/>
    <x v="2"/>
    <s v="learn data analytics"/>
    <d v="2024-02-11T00:00:00"/>
    <n v="5.1209904333145755E-2"/>
    <n v="0.99857142857142867"/>
    <n v="10.096666666666668"/>
    <n v="45.435000000000002"/>
    <n v="10.636073511609991"/>
  </r>
  <r>
    <s v="A2488"/>
    <s v="Data Analytics Course"/>
    <n v="84"/>
    <n v="4051"/>
    <n v="196.83"/>
    <n v="21"/>
    <n v="4"/>
    <n v="4.8000000000000001E-2"/>
    <n v="1094"/>
    <d v="2024-11-14T00:00:00"/>
    <s v="Hyderabad"/>
    <x v="1"/>
    <s v="online data analytic"/>
    <d v="2024-11-14T00:00:00"/>
    <n v="2.0735620834361885E-2"/>
    <n v="2.3432142857142857"/>
    <n v="9.3728571428571428"/>
    <n v="49.207500000000003"/>
    <n v="5.5580958187268195"/>
  </r>
  <r>
    <s v="A2489"/>
    <s v="Data Analytics Course"/>
    <n v="127"/>
    <n v="3541"/>
    <n v="239.47"/>
    <n v="16"/>
    <n v="10"/>
    <n v="7.9000000000000001E-2"/>
    <n v="1474"/>
    <d v="2024-11-25T00:00:00"/>
    <s v="Hyderabad"/>
    <x v="2"/>
    <s v="data anaytics training"/>
    <d v="2024-11-25T00:00:00"/>
    <n v="3.5865574696413445E-2"/>
    <n v="1.8855905511811024"/>
    <n v="14.966875"/>
    <n v="23.946999999999999"/>
    <n v="6.1552595314653189"/>
  </r>
  <r>
    <s v="A2490"/>
    <s v="Data Analytics Course"/>
    <n v="104"/>
    <n v="5878"/>
    <n v="228.79"/>
    <n v="21"/>
    <n v="3"/>
    <n v="0.05"/>
    <n v="1101"/>
    <d v="2024-05-11T00:00:00"/>
    <s v="Hyderabad"/>
    <x v="1"/>
    <s v="data analytics course"/>
    <d v="2024-05-11T00:00:00"/>
    <n v="1.7693092888737667E-2"/>
    <n v="2.199903846153846"/>
    <n v="10.894761904761904"/>
    <n v="76.263333333333335"/>
    <n v="4.812273263691595"/>
  </r>
  <r>
    <s v="A2491"/>
    <s v="Data Analytics Course"/>
    <n v="161"/>
    <n v="4611"/>
    <n v="228.34"/>
    <n v="26"/>
    <n v="7"/>
    <n v="4.2999999999999997E-2"/>
    <n v="1473"/>
    <d v="2024-11-25T00:00:00"/>
    <s v="Hyderabad"/>
    <x v="2"/>
    <s v="data analitics online"/>
    <d v="2024-11-25T00:00:00"/>
    <n v="3.4916504012144869E-2"/>
    <n v="1.4182608695652175"/>
    <n v="8.7823076923076933"/>
    <n v="32.619999999999997"/>
    <n v="6.4509065428746606"/>
  </r>
  <r>
    <s v="A2492"/>
    <s v="Data Analytics Course"/>
    <n v="141"/>
    <n v="4764"/>
    <n v="187.72"/>
    <n v="28"/>
    <n v="4"/>
    <n v="2.8000000000000001E-2"/>
    <n v="1428"/>
    <d v="2024-11-16T00:00:00"/>
    <s v="Hyderabad"/>
    <x v="1"/>
    <s v="analytics for data"/>
    <d v="2024-11-16T00:00:00"/>
    <n v="2.9596977329974811E-2"/>
    <n v="1.3313475177304965"/>
    <n v="6.7042857142857146"/>
    <n v="46.93"/>
    <n v="7.6070743660771365"/>
  </r>
  <r>
    <s v="A2493"/>
    <s v="Data Analytics Course"/>
    <n v="186"/>
    <n v="4603"/>
    <n v="191.84"/>
    <n v="26"/>
    <n v="9"/>
    <n v="4.7E-2"/>
    <n v="1918"/>
    <d v="2024-11-07T00:00:00"/>
    <s v="Hyderabad"/>
    <x v="0"/>
    <s v="learn data analytics"/>
    <d v="2024-11-07T00:00:00"/>
    <n v="4.0408429285248751E-2"/>
    <n v="1.0313978494623657"/>
    <n v="7.3784615384615382"/>
    <n v="21.315555555555555"/>
    <n v="9.9979149291075888"/>
  </r>
  <r>
    <s v="A2494"/>
    <s v="Data Analytics Course"/>
    <n v="139"/>
    <n v="5003"/>
    <n v="195.4"/>
    <n v="15"/>
    <n v="7"/>
    <n v="4.5999999999999999E-2"/>
    <n v="1273"/>
    <d v="2024-11-18T00:00:00"/>
    <s v="Hyderabad"/>
    <x v="0"/>
    <s v="data anaytics training"/>
    <d v="2024-11-18T00:00:00"/>
    <n v="2.7783330001998802E-2"/>
    <n v="1.4057553956834532"/>
    <n v="13.026666666666667"/>
    <n v="27.914285714285715"/>
    <n v="6.5148413510747183"/>
  </r>
  <r>
    <s v="A2495"/>
    <s v="Data Analytics Course"/>
    <n v="124"/>
    <n v="5212"/>
    <n v="190.83"/>
    <n v="13"/>
    <n v="6"/>
    <n v="4.8000000000000001E-2"/>
    <n v="1399"/>
    <d v="2024-11-07T00:00:00"/>
    <s v="Hyderabad"/>
    <x v="0"/>
    <s v="data analytics course"/>
    <d v="2024-11-07T00:00:00"/>
    <n v="2.3791250959324637E-2"/>
    <n v="1.5389516129032259"/>
    <n v="14.67923076923077"/>
    <n v="31.805000000000003"/>
    <n v="7.3311324215270135"/>
  </r>
  <r>
    <s v="A2496"/>
    <s v="Data Analytics Course"/>
    <n v="97"/>
    <n v="5285"/>
    <n v="249.65"/>
    <n v="12"/>
    <n v="7"/>
    <n v="5.0999999999999997E-2"/>
    <n v="1411"/>
    <d v="2024-11-27T00:00:00"/>
    <s v="Hyderabad"/>
    <x v="0"/>
    <s v="data anaytics training"/>
    <d v="2024-11-27T00:00:00"/>
    <n v="1.8353831598864712E-2"/>
    <n v="2.5737113402061857"/>
    <n v="20.804166666666667"/>
    <n v="35.664285714285718"/>
    <n v="5.6519126777488484"/>
  </r>
  <r>
    <s v="A2497"/>
    <s v="Data Analytics Course"/>
    <n v="111"/>
    <n v="3177"/>
    <n v="224.51"/>
    <n v="18"/>
    <n v="8"/>
    <n v="4.5999999999999999E-2"/>
    <n v="1946"/>
    <d v="2024-11-25T00:00:00"/>
    <s v="Hyderabad"/>
    <x v="0"/>
    <s v="learn data analytics"/>
    <d v="2024-11-25T00:00:00"/>
    <n v="3.4938621340887627E-2"/>
    <n v="2.0226126126126127"/>
    <n v="12.472777777777777"/>
    <n v="28.063749999999999"/>
    <n v="8.6677653556634446"/>
  </r>
  <r>
    <s v="A2498"/>
    <s v="Data Analytics Course"/>
    <n v="93"/>
    <n v="5571"/>
    <n v="185.71"/>
    <n v="12"/>
    <n v="7"/>
    <n v="7.4999999999999997E-2"/>
    <n v="1630"/>
    <s v="21-11-2024"/>
    <s v="Hyderabad"/>
    <x v="2"/>
    <s v="online data analytic"/>
    <d v="2024-11-21T00:00:00"/>
    <n v="1.6693591814754979E-2"/>
    <n v="1.9968817204301077"/>
    <n v="15.475833333333334"/>
    <n v="26.53"/>
    <n v="8.7771256259759838"/>
  </r>
  <r>
    <s v="A2499"/>
    <s v="Data Analytics Course"/>
    <n v="92"/>
    <n v="3237"/>
    <n v="245.48"/>
    <n v="15"/>
    <n v="6"/>
    <n v="6.5000000000000002E-2"/>
    <n v="1505"/>
    <d v="2024-11-19T00:00:00"/>
    <s v="Hyderabad"/>
    <x v="0"/>
    <s v="data analitics online"/>
    <d v="2024-11-19T00:00:00"/>
    <n v="2.8421377818968179E-2"/>
    <n v="2.6682608695652172"/>
    <n v="16.365333333333332"/>
    <n v="40.913333333333334"/>
    <n v="6.1308456900765851"/>
  </r>
  <r>
    <s v="A2500"/>
    <s v="Data Analytics Course"/>
    <n v="138"/>
    <n v="5314"/>
    <n v="198.39"/>
    <n v="17"/>
    <n v="10"/>
    <n v="7.1999999999999995E-2"/>
    <n v="1250"/>
    <d v="2024-11-20T00:00:00"/>
    <s v="Hyderabad"/>
    <x v="0"/>
    <s v="online data analytic"/>
    <d v="2024-11-20T00:00:00"/>
    <n v="2.5969138125705685E-2"/>
    <n v="1.4376086956521739"/>
    <n v="11.67"/>
    <n v="19.838999999999999"/>
    <n v="6.3007208024598018"/>
  </r>
  <r>
    <s v="A2501"/>
    <s v="Data Analytics Course"/>
    <n v="129"/>
    <n v="4452"/>
    <n v="196.06"/>
    <n v="10"/>
    <n v="9"/>
    <n v="5.2999999999999999E-2"/>
    <n v="1069"/>
    <d v="2024-11-13T00:00:00"/>
    <s v="Hyderabad"/>
    <x v="2"/>
    <s v="learn data analytics"/>
    <d v="2024-11-13T00:00:00"/>
    <n v="2.8975741239892182E-2"/>
    <n v="1.51984496124031"/>
    <n v="19.606000000000002"/>
    <n v="21.784444444444446"/>
    <n v="5.4524125267775174"/>
  </r>
  <r>
    <s v="A2502"/>
    <s v="Data Analytics Course"/>
    <n v="183"/>
    <n v="3920"/>
    <n v="235.79"/>
    <n v="20"/>
    <n v="7"/>
    <n v="3.7999999999999999E-2"/>
    <n v="1238"/>
    <d v="2024-11-17T00:00:00"/>
    <s v="Hyderabad"/>
    <x v="1"/>
    <s v="data anaytics training"/>
    <d v="2024-11-17T00:00:00"/>
    <n v="4.6683673469387753E-2"/>
    <n v="1.2884699453551911"/>
    <n v="11.7895"/>
    <n v="33.684285714285714"/>
    <n v="5.2504347088510963"/>
  </r>
  <r>
    <s v="A2503"/>
    <s v="Data Analytics Course"/>
    <n v="154"/>
    <n v="4603"/>
    <n v="214"/>
    <n v="20"/>
    <n v="3"/>
    <n v="1.9E-2"/>
    <n v="1709"/>
    <d v="2024-11-18T00:00:00"/>
    <s v="Hyderabad"/>
    <x v="2"/>
    <s v="data analytics course"/>
    <d v="2024-11-18T00:00:00"/>
    <n v="3.3456441451227462E-2"/>
    <n v="1.3896103896103895"/>
    <n v="10.7"/>
    <n v="71.333333333333329"/>
    <n v="7.9859813084112146"/>
  </r>
  <r>
    <s v="A2504"/>
    <s v="Data Analytics Course"/>
    <n v="95"/>
    <n v="4938"/>
    <n v="204.5"/>
    <n v="12"/>
    <n v="6"/>
    <n v="4.5999999999999999E-2"/>
    <n v="1494"/>
    <d v="2024-11-18T00:00:00"/>
    <s v="Hyderabad"/>
    <x v="2"/>
    <s v="data anaytics training"/>
    <d v="2024-11-18T00:00:00"/>
    <n v="1.923855812069664E-2"/>
    <n v="2.1526315789473682"/>
    <n v="17.041666666666668"/>
    <n v="34.083333333333336"/>
    <n v="7.3056234718826403"/>
  </r>
  <r>
    <s v="A2505"/>
    <s v="Data Analytics Course"/>
    <n v="173"/>
    <n v="5291"/>
    <n v="215.57"/>
    <n v="23"/>
    <n v="8"/>
    <n v="4.5999999999999999E-2"/>
    <n v="1557"/>
    <d v="2024-11-13T00:00:00"/>
    <s v="Hyderabad"/>
    <x v="1"/>
    <s v="data analitics online"/>
    <d v="2024-11-13T00:00:00"/>
    <n v="3.2697032697032696E-2"/>
    <n v="1.2460693641618497"/>
    <n v="9.3726086956521737"/>
    <n v="26.946249999999999"/>
    <n v="7.2227118801317438"/>
  </r>
  <r>
    <s v="A2506"/>
    <s v="Data Analytics Course"/>
    <n v="112"/>
    <n v="4072"/>
    <n v="211.56"/>
    <n v="17"/>
    <n v="10"/>
    <n v="8.8999999999999996E-2"/>
    <n v="1229"/>
    <d v="2024-01-11T00:00:00"/>
    <s v="Hyderabad"/>
    <x v="0"/>
    <s v="analytics for data"/>
    <d v="2024-01-11T00:00:00"/>
    <n v="2.75049115913556E-2"/>
    <n v="1.8889285714285715"/>
    <n v="12.444705882352942"/>
    <n v="21.155999999999999"/>
    <n v="5.8092266969181319"/>
  </r>
  <r>
    <s v="A2507"/>
    <s v="Data Analytics Course"/>
    <n v="170"/>
    <n v="5953"/>
    <n v="186.11"/>
    <n v="25"/>
    <n v="8"/>
    <n v="4.5999999999999999E-2"/>
    <n v="1080"/>
    <d v="2024-11-26T00:00:00"/>
    <s v="Hyderabad"/>
    <x v="1"/>
    <s v="data analitics online"/>
    <d v="2024-11-26T00:00:00"/>
    <n v="2.8557030068872839E-2"/>
    <n v="1.0947647058823531"/>
    <n v="7.4444000000000008"/>
    <n v="23.263750000000002"/>
    <n v="5.8030197195207132"/>
  </r>
  <r>
    <s v="A2508"/>
    <s v="Data Analytics Course"/>
    <n v="96"/>
    <n v="4518.5"/>
    <n v="232.87"/>
    <n v="20"/>
    <n v="10"/>
    <n v="5.2999999999999999E-2"/>
    <n v="1162"/>
    <d v="2024-11-14T00:00:00"/>
    <s v="Hyderabad"/>
    <x v="1"/>
    <s v="learn data analytics"/>
    <d v="2024-11-14T00:00:00"/>
    <n v="2.1245988713068497E-2"/>
    <n v="2.4257291666666667"/>
    <n v="11.6435"/>
    <n v="23.286999999999999"/>
    <n v="4.9899085326577062"/>
  </r>
  <r>
    <s v="A2509"/>
    <s v="Data Analytics Course"/>
    <n v="113"/>
    <n v="3104"/>
    <n v="230.92"/>
    <n v="28"/>
    <n v="9"/>
    <n v="0.08"/>
    <n v="1422"/>
    <s v="27-11-2024"/>
    <s v="Hyderabad"/>
    <x v="2"/>
    <s v="data analytics course"/>
    <d v="2024-11-27T00:00:00"/>
    <n v="3.6404639175257734E-2"/>
    <n v="2.0435398230088495"/>
    <n v="8.2471428571428564"/>
    <n v="25.657777777777778"/>
    <n v="6.1579767884981811"/>
  </r>
  <r>
    <s v="A2510"/>
    <s v="Data Analytics Course"/>
    <n v="145"/>
    <n v="4882"/>
    <n v="217.25"/>
    <n v="22"/>
    <n v="3"/>
    <n v="2.1000000000000001E-2"/>
    <n v="1814"/>
    <d v="2024-11-19T00:00:00"/>
    <s v="Hyderabad"/>
    <x v="1"/>
    <s v="analytics for data"/>
    <d v="2024-11-19T00:00:00"/>
    <n v="2.9700942236788201E-2"/>
    <n v="1.4982758620689656"/>
    <n v="9.875"/>
    <n v="72.416666666666671"/>
    <n v="8.3498273878020708"/>
  </r>
  <r>
    <s v="A2511"/>
    <s v="Data Analytics Course"/>
    <n v="83"/>
    <n v="3212"/>
    <n v="243.86"/>
    <n v="25"/>
    <n v="4"/>
    <n v="4.8000000000000001E-2"/>
    <n v="1612"/>
    <d v="2024-11-19T00:00:00"/>
    <s v="Hyderabad"/>
    <x v="1"/>
    <s v="data analytics course"/>
    <d v="2024-11-19T00:00:00"/>
    <n v="2.5840597758405977E-2"/>
    <n v="2.9380722891566267"/>
    <n v="9.7544000000000004"/>
    <n v="60.965000000000003"/>
    <n v="6.6103502009349624"/>
  </r>
  <r>
    <s v="A2512"/>
    <s v="Data Analytics Course"/>
    <n v="90"/>
    <n v="4973"/>
    <n v="181.04"/>
    <n v="23"/>
    <n v="5"/>
    <n v="5.6000000000000001E-2"/>
    <n v="1039"/>
    <d v="2024-03-11T00:00:00"/>
    <s v="Hyderabad"/>
    <x v="0"/>
    <s v="online data analytic"/>
    <d v="2024-03-11T00:00:00"/>
    <n v="1.8097727729740599E-2"/>
    <n v="2.0115555555555553"/>
    <n v="7.8713043478260865"/>
    <n v="36.207999999999998"/>
    <n v="5.7390631904551483"/>
  </r>
  <r>
    <s v="A2513"/>
    <s v="Data Analytics Course"/>
    <n v="140"/>
    <n v="5227"/>
    <n v="222.57"/>
    <n v="27"/>
    <n v="3"/>
    <n v="2.1000000000000001E-2"/>
    <n v="1527"/>
    <d v="2024-11-18T00:00:00"/>
    <s v="Hyderabad"/>
    <x v="0"/>
    <s v="learn data analytics"/>
    <d v="2024-11-18T00:00:00"/>
    <n v="2.6784006122058543E-2"/>
    <n v="1.5897857142857141"/>
    <n v="8.2433333333333323"/>
    <n v="74.19"/>
    <n v="6.8607629060520292"/>
  </r>
  <r>
    <s v="A2514"/>
    <s v="Data Analytics Course"/>
    <n v="111"/>
    <n v="5434"/>
    <n v="181.05"/>
    <n v="10"/>
    <n v="5"/>
    <n v="4.4999999999999998E-2"/>
    <n v="1627"/>
    <s v="23-11-2024"/>
    <s v="Hyderabad"/>
    <x v="1"/>
    <s v="data anaytics training"/>
    <d v="2024-11-23T00:00:00"/>
    <n v="2.0426941479573059E-2"/>
    <n v="1.6310810810810812"/>
    <n v="18.105"/>
    <n v="36.21"/>
    <n v="8.986467826567246"/>
  </r>
  <r>
    <s v="A2515"/>
    <s v="Data Analytics Course"/>
    <n v="105"/>
    <n v="3300"/>
    <n v="180.25"/>
    <n v="22"/>
    <n v="10"/>
    <n v="9.5000000000000001E-2"/>
    <n v="1640"/>
    <d v="2024-11-21T00:00:00"/>
    <s v="Hyderabad"/>
    <x v="1"/>
    <s v="online data analytic"/>
    <d v="2024-11-21T00:00:00"/>
    <n v="3.1818181818181815E-2"/>
    <n v="1.7166666666666666"/>
    <n v="8.1931818181818183"/>
    <n v="18.024999999999999"/>
    <n v="9.0984743411927873"/>
  </r>
  <r>
    <s v="A2516"/>
    <s v="Data Analytics Course"/>
    <n v="181"/>
    <n v="4857"/>
    <n v="215.59"/>
    <n v="13"/>
    <n v="8"/>
    <n v="4.3999999999999997E-2"/>
    <n v="1883"/>
    <d v="2024-11-23T00:00:00"/>
    <s v="Hyderabad"/>
    <x v="0"/>
    <s v="learn data analytics"/>
    <d v="2024-11-23T00:00:00"/>
    <n v="3.7265801935351041E-2"/>
    <n v="1.1911049723756906"/>
    <n v="16.583846153846153"/>
    <n v="26.94875"/>
    <n v="8.7341713437543476"/>
  </r>
  <r>
    <s v="A2517"/>
    <s v="Data Analytics Course"/>
    <n v="189"/>
    <n v="4019"/>
    <n v="248.09"/>
    <n v="16"/>
    <n v="6"/>
    <n v="4.4999999999999998E-2"/>
    <n v="1378"/>
    <d v="2024-11-30T00:00:00"/>
    <s v="Hyderabad"/>
    <x v="2"/>
    <s v="online data analytic"/>
    <d v="2024-11-30T00:00:00"/>
    <n v="4.7026623538193583E-2"/>
    <n v="1.3126455026455026"/>
    <n v="15.505625"/>
    <n v="41.348333333333336"/>
    <n v="5.5544358902011366"/>
  </r>
  <r>
    <s v="A2518"/>
    <s v="Data Analytics Course"/>
    <n v="138"/>
    <n v="5495"/>
    <n v="220.69"/>
    <n v="19"/>
    <n v="5"/>
    <n v="3.5999999999999997E-2"/>
    <n v="1624"/>
    <d v="2024-04-11T00:00:00"/>
    <s v="Hyderabad"/>
    <x v="2"/>
    <s v="online data analytic"/>
    <d v="2024-04-11T00:00:00"/>
    <n v="2.5113739763421291E-2"/>
    <n v="1.5992028985507247"/>
    <n v="11.615263157894736"/>
    <n v="44.137999999999998"/>
    <n v="7.3587385019710911"/>
  </r>
  <r>
    <s v="A2519"/>
    <s v="Data Analytics Course"/>
    <n v="178"/>
    <n v="5218"/>
    <n v="208.92"/>
    <n v="20"/>
    <n v="7"/>
    <n v="3.9E-2"/>
    <n v="1714"/>
    <s v="25-11-2024"/>
    <s v="Hyderabad"/>
    <x v="1"/>
    <s v="analytics for data"/>
    <d v="2024-11-25T00:00:00"/>
    <n v="3.4112686853200458E-2"/>
    <n v="1.1737078651685393"/>
    <n v="10.446"/>
    <n v="29.845714285714283"/>
    <n v="8.2040972621098991"/>
  </r>
  <r>
    <s v="A2520"/>
    <s v="Data Analytics Course"/>
    <n v="155"/>
    <n v="5996"/>
    <n v="247.54"/>
    <n v="15"/>
    <n v="5"/>
    <n v="3.2000000000000001E-2"/>
    <n v="1883"/>
    <d v="2024-11-27T00:00:00"/>
    <s v="Hyderabad"/>
    <x v="1"/>
    <s v="analytics for data"/>
    <d v="2024-11-27T00:00:00"/>
    <n v="2.5850567044696463E-2"/>
    <n v="1.597032258064516"/>
    <n v="16.502666666666666"/>
    <n v="49.507999999999996"/>
    <n v="7.6068514179526545"/>
  </r>
  <r>
    <s v="A2521"/>
    <s v="Data Analytics Course"/>
    <n v="168"/>
    <n v="4932"/>
    <n v="198.95"/>
    <n v="16"/>
    <n v="7"/>
    <n v="5.1999999999999998E-2"/>
    <n v="1301"/>
    <s v="19-11-2024"/>
    <s v="Hyderabad"/>
    <x v="0"/>
    <s v="data anaytics training"/>
    <d v="2024-11-19T00:00:00"/>
    <n v="3.4063260340632603E-2"/>
    <n v="1.1842261904761904"/>
    <n v="12.434374999999999"/>
    <n v="28.421428571428571"/>
    <n v="6.5393314903242024"/>
  </r>
  <r>
    <s v="A2522"/>
    <s v="Data Analytics Course"/>
    <n v="152"/>
    <n v="4498"/>
    <n v="233.81"/>
    <n v="30"/>
    <n v="6"/>
    <n v="3.9E-2"/>
    <n v="1090"/>
    <s v="25-11-2024"/>
    <s v="Hyderabad"/>
    <x v="0"/>
    <s v="data analitics online"/>
    <d v="2024-11-25T00:00:00"/>
    <n v="3.3792796798577149E-2"/>
    <n v="1.5382236842105264"/>
    <n v="7.7936666666666667"/>
    <n v="38.968333333333334"/>
    <n v="4.6619049655703346"/>
  </r>
  <r>
    <s v="A2523"/>
    <s v="Data Analytics Course"/>
    <n v="111"/>
    <n v="4164"/>
    <n v="191.04"/>
    <n v="18"/>
    <n v="9"/>
    <n v="4.5999999999999999E-2"/>
    <n v="1687"/>
    <d v="2024-11-21T00:00:00"/>
    <s v="Hyderabad"/>
    <x v="2"/>
    <s v="data anaytics training"/>
    <d v="2024-11-21T00:00:00"/>
    <n v="2.6657060518731988E-2"/>
    <n v="1.721081081081081"/>
    <n v="10.613333333333333"/>
    <n v="21.226666666666667"/>
    <n v="8.8306113902847567"/>
  </r>
  <r>
    <s v="A2524"/>
    <s v="Data Analytics Course"/>
    <n v="141"/>
    <n v="4329"/>
    <n v="230.44"/>
    <n v="14"/>
    <n v="6"/>
    <n v="4.2999999999999997E-2"/>
    <n v="1610"/>
    <d v="2024-07-11T00:00:00"/>
    <s v="Hyderabad"/>
    <x v="1"/>
    <s v="learn data analytics"/>
    <d v="2024-07-11T00:00:00"/>
    <n v="3.2571032571032568E-2"/>
    <n v="1.6343262411347517"/>
    <n v="16.46"/>
    <n v="38.406666666666666"/>
    <n v="6.986634264884569"/>
  </r>
  <r>
    <s v="A2525"/>
    <s v="Data Analytics Course"/>
    <n v="97"/>
    <n v="5764"/>
    <n v="246.15"/>
    <n v="30"/>
    <n v="7"/>
    <n v="4.5999999999999999E-2"/>
    <n v="1345"/>
    <s v="18-11-2024"/>
    <s v="Hyderabad"/>
    <x v="1"/>
    <s v="analytics for data"/>
    <d v="2024-11-18T00:00:00"/>
    <n v="1.6828591256072171E-2"/>
    <n v="2.5376288659793813"/>
    <n v="8.2050000000000001"/>
    <n v="35.164285714285718"/>
    <n v="5.4641478773105829"/>
  </r>
  <r>
    <s v="A2526"/>
    <s v="Data Analytics Course"/>
    <n v="82"/>
    <n v="5430"/>
    <n v="205.46"/>
    <n v="18"/>
    <n v="5"/>
    <n v="6.0999999999999999E-2"/>
    <n v="1435"/>
    <d v="2024-11-30T00:00:00"/>
    <s v="Hyderabad"/>
    <x v="1"/>
    <s v="online data analytic"/>
    <d v="2024-11-30T00:00:00"/>
    <n v="1.5101289134438306E-2"/>
    <n v="2.5056097560975612"/>
    <n v="11.414444444444445"/>
    <n v="41.091999999999999"/>
    <n v="6.9843278497031047"/>
  </r>
  <r>
    <s v="A2527"/>
    <s v="Data Analytics Course"/>
    <n v="164"/>
    <n v="5179"/>
    <n v="206.72"/>
    <n v="18"/>
    <n v="9"/>
    <n v="5.5E-2"/>
    <n v="1213"/>
    <d v="2024-11-27T00:00:00"/>
    <s v="Hyderabad"/>
    <x v="2"/>
    <s v="data analytics course"/>
    <d v="2024-11-27T00:00:00"/>
    <n v="3.1666344854218959E-2"/>
    <n v="1.2604878048780488"/>
    <n v="11.484444444444444"/>
    <n v="22.968888888888888"/>
    <n v="5.8678405572755414"/>
  </r>
  <r>
    <s v="A2528"/>
    <s v="Data Analytics Course"/>
    <n v="109"/>
    <n v="5707"/>
    <n v="246.86"/>
    <n v="22"/>
    <n v="4"/>
    <n v="3.4000000000000002E-2"/>
    <n v="1980"/>
    <s v="19-11-2024"/>
    <s v="Hyderabad"/>
    <x v="2"/>
    <s v="data analitics online"/>
    <d v="2024-11-19T00:00:00"/>
    <n v="1.9099351673383565E-2"/>
    <n v="2.2647706422018348"/>
    <n v="11.220909090909091"/>
    <n v="61.715000000000003"/>
    <n v="8.0207405006886496"/>
  </r>
  <r>
    <s v="A2529"/>
    <s v="Data Analytics Course"/>
    <n v="126"/>
    <n v="3263"/>
    <n v="237.54"/>
    <n v="20"/>
    <n v="9"/>
    <n v="4.5999999999999999E-2"/>
    <n v="1364"/>
    <d v="2024-11-17T00:00:00"/>
    <s v="Hyderabad"/>
    <x v="1"/>
    <s v="data analitics online"/>
    <d v="2024-11-17T00:00:00"/>
    <n v="3.8614771682500763E-2"/>
    <n v="1.8852380952380952"/>
    <n v="11.876999999999999"/>
    <n v="26.393333333333331"/>
    <n v="5.7421907889197614"/>
  </r>
  <r>
    <s v="A2530"/>
    <s v="Data Analytics Course"/>
    <n v="175"/>
    <n v="5718"/>
    <n v="225.4"/>
    <n v="19"/>
    <n v="6"/>
    <n v="5.7000000000000002E-2"/>
    <n v="1001"/>
    <d v="2024-12-11T00:00:00"/>
    <s v="Hyderabad"/>
    <x v="2"/>
    <s v="analytics for data"/>
    <d v="2024-12-11T00:00:00"/>
    <n v="3.0605106680657572E-2"/>
    <n v="1.288"/>
    <n v="11.863157894736842"/>
    <n v="37.56666666666667"/>
    <n v="4.4409937888198758"/>
  </r>
  <r>
    <s v="A2531"/>
    <s v="Data Analytics Course"/>
    <n v="96"/>
    <n v="5075"/>
    <n v="221.28"/>
    <n v="25"/>
    <n v="3"/>
    <n v="3.7999999999999999E-2"/>
    <n v="1937"/>
    <s v="23-11-2024"/>
    <s v="Hyderabad"/>
    <x v="0"/>
    <s v="learn data analytics"/>
    <d v="2024-11-23T00:00:00"/>
    <n v="1.8916256157635467E-2"/>
    <n v="2.3050000000000002"/>
    <n v="8.8512000000000004"/>
    <n v="73.760000000000005"/>
    <n v="8.7536153289949379"/>
  </r>
  <r>
    <s v="A2532"/>
    <s v="Data Analytics Course"/>
    <n v="113"/>
    <n v="4473"/>
    <n v="202.3"/>
    <n v="17"/>
    <n v="5"/>
    <n v="4.3999999999999997E-2"/>
    <n v="1049"/>
    <d v="2024-11-08T00:00:00"/>
    <s v="Hyderabad"/>
    <x v="2"/>
    <s v="online data analytic"/>
    <d v="2024-11-08T00:00:00"/>
    <n v="2.526268723451822E-2"/>
    <n v="1.7902654867256638"/>
    <n v="11.9"/>
    <n v="40.46"/>
    <n v="5.1853682649530395"/>
  </r>
  <r>
    <s v="A2533"/>
    <s v="Data Analytics Course"/>
    <n v="96"/>
    <n v="3979"/>
    <n v="232.44"/>
    <n v="27"/>
    <n v="7"/>
    <n v="4.5999999999999999E-2"/>
    <n v="1140"/>
    <s v="30-11-2024"/>
    <s v="Hyderabad"/>
    <x v="1"/>
    <s v="learn data analytics"/>
    <d v="2024-11-30T00:00:00"/>
    <n v="2.4126664991203819E-2"/>
    <n v="2.4212500000000001"/>
    <n v="8.6088888888888881"/>
    <n v="33.205714285714286"/>
    <n v="4.9044914816726894"/>
  </r>
  <r>
    <s v="A2534"/>
    <s v="Data Analytics Course"/>
    <n v="162"/>
    <n v="5688"/>
    <n v="190.31"/>
    <n v="17"/>
    <n v="5"/>
    <n v="3.1E-2"/>
    <n v="1556"/>
    <s v="25-11-2024"/>
    <s v="Hyderabad"/>
    <x v="2"/>
    <s v="data analytics course"/>
    <d v="2024-11-25T00:00:00"/>
    <n v="2.8481012658227847E-2"/>
    <n v="1.1747530864197531"/>
    <n v="11.194705882352942"/>
    <n v="38.061999999999998"/>
    <n v="8.1761336766328618"/>
  </r>
  <r>
    <s v="A2535"/>
    <s v="Data Analytics Course"/>
    <n v="125"/>
    <n v="3546"/>
    <n v="234.02"/>
    <n v="23"/>
    <n v="10"/>
    <n v="4.5999999999999999E-2"/>
    <n v="1072"/>
    <d v="2024-11-27T00:00:00"/>
    <s v="Hyderabad"/>
    <x v="0"/>
    <s v="analytics for data"/>
    <d v="2024-11-27T00:00:00"/>
    <n v="3.5250987027636772E-2"/>
    <n v="1.87216"/>
    <n v="10.174782608695653"/>
    <n v="23.402000000000001"/>
    <n v="4.5808050593966323"/>
  </r>
  <r>
    <s v="A2536"/>
    <s v="Data Analytics Course"/>
    <n v="89"/>
    <n v="4188"/>
    <n v="206.71"/>
    <n v="16"/>
    <n v="4"/>
    <n v="4.4999999999999998E-2"/>
    <n v="1382"/>
    <d v="2024-11-01T00:00:00"/>
    <s v="Hyderabad"/>
    <x v="2"/>
    <s v="online data analytic"/>
    <d v="2024-11-01T00:00:00"/>
    <n v="2.1251193887297039E-2"/>
    <n v="2.3225842696629213"/>
    <n v="12.919375"/>
    <n v="51.677500000000002"/>
    <n v="6.6856949349329975"/>
  </r>
  <r>
    <s v="A2537"/>
    <s v="Data Analytics Course"/>
    <n v="99"/>
    <n v="4134"/>
    <n v="234.04"/>
    <n v="18"/>
    <n v="3"/>
    <n v="0.03"/>
    <n v="1683"/>
    <d v="2024-11-30T00:00:00"/>
    <s v="Hyderabad"/>
    <x v="0"/>
    <s v="learn data analytics"/>
    <d v="2024-11-30T00:00:00"/>
    <n v="2.3947750362844702E-2"/>
    <n v="2.3640404040404039"/>
    <n v="13.002222222222223"/>
    <n v="78.013333333333335"/>
    <n v="7.1910784481285255"/>
  </r>
  <r>
    <s v="A2538"/>
    <s v="Data Analytics Course"/>
    <n v="91"/>
    <n v="4710"/>
    <n v="199.18"/>
    <n v="21"/>
    <n v="9"/>
    <n v="9.9000000000000005E-2"/>
    <n v="1431"/>
    <d v="2024-11-10T00:00:00"/>
    <s v="Hyderabad"/>
    <x v="2"/>
    <s v="data analytics course"/>
    <d v="2024-11-10T00:00:00"/>
    <n v="1.9320594479830148E-2"/>
    <n v="2.1887912087912089"/>
    <n v="9.4847619047619052"/>
    <n v="22.13111111111111"/>
    <n v="7.1844562707099104"/>
  </r>
  <r>
    <s v="A2539"/>
    <s v="Data Analytics Course"/>
    <n v="141"/>
    <n v="4654"/>
    <n v="192.19"/>
    <n v="21"/>
    <n v="6"/>
    <n v="4.2999999999999997E-2"/>
    <n v="1932"/>
    <s v="25-11-2024"/>
    <s v="Hyderabad"/>
    <x v="1"/>
    <s v="analytics for data"/>
    <d v="2024-11-25T00:00:00"/>
    <n v="3.0296519123334767E-2"/>
    <n v="1.3630496453900709"/>
    <n v="9.1519047619047615"/>
    <n v="32.031666666666666"/>
    <n v="10.052552161923098"/>
  </r>
  <r>
    <s v="A2540"/>
    <s v="Data Analytics Course"/>
    <n v="110"/>
    <n v="5509"/>
    <n v="245.38"/>
    <n v="13"/>
    <n v="8"/>
    <n v="4.8000000000000001E-2"/>
    <n v="1539"/>
    <d v="2024-11-10T00:00:00"/>
    <s v="Hyderabad"/>
    <x v="1"/>
    <s v="learn data analytics"/>
    <d v="2024-11-10T00:00:00"/>
    <n v="1.9967326193501542E-2"/>
    <n v="2.2307272727272727"/>
    <n v="18.875384615384615"/>
    <n v="30.672499999999999"/>
    <n v="6.2719048007172553"/>
  </r>
  <r>
    <s v="A2541"/>
    <s v="Data Analytics Course"/>
    <n v="96"/>
    <n v="3091"/>
    <n v="187.57"/>
    <n v="11"/>
    <n v="7"/>
    <n v="4.5999999999999999E-2"/>
    <n v="1737"/>
    <d v="2024-10-11T00:00:00"/>
    <s v="Hyderabad"/>
    <x v="2"/>
    <s v="data analytics course"/>
    <d v="2024-10-11T00:00:00"/>
    <n v="3.1057910061468779E-2"/>
    <n v="1.9538541666666667"/>
    <n v="17.051818181818181"/>
    <n v="26.795714285714286"/>
    <n v="9.2605427307138672"/>
  </r>
  <r>
    <s v="A2542"/>
    <s v="Data Analytics Course"/>
    <n v="85"/>
    <n v="4653"/>
    <n v="196.73"/>
    <n v="23"/>
    <n v="6"/>
    <n v="7.0999999999999994E-2"/>
    <n v="1032"/>
    <s v="13-11-2024"/>
    <s v="Hyderabad"/>
    <x v="1"/>
    <s v="data analytics course"/>
    <d v="2024-11-13T00:00:00"/>
    <n v="1.8267784225231034E-2"/>
    <n v="2.3144705882352938"/>
    <n v="8.5534782608695643"/>
    <n v="32.788333333333334"/>
    <n v="5.2457683118995577"/>
  </r>
  <r>
    <s v="A2543"/>
    <s v="Data Analytics Course"/>
    <n v="151"/>
    <n v="5389"/>
    <n v="227.07"/>
    <n v="18"/>
    <n v="10"/>
    <n v="5.7000000000000002E-2"/>
    <n v="1318"/>
    <d v="2024-11-20T00:00:00"/>
    <s v="Hyderabad"/>
    <x v="0"/>
    <s v="data anaytics training"/>
    <d v="2024-11-20T00:00:00"/>
    <n v="2.8020040823900538E-2"/>
    <n v="1.503774834437086"/>
    <n v="12.615"/>
    <n v="22.707000000000001"/>
    <n v="5.804377504734223"/>
  </r>
  <r>
    <s v="A2544"/>
    <s v="Data Analytics Course"/>
    <n v="139"/>
    <n v="5290"/>
    <n v="208.43"/>
    <n v="28"/>
    <n v="4"/>
    <n v="5.0999999999999997E-2"/>
    <n v="1022"/>
    <d v="2024-11-20T00:00:00"/>
    <s v="Hyderabad"/>
    <x v="2"/>
    <s v="data analitics online"/>
    <d v="2024-11-20T00:00:00"/>
    <n v="2.6275992438563326E-2"/>
    <n v="1.4994964028776978"/>
    <n v="7.4439285714285717"/>
    <n v="52.107500000000002"/>
    <n v="4.9033248572662282"/>
  </r>
  <r>
    <s v="A2545"/>
    <s v="Data Analytics Course"/>
    <n v="120"/>
    <n v="3060"/>
    <n v="197.96"/>
    <n v="20"/>
    <n v="8"/>
    <n v="6.7000000000000004E-2"/>
    <n v="1679"/>
    <d v="2024-11-23T00:00:00"/>
    <s v="Hyderabad"/>
    <x v="2"/>
    <s v="analytics for data"/>
    <d v="2024-11-23T00:00:00"/>
    <n v="3.9215686274509803E-2"/>
    <n v="1.6496666666666668"/>
    <n v="9.8979999999999997"/>
    <n v="24.745000000000001"/>
    <n v="8.4815114164477663"/>
  </r>
  <r>
    <s v="A2546"/>
    <s v="Data Analytics Course"/>
    <n v="109"/>
    <n v="4444"/>
    <n v="219.46"/>
    <n v="12"/>
    <n v="9"/>
    <n v="8.3000000000000004E-2"/>
    <n v="1159"/>
    <d v="2024-11-28T00:00:00"/>
    <s v="Hyderabad"/>
    <x v="1"/>
    <s v="data anaytics training"/>
    <d v="2024-11-28T00:00:00"/>
    <n v="2.4527452745274528E-2"/>
    <n v="2.013394495412844"/>
    <n v="18.288333333333334"/>
    <n v="24.384444444444444"/>
    <n v="5.2811446277225915"/>
  </r>
  <r>
    <s v="A2547"/>
    <s v="Data Analytics Course"/>
    <n v="145"/>
    <n v="3509"/>
    <n v="181.11"/>
    <n v="19"/>
    <n v="10"/>
    <n v="4.8000000000000001E-2"/>
    <n v="1627"/>
    <d v="2024-11-22T00:00:00"/>
    <s v="Hyderabad"/>
    <x v="1"/>
    <s v="online data analytic"/>
    <d v="2024-11-22T00:00:00"/>
    <n v="4.1322314049586778E-2"/>
    <n v="1.2490344827586208"/>
    <n v="9.5321052631578951"/>
    <n v="18.111000000000001"/>
    <n v="8.9834906962619403"/>
  </r>
  <r>
    <s v="A2548"/>
    <s v="Data Analytics Course"/>
    <n v="151"/>
    <n v="4675"/>
    <n v="183.02"/>
    <n v="14"/>
    <n v="7"/>
    <n v="4.5999999999999999E-2"/>
    <n v="1000"/>
    <d v="2024-11-10T00:00:00"/>
    <s v="Hyderabad"/>
    <x v="1"/>
    <s v="analytics for data"/>
    <d v="2024-11-10T00:00:00"/>
    <n v="3.2299465240641714E-2"/>
    <n v="1.2120529801324504"/>
    <n v="13.072857142857144"/>
    <n v="26.145714285714288"/>
    <n v="5.4638837285542561"/>
  </r>
  <r>
    <s v="A2549"/>
    <s v="Data Analytics Course"/>
    <n v="108"/>
    <n v="5869"/>
    <n v="226.93"/>
    <n v="16"/>
    <n v="7"/>
    <n v="6.5000000000000002E-2"/>
    <n v="1633"/>
    <d v="2024-03-11T00:00:00"/>
    <s v="Hyderabad"/>
    <x v="0"/>
    <s v="analytics for data"/>
    <d v="2024-03-11T00:00:00"/>
    <n v="1.8401772022491054E-2"/>
    <n v="2.1012037037037037"/>
    <n v="14.183125"/>
    <n v="32.418571428571433"/>
    <n v="7.1960516458819894"/>
  </r>
  <r>
    <s v="A2550"/>
    <s v="Data Analytics Course"/>
    <n v="166"/>
    <n v="3992"/>
    <n v="205.9"/>
    <n v="15"/>
    <n v="8"/>
    <n v="4.8000000000000001E-2"/>
    <n v="1899"/>
    <d v="2024-11-05T00:00:00"/>
    <s v="Hyderabad"/>
    <x v="0"/>
    <s v="analytics for data"/>
    <d v="2024-11-05T00:00:00"/>
    <n v="4.1583166332665331E-2"/>
    <n v="1.2403614457831325"/>
    <n v="13.726666666666667"/>
    <n v="25.737500000000001"/>
    <n v="9.2229237493929084"/>
  </r>
  <r>
    <s v="A2551"/>
    <s v="Data Analytics Course"/>
    <n v="134"/>
    <n v="4172"/>
    <n v="191.8"/>
    <n v="26"/>
    <n v="5"/>
    <n v="3.6999999999999998E-2"/>
    <n v="1170"/>
    <d v="2024-11-18T00:00:00"/>
    <s v="Hyderabad"/>
    <x v="2"/>
    <s v="online data analytic"/>
    <d v="2024-11-18T00:00:00"/>
    <n v="3.2118887823585809E-2"/>
    <n v="1.4313432835820896"/>
    <n v="7.3769230769230774"/>
    <n v="38.36"/>
    <n v="6.1001042752867569"/>
  </r>
  <r>
    <s v="A2552"/>
    <s v="Data Analytics Course"/>
    <n v="104"/>
    <n v="5926"/>
    <n v="224.63"/>
    <n v="17"/>
    <n v="8"/>
    <n v="4.5999999999999999E-2"/>
    <n v="1239"/>
    <d v="2024-11-24T00:00:00"/>
    <s v="Hyderabad"/>
    <x v="1"/>
    <s v="learn data analytics"/>
    <d v="2024-11-24T00:00:00"/>
    <n v="1.7549780627742154E-2"/>
    <n v="2.159903846153846"/>
    <n v="13.213529411764705"/>
    <n v="28.078749999999999"/>
    <n v="5.515736989716423"/>
  </r>
  <r>
    <s v="A2553"/>
    <s v="Data Analytics Course"/>
    <n v="139"/>
    <n v="5785"/>
    <n v="195.39"/>
    <n v="15"/>
    <n v="10"/>
    <n v="4.5999999999999999E-2"/>
    <n v="1296"/>
    <d v="2024-11-25T00:00:00"/>
    <s v="Hyderabad"/>
    <x v="2"/>
    <s v="analytics for data"/>
    <d v="2024-11-25T00:00:00"/>
    <n v="2.4027657735522904E-2"/>
    <n v="1.4056834532374101"/>
    <n v="13.026"/>
    <n v="19.538999999999998"/>
    <n v="6.6328880700138191"/>
  </r>
  <r>
    <s v="A2554"/>
    <s v="Data Analytics Course"/>
    <n v="160"/>
    <n v="5664"/>
    <n v="210.58"/>
    <n v="16"/>
    <n v="9"/>
    <n v="4.5999999999999999E-2"/>
    <n v="1836"/>
    <d v="2024-11-07T00:00:00"/>
    <s v="Hyderabad"/>
    <x v="1"/>
    <s v="data anaytics training"/>
    <d v="2024-11-07T00:00:00"/>
    <n v="2.8248587570621469E-2"/>
    <n v="1.316125"/>
    <n v="13.161250000000001"/>
    <n v="23.39777777777778"/>
    <n v="8.7187767119384549"/>
  </r>
  <r>
    <s v="A2555"/>
    <s v="Data Analytics Course"/>
    <n v="147"/>
    <n v="5930"/>
    <n v="248.18"/>
    <n v="22"/>
    <n v="10"/>
    <n v="6.8000000000000005E-2"/>
    <n v="1743"/>
    <s v="15-11-2024"/>
    <s v="Hyderabad"/>
    <x v="0"/>
    <s v="analytics for data"/>
    <d v="2024-11-15T00:00:00"/>
    <n v="2.4789207419898821E-2"/>
    <n v="1.6882993197278913"/>
    <n v="11.280909090909091"/>
    <n v="24.818000000000001"/>
    <n v="7.0231283745668467"/>
  </r>
  <r>
    <s v="A2556"/>
    <s v="Data Analytics Course"/>
    <n v="196"/>
    <n v="3656"/>
    <n v="240.44"/>
    <n v="15"/>
    <n v="6"/>
    <n v="5.1999999999999998E-2"/>
    <n v="1894"/>
    <d v="2024-03-11T00:00:00"/>
    <s v="Hyderabad"/>
    <x v="2"/>
    <s v="analytics for data"/>
    <d v="2024-03-11T00:00:00"/>
    <n v="5.3610503282275714E-2"/>
    <n v="1.226734693877551"/>
    <n v="16.029333333333334"/>
    <n v="40.073333333333331"/>
    <n v="7.8772250873398768"/>
  </r>
  <r>
    <s v="A2557"/>
    <s v="Data Analytics Course"/>
    <n v="159"/>
    <n v="5078"/>
    <n v="182.57"/>
    <n v="30"/>
    <n v="8"/>
    <n v="0.05"/>
    <n v="1541"/>
    <d v="2024-11-09T00:00:00"/>
    <s v="Hyderabad"/>
    <x v="1"/>
    <s v="data analytics course"/>
    <d v="2024-11-09T00:00:00"/>
    <n v="3.1311539976368652E-2"/>
    <n v="1.1482389937106918"/>
    <n v="6.0856666666666666"/>
    <n v="22.821249999999999"/>
    <n v="8.4405981267459058"/>
  </r>
  <r>
    <s v="A2558"/>
    <s v="Data Analytics Course"/>
    <n v="104"/>
    <n v="5257"/>
    <n v="220.44"/>
    <n v="17"/>
    <n v="7"/>
    <n v="5.1999999999999998E-2"/>
    <n v="1462"/>
    <d v="2024-11-27T00:00:00"/>
    <s v="Hyderabad"/>
    <x v="1"/>
    <s v="data analitics online"/>
    <d v="2024-11-27T00:00:00"/>
    <n v="1.9783146281148946E-2"/>
    <n v="2.1196153846153845"/>
    <n v="12.967058823529412"/>
    <n v="31.491428571428571"/>
    <n v="6.6321901651242969"/>
  </r>
  <r>
    <s v="A2559"/>
    <s v="Data Analytics Course"/>
    <n v="135"/>
    <n v="5582"/>
    <n v="209.14"/>
    <n v="28"/>
    <n v="5"/>
    <n v="3.6999999999999998E-2"/>
    <n v="1912"/>
    <s v="25-11-2024"/>
    <s v="Hyderabad"/>
    <x v="2"/>
    <s v="online data analytic"/>
    <d v="2024-11-25T00:00:00"/>
    <n v="2.4184879971336438E-2"/>
    <n v="1.549185185185185"/>
    <n v="7.4692857142857134"/>
    <n v="41.827999999999996"/>
    <n v="9.1422013961939381"/>
  </r>
  <r>
    <s v="A2560"/>
    <s v="Data Analytics Course"/>
    <n v="92"/>
    <n v="3097"/>
    <n v="232.27"/>
    <n v="21"/>
    <n v="7"/>
    <n v="4.5999999999999999E-2"/>
    <n v="1905"/>
    <s v="14-11-2024"/>
    <s v="Hyderabad"/>
    <x v="0"/>
    <s v="analytics for data"/>
    <d v="2024-11-14T00:00:00"/>
    <n v="2.9706167258637391E-2"/>
    <n v="2.5246739130434785"/>
    <n v="11.060476190476191"/>
    <n v="33.181428571428576"/>
    <n v="8.2016618590433552"/>
  </r>
  <r>
    <s v="A2561"/>
    <s v="Data Analytics Course"/>
    <n v="136"/>
    <n v="3657"/>
    <n v="236.19"/>
    <n v="12"/>
    <n v="5"/>
    <n v="3.6999999999999998E-2"/>
    <n v="1425"/>
    <d v="2024-11-06T00:00:00"/>
    <s v="Hyderabad"/>
    <x v="1"/>
    <s v="online data analytic"/>
    <d v="2024-11-06T00:00:00"/>
    <n v="3.7188952693464589E-2"/>
    <n v="1.7366911764705881"/>
    <n v="19.682500000000001"/>
    <n v="47.238"/>
    <n v="6.0332782928997846"/>
  </r>
  <r>
    <s v="A2562"/>
    <s v="Data Analytics Course"/>
    <n v="135"/>
    <n v="3198"/>
    <n v="227.48"/>
    <n v="20"/>
    <n v="6"/>
    <n v="4.3999999999999997E-2"/>
    <n v="1882"/>
    <d v="2024-11-09T00:00:00"/>
    <s v="Hyderabad"/>
    <x v="0"/>
    <s v="online data analytic"/>
    <d v="2024-11-09T00:00:00"/>
    <n v="4.2213883677298308E-2"/>
    <n v="1.6850370370370369"/>
    <n v="11.373999999999999"/>
    <n v="37.913333333333334"/>
    <n v="8.2732547916300341"/>
  </r>
  <r>
    <s v="A2563"/>
    <s v="Data Analytics Course"/>
    <n v="91"/>
    <n v="5017"/>
    <n v="239.34"/>
    <n v="15"/>
    <n v="5"/>
    <n v="5.5E-2"/>
    <n v="1505"/>
    <d v="2024-02-11T00:00:00"/>
    <s v="Hyderabad"/>
    <x v="2"/>
    <s v="analytics for data"/>
    <d v="2024-02-11T00:00:00"/>
    <n v="1.8138329679091091E-2"/>
    <n v="2.6301098901098903"/>
    <n v="15.956"/>
    <n v="47.868000000000002"/>
    <n v="6.2881256789504469"/>
  </r>
  <r>
    <s v="A2564"/>
    <s v="Data Analytics Course"/>
    <n v="181"/>
    <n v="5343"/>
    <n v="244.02"/>
    <n v="30"/>
    <n v="9"/>
    <n v="3.7999999999999999E-2"/>
    <n v="1639"/>
    <d v="2024-11-26T00:00:00"/>
    <s v="Hyderabad"/>
    <x v="1"/>
    <s v="learn data analytics"/>
    <d v="2024-11-26T00:00:00"/>
    <n v="3.3876099569530228E-2"/>
    <n v="1.3481767955801105"/>
    <n v="8.1340000000000003"/>
    <n v="27.113333333333333"/>
    <n v="6.7166625686419144"/>
  </r>
  <r>
    <s v="A2565"/>
    <s v="Data Analytics Course"/>
    <n v="139"/>
    <n v="4896"/>
    <n v="207.51"/>
    <n v="17"/>
    <n v="7"/>
    <n v="4.5999999999999999E-2"/>
    <n v="1505"/>
    <d v="2024-11-11T00:00:00"/>
    <s v="Hyderabad"/>
    <x v="1"/>
    <s v="data analitics online"/>
    <d v="2024-11-11T00:00:00"/>
    <n v="2.8390522875816993E-2"/>
    <n v="1.4928776978417266"/>
    <n v="12.206470588235293"/>
    <n v="29.644285714285711"/>
    <n v="7.2526625222880829"/>
  </r>
  <r>
    <s v="A2566"/>
    <s v="Data Analytics Course"/>
    <n v="80"/>
    <n v="5756"/>
    <n v="205.38"/>
    <n v="16"/>
    <n v="4"/>
    <n v="0.05"/>
    <n v="1778"/>
    <d v="2024-11-20T00:00:00"/>
    <s v="Hyderabad"/>
    <x v="0"/>
    <s v="online data analytic"/>
    <d v="2024-11-20T00:00:00"/>
    <n v="1.3898540653231411E-2"/>
    <n v="2.56725"/>
    <n v="12.83625"/>
    <n v="51.344999999999999"/>
    <n v="8.657123381049761"/>
  </r>
  <r>
    <s v="A2567"/>
    <s v="Data Analytics Course"/>
    <n v="155"/>
    <n v="5696"/>
    <n v="236.44"/>
    <n v="13"/>
    <n v="3"/>
    <n v="1.9E-2"/>
    <n v="1207"/>
    <d v="2024-11-23T00:00:00"/>
    <s v="Hyderabad"/>
    <x v="1"/>
    <s v="data analitics online"/>
    <d v="2024-11-23T00:00:00"/>
    <n v="2.7212078651685394E-2"/>
    <n v="1.5254193548387096"/>
    <n v="18.187692307692309"/>
    <n v="78.813333333333333"/>
    <n v="5.1048891896464221"/>
  </r>
  <r>
    <s v="A2568"/>
    <s v="Data Analytics Course"/>
    <n v="114"/>
    <n v="5683"/>
    <n v="214.42"/>
    <n v="20"/>
    <n v="8"/>
    <n v="7.0000000000000007E-2"/>
    <n v="1474"/>
    <d v="2024-11-08T00:00:00"/>
    <s v="Hyderabad"/>
    <x v="1"/>
    <s v="learn data analytics"/>
    <d v="2024-11-08T00:00:00"/>
    <n v="2.0059827555868378E-2"/>
    <n v="1.8808771929824559"/>
    <n v="10.721"/>
    <n v="26.802499999999998"/>
    <n v="6.8743587351926134"/>
  </r>
  <r>
    <s v="A2569"/>
    <s v="Data Analytics Course"/>
    <n v="98"/>
    <n v="4669"/>
    <n v="205.72"/>
    <n v="16"/>
    <n v="6"/>
    <n v="6.0999999999999999E-2"/>
    <n v="1767"/>
    <d v="2024-11-30T00:00:00"/>
    <s v="Hyderabad"/>
    <x v="0"/>
    <s v="analytics for data"/>
    <d v="2024-11-30T00:00:00"/>
    <n v="2.0989505247376312E-2"/>
    <n v="2.0991836734693878"/>
    <n v="12.8575"/>
    <n v="34.286666666666669"/>
    <n v="8.5893447404238774"/>
  </r>
  <r>
    <s v="A2570"/>
    <s v="Data Analytics Course"/>
    <n v="125"/>
    <n v="3807"/>
    <n v="234.92"/>
    <n v="11"/>
    <n v="6"/>
    <n v="4.8000000000000001E-2"/>
    <n v="1505"/>
    <d v="2024-11-29T00:00:00"/>
    <s v="Hyderabad"/>
    <x v="1"/>
    <s v="online data analytic"/>
    <d v="2024-11-29T00:00:00"/>
    <n v="3.2834252692408722E-2"/>
    <n v="1.8793599999999999"/>
    <n v="21.356363636363636"/>
    <n v="39.153333333333329"/>
    <n v="6.4064362336114424"/>
  </r>
  <r>
    <s v="A2571"/>
    <s v="Data Analytics Course"/>
    <n v="160"/>
    <n v="3163"/>
    <n v="238.95"/>
    <n v="20"/>
    <n v="8"/>
    <n v="0.05"/>
    <n v="1569"/>
    <d v="2024-11-26T00:00:00"/>
    <s v="Hyderabad"/>
    <x v="0"/>
    <s v="online data analytic"/>
    <d v="2024-11-26T00:00:00"/>
    <n v="5.0584887764780269E-2"/>
    <n v="1.4934375"/>
    <n v="11.9475"/>
    <n v="29.868749999999999"/>
    <n v="6.566227244193346"/>
  </r>
  <r>
    <s v="A2572"/>
    <s v="Data Analytics Course"/>
    <n v="175"/>
    <n v="3732"/>
    <n v="231.25"/>
    <n v="16"/>
    <n v="10"/>
    <n v="5.7000000000000002E-2"/>
    <n v="1014"/>
    <d v="2024-11-15T00:00:00"/>
    <s v="Hyderabad"/>
    <x v="1"/>
    <s v="learn data analytics"/>
    <d v="2024-11-15T00:00:00"/>
    <n v="4.6891747052518758E-2"/>
    <n v="1.3214285714285714"/>
    <n v="14.453125"/>
    <n v="23.125"/>
    <n v="4.3848648648648645"/>
  </r>
  <r>
    <s v="A2573"/>
    <s v="Data Analytics Course"/>
    <n v="123"/>
    <n v="3860"/>
    <n v="224.63"/>
    <n v="24"/>
    <n v="8"/>
    <n v="6.5000000000000002E-2"/>
    <n v="1800"/>
    <d v="2024-11-15T00:00:00"/>
    <s v="Hyderabad"/>
    <x v="0"/>
    <s v="analytics for data"/>
    <d v="2024-11-15T00:00:00"/>
    <n v="3.1865284974093265E-2"/>
    <n v="1.8262601626016259"/>
    <n v="9.3595833333333331"/>
    <n v="28.078749999999999"/>
    <n v="8.0131772247696205"/>
  </r>
  <r>
    <s v="A2574"/>
    <s v="Data Analytics Course"/>
    <n v="106"/>
    <n v="3196"/>
    <n v="212.12"/>
    <n v="15"/>
    <n v="6"/>
    <n v="4.5999999999999999E-2"/>
    <n v="1314"/>
    <d v="2024-11-23T00:00:00"/>
    <s v="Hyderabad"/>
    <x v="2"/>
    <s v="analytics for data"/>
    <d v="2024-11-23T00:00:00"/>
    <n v="3.3166458072590742E-2"/>
    <n v="2.0011320754716984"/>
    <n v="14.141333333333334"/>
    <n v="35.353333333333332"/>
    <n v="6.1946068263247218"/>
  </r>
  <r>
    <s v="A2575"/>
    <s v="Data Analytics Course"/>
    <n v="139"/>
    <n v="3322"/>
    <n v="205.85"/>
    <n v="24"/>
    <n v="4"/>
    <n v="4.5999999999999999E-2"/>
    <n v="1031"/>
    <d v="2024-09-11T00:00:00"/>
    <s v="Hyderabad"/>
    <x v="2"/>
    <s v="data anaytics training"/>
    <d v="2024-09-11T00:00:00"/>
    <n v="4.1842263696568335E-2"/>
    <n v="1.480935251798561"/>
    <n v="8.5770833333333325"/>
    <n v="51.462499999999999"/>
    <n v="5.0085013359242172"/>
  </r>
  <r>
    <s v="A2576"/>
    <s v="Data Analytics Course"/>
    <n v="185"/>
    <n v="5121"/>
    <n v="215.46"/>
    <n v="12"/>
    <n v="9"/>
    <n v="4.9000000000000002E-2"/>
    <n v="1724"/>
    <d v="2024-02-11T00:00:00"/>
    <s v="Hyderabad"/>
    <x v="1"/>
    <s v="data analytics course"/>
    <d v="2024-02-11T00:00:00"/>
    <n v="3.6125756688146847E-2"/>
    <n v="1.1646486486486487"/>
    <n v="17.955000000000002"/>
    <n v="23.94"/>
    <n v="8.0014851944676497"/>
  </r>
  <r>
    <s v="A2577"/>
    <s v="Data Analytics Course"/>
    <n v="139"/>
    <n v="5610"/>
    <n v="239.44"/>
    <n v="17"/>
    <n v="6"/>
    <n v="4.2999999999999997E-2"/>
    <n v="1548"/>
    <s v="14-11-2024"/>
    <s v="Hyderabad"/>
    <x v="2"/>
    <s v="online data analytic"/>
    <d v="2024-11-14T00:00:00"/>
    <n v="2.4777183600713012E-2"/>
    <n v="1.7225899280575538"/>
    <n v="14.084705882352941"/>
    <n v="39.906666666666666"/>
    <n v="6.4650851987971931"/>
  </r>
  <r>
    <s v="A2578"/>
    <s v="Data Analytics Course"/>
    <n v="174"/>
    <n v="3890"/>
    <n v="186.04"/>
    <n v="28"/>
    <n v="7"/>
    <n v="0.04"/>
    <n v="1793"/>
    <d v="2024-11-21T00:00:00"/>
    <s v="Hyderabad"/>
    <x v="2"/>
    <s v="online data analytic"/>
    <d v="2024-11-21T00:00:00"/>
    <n v="4.4730077120822623E-2"/>
    <n v="1.0691954022988506"/>
    <n v="6.6442857142857141"/>
    <n v="26.577142857142857"/>
    <n v="9.6377123199311985"/>
  </r>
  <r>
    <s v="A2579"/>
    <s v="Data Analytics Course"/>
    <n v="157"/>
    <n v="4671"/>
    <n v="248.17"/>
    <n v="14"/>
    <n v="7"/>
    <n v="4.4999999999999998E-2"/>
    <n v="1247"/>
    <d v="2024-11-03T00:00:00"/>
    <s v="Hyderabad"/>
    <x v="1"/>
    <s v="data anaytics training"/>
    <d v="2024-11-03T00:00:00"/>
    <n v="3.3611646328409336E-2"/>
    <n v="1.580700636942675"/>
    <n v="17.726428571428571"/>
    <n v="35.452857142857141"/>
    <n v="5.0247813998468791"/>
  </r>
  <r>
    <s v="A2580"/>
    <s v="Data Analytics Course"/>
    <n v="160"/>
    <n v="5438"/>
    <n v="197.5"/>
    <n v="16"/>
    <n v="6"/>
    <n v="3.6999999999999998E-2"/>
    <n v="1752"/>
    <d v="2024-03-11T00:00:00"/>
    <s v="Hyderabad"/>
    <x v="2"/>
    <s v="data analytics course"/>
    <d v="2024-03-11T00:00:00"/>
    <n v="2.942258183155572E-2"/>
    <n v="1.234375"/>
    <n v="12.34375"/>
    <n v="32.916666666666664"/>
    <n v="8.8708860759493664"/>
  </r>
  <r>
    <s v="A2581"/>
    <s v="Data Analytics Course"/>
    <n v="198"/>
    <n v="4726"/>
    <n v="185.13"/>
    <n v="14"/>
    <n v="7"/>
    <n v="4.5999999999999999E-2"/>
    <n v="1580"/>
    <s v="17-11-2024"/>
    <s v="Hyderabad"/>
    <x v="2"/>
    <s v="learn data analytics"/>
    <d v="2024-11-17T00:00:00"/>
    <n v="4.1895895048666948E-2"/>
    <n v="0.93499999999999994"/>
    <n v="13.223571428571429"/>
    <n v="26.447142857142858"/>
    <n v="8.5345432939015833"/>
  </r>
  <r>
    <s v="A2582"/>
    <s v="Data Analytics Course"/>
    <n v="144"/>
    <n v="5301"/>
    <n v="195.83"/>
    <n v="12"/>
    <n v="3"/>
    <n v="4.5999999999999999E-2"/>
    <n v="1654"/>
    <s v="27-11-2024"/>
    <s v="Hyderabad"/>
    <x v="2"/>
    <s v="data analitics online"/>
    <d v="2024-11-27T00:00:00"/>
    <n v="2.7164685908319185E-2"/>
    <n v="1.3599305555555556"/>
    <n v="16.319166666666668"/>
    <n v="65.276666666666671"/>
    <n v="8.4461012102333655"/>
  </r>
  <r>
    <s v="A2583"/>
    <s v="Data Analytics Course"/>
    <n v="187"/>
    <n v="3722"/>
    <n v="182.43"/>
    <n v="27"/>
    <n v="7"/>
    <n v="3.6999999999999998E-2"/>
    <n v="1613"/>
    <s v="20-11-2024"/>
    <s v="Hyderabad"/>
    <x v="1"/>
    <s v="data anaytics training"/>
    <d v="2024-11-20T00:00:00"/>
    <n v="5.0241805480924231E-2"/>
    <n v="0.97556149732620323"/>
    <n v="6.7566666666666668"/>
    <n v="26.061428571428571"/>
    <n v="8.8417475195965576"/>
  </r>
  <r>
    <s v="A2584"/>
    <s v="Data Analytics Course"/>
    <n v="139"/>
    <n v="3944"/>
    <n v="215.57"/>
    <n v="29"/>
    <n v="3"/>
    <n v="2.1999999999999999E-2"/>
    <n v="1863"/>
    <d v="2024-11-04T00:00:00"/>
    <s v="Hyderabad"/>
    <x v="2"/>
    <s v="analytics for data"/>
    <d v="2024-11-04T00:00:00"/>
    <n v="3.5243407707910748E-2"/>
    <n v="1.5508633093525179"/>
    <n v="7.4334482758620686"/>
    <n v="71.856666666666669"/>
    <n v="8.6422043883657285"/>
  </r>
  <r>
    <s v="A2585"/>
    <s v="Data Analytics Course"/>
    <n v="194"/>
    <n v="5123"/>
    <n v="180.01"/>
    <n v="27"/>
    <n v="5"/>
    <n v="3.5999999999999997E-2"/>
    <n v="1978"/>
    <d v="2024-05-11T00:00:00"/>
    <s v="Hyderabad"/>
    <x v="1"/>
    <s v="learn data analytics"/>
    <d v="2024-05-11T00:00:00"/>
    <n v="3.7868436463009955E-2"/>
    <n v="0.92788659793814432"/>
    <n v="6.6670370370370371"/>
    <n v="36.001999999999995"/>
    <n v="10.988278428976168"/>
  </r>
  <r>
    <s v="A2586"/>
    <s v="Data Analytics Course"/>
    <n v="157"/>
    <n v="4127"/>
    <n v="200.44"/>
    <n v="30"/>
    <n v="8"/>
    <n v="5.8000000000000003E-2"/>
    <n v="1044"/>
    <d v="2024-11-15T00:00:00"/>
    <s v="Hyderabad"/>
    <x v="0"/>
    <s v="data anaytics training"/>
    <d v="2024-11-15T00:00:00"/>
    <n v="3.8042161376302397E-2"/>
    <n v="1.276687898089172"/>
    <n v="6.6813333333333329"/>
    <n v="25.055"/>
    <n v="5.2085412093394536"/>
  </r>
  <r>
    <s v="A2587"/>
    <s v="Data Analytics Course"/>
    <n v="112"/>
    <n v="4944"/>
    <n v="233.83"/>
    <n v="19"/>
    <n v="4"/>
    <n v="3.5999999999999997E-2"/>
    <n v="1296"/>
    <d v="2024-11-27T00:00:00"/>
    <s v="Hyderabad"/>
    <x v="2"/>
    <s v="data anaytics training"/>
    <d v="2024-11-27T00:00:00"/>
    <n v="2.2653721682847898E-2"/>
    <n v="2.0877678571428571"/>
    <n v="12.306842105263158"/>
    <n v="58.457500000000003"/>
    <n v="5.542488132403883"/>
  </r>
  <r>
    <s v="A2588"/>
    <s v="Data Analytics Course"/>
    <n v="82"/>
    <n v="4534"/>
    <n v="203.89"/>
    <n v="10"/>
    <n v="6"/>
    <n v="7.2999999999999995E-2"/>
    <n v="1589"/>
    <d v="2024-11-26T00:00:00"/>
    <s v="Hyderabad"/>
    <x v="2"/>
    <s v="online data analytic"/>
    <d v="2024-11-26T00:00:00"/>
    <n v="1.8085575650639611E-2"/>
    <n v="2.4864634146341462"/>
    <n v="20.388999999999999"/>
    <n v="33.981666666666662"/>
    <n v="7.7934180195203302"/>
  </r>
  <r>
    <s v="A2589"/>
    <s v="Data Analytics Course"/>
    <n v="152"/>
    <n v="5894"/>
    <n v="219.23"/>
    <n v="14"/>
    <n v="5"/>
    <n v="3.3000000000000002E-2"/>
    <n v="1641"/>
    <d v="2024-11-13T00:00:00"/>
    <s v="Hyderabad"/>
    <x v="1"/>
    <s v="data anaytics training"/>
    <d v="2024-11-13T00:00:00"/>
    <n v="2.5788937902952155E-2"/>
    <n v="1.4423026315789473"/>
    <n v="15.659285714285714"/>
    <n v="43.845999999999997"/>
    <n v="7.4852894220681483"/>
  </r>
  <r>
    <s v="A2590"/>
    <s v="Data Analytics Course"/>
    <n v="81"/>
    <n v="5545"/>
    <n v="212.89"/>
    <n v="11"/>
    <n v="5"/>
    <n v="6.2E-2"/>
    <n v="1818"/>
    <s v="15-11-2024"/>
    <s v="Hyderabad"/>
    <x v="1"/>
    <s v="data analitics online"/>
    <d v="2024-11-15T00:00:00"/>
    <n v="1.460775473399459E-2"/>
    <n v="2.6282716049382713"/>
    <n v="19.353636363636362"/>
    <n v="42.577999999999996"/>
    <n v="8.5396214007233784"/>
  </r>
  <r>
    <s v="A2591"/>
    <s v="Data Analytics Course"/>
    <n v="84"/>
    <n v="5573"/>
    <n v="215.57"/>
    <n v="23"/>
    <n v="6"/>
    <n v="7.0999999999999994E-2"/>
    <n v="1656"/>
    <d v="2024-11-12T00:00:00"/>
    <s v="Hyderabad"/>
    <x v="0"/>
    <s v="online data analytic"/>
    <d v="2024-11-12T00:00:00"/>
    <n v="1.5072671810514983E-2"/>
    <n v="2.5663095238095237"/>
    <n v="9.3726086956521737"/>
    <n v="35.928333333333335"/>
    <n v="7.6819594563250915"/>
  </r>
  <r>
    <s v="A2592"/>
    <s v="Data Analytics Course"/>
    <n v="117"/>
    <n v="3039"/>
    <n v="223.72"/>
    <n v="27"/>
    <n v="8"/>
    <n v="6.8000000000000005E-2"/>
    <n v="1340"/>
    <d v="2024-11-14T00:00:00"/>
    <s v="Hyderabad"/>
    <x v="1"/>
    <s v="data anaytics training"/>
    <d v="2024-11-14T00:00:00"/>
    <n v="3.8499506416584402E-2"/>
    <n v="1.912136752136752"/>
    <n v="8.285925925925925"/>
    <n v="27.965"/>
    <n v="5.9896298945109958"/>
  </r>
  <r>
    <s v="A2593"/>
    <s v="Data Analytics Course"/>
    <n v="82"/>
    <n v="3556"/>
    <n v="215.57"/>
    <n v="16"/>
    <n v="5"/>
    <n v="6.0999999999999999E-2"/>
    <n v="1331"/>
    <d v="2024-11-17T00:00:00"/>
    <s v="Hyderabad"/>
    <x v="1"/>
    <s v="data analitics online"/>
    <d v="2024-11-17T00:00:00"/>
    <n v="2.3059617547806523E-2"/>
    <n v="2.6289024390243902"/>
    <n v="13.473125"/>
    <n v="43.113999999999997"/>
    <n v="6.1743285243772323"/>
  </r>
  <r>
    <s v="A2594"/>
    <s v="Data Analytics Course"/>
    <n v="192"/>
    <n v="4920"/>
    <n v="192.15"/>
    <n v="18"/>
    <n v="10"/>
    <n v="5.1999999999999998E-2"/>
    <n v="1665"/>
    <d v="2024-11-09T00:00:00"/>
    <s v="Hyderabad"/>
    <x v="1"/>
    <s v="data analitics online"/>
    <d v="2024-11-09T00:00:00"/>
    <n v="3.9024390243902439E-2"/>
    <n v="1.00078125"/>
    <n v="10.675000000000001"/>
    <n v="19.215"/>
    <n v="8.6651053864168617"/>
  </r>
  <r>
    <s v="A2595"/>
    <s v="Data Analytics Course"/>
    <n v="131"/>
    <n v="3187"/>
    <n v="234.53"/>
    <n v="24"/>
    <n v="10"/>
    <n v="4.5999999999999999E-2"/>
    <n v="1656"/>
    <d v="2024-07-11T00:00:00"/>
    <s v="Hyderabad"/>
    <x v="1"/>
    <s v="data analytics course"/>
    <d v="2024-07-11T00:00:00"/>
    <n v="4.1104486978349543E-2"/>
    <n v="1.7903053435114504"/>
    <n v="9.7720833333333328"/>
    <n v="23.452999999999999"/>
    <n v="7.0609303713810601"/>
  </r>
  <r>
    <s v="A2596"/>
    <s v="Data Analytics Course"/>
    <n v="177"/>
    <n v="3238"/>
    <n v="189.61"/>
    <n v="29"/>
    <n v="7"/>
    <n v="0.05"/>
    <n v="1925"/>
    <s v="27-11-2024"/>
    <s v="Hyderabad"/>
    <x v="2"/>
    <s v="data analitics online"/>
    <d v="2024-11-27T00:00:00"/>
    <n v="5.4663372452130946E-2"/>
    <n v="1.0712429378531074"/>
    <n v="6.538275862068966"/>
    <n v="27.087142857142858"/>
    <n v="10.152418121407099"/>
  </r>
  <r>
    <s v="A2597"/>
    <s v="Data Analytics Course"/>
    <n v="139"/>
    <n v="4518.5"/>
    <n v="182.66"/>
    <n v="22"/>
    <n v="10"/>
    <n v="4.5999999999999999E-2"/>
    <n v="1482"/>
    <d v="2024-11-24T00:00:00"/>
    <s v="Hyderabad"/>
    <x v="0"/>
    <s v="learn data analytics"/>
    <d v="2024-11-24T00:00:00"/>
    <n v="3.0762421157463759E-2"/>
    <n v="1.3141007194244605"/>
    <n v="8.3027272727272727"/>
    <n v="18.265999999999998"/>
    <n v="8.113434796890397"/>
  </r>
  <r>
    <s v="A2598"/>
    <s v="Data Analytics Course"/>
    <n v="147"/>
    <n v="4507"/>
    <n v="190.42"/>
    <n v="27"/>
    <n v="8"/>
    <n v="5.3999999999999999E-2"/>
    <n v="1073"/>
    <d v="2024-11-05T00:00:00"/>
    <s v="Hyderabad"/>
    <x v="0"/>
    <s v="learn data analytics"/>
    <d v="2024-11-05T00:00:00"/>
    <n v="3.2615930774351008E-2"/>
    <n v="1.2953741496598639"/>
    <n v="7.0525925925925925"/>
    <n v="23.802499999999998"/>
    <n v="5.634912299128243"/>
  </r>
  <r>
    <s v="A2599"/>
    <s v="Data Analytics Course"/>
    <n v="143"/>
    <n v="3606"/>
    <n v="200.29"/>
    <n v="20"/>
    <n v="3"/>
    <n v="3.5000000000000003E-2"/>
    <n v="1550"/>
    <s v="20-11-2024"/>
    <s v="Hyderabad"/>
    <x v="1"/>
    <s v="learn data analytics"/>
    <d v="2024-11-20T00:00:00"/>
    <n v="3.9656128674431503E-2"/>
    <n v="1.4006293706293707"/>
    <n v="10.0145"/>
    <n v="66.763333333333335"/>
    <n v="7.7387787707823659"/>
  </r>
  <r>
    <s v="A2600"/>
    <s v="Data Analytics Course"/>
    <n v="139"/>
    <n v="3355"/>
    <n v="186.9"/>
    <n v="20"/>
    <n v="4"/>
    <n v="4.5999999999999999E-2"/>
    <n v="1524"/>
    <d v="2024-11-10T00:00:00"/>
    <s v="Hyderabad"/>
    <x v="1"/>
    <s v="online data analytic"/>
    <d v="2024-11-10T00:00:00"/>
    <n v="4.1430700447093891E-2"/>
    <n v="1.3446043165467627"/>
    <n v="9.3450000000000006"/>
    <n v="46.725000000000001"/>
    <n v="8.1540930979133233"/>
  </r>
  <r>
    <s v="A2601"/>
    <s v="Data Analytics Course"/>
    <n v="160"/>
    <n v="3711"/>
    <n v="214.41"/>
    <n v="10"/>
    <n v="6"/>
    <n v="3.6999999999999998E-2"/>
    <n v="1550"/>
    <d v="2024-11-07T00:00:00"/>
    <s v="Hyderabad"/>
    <x v="1"/>
    <s v="analytics for data"/>
    <d v="2024-11-07T00:00:00"/>
    <n v="4.311506332524926E-2"/>
    <n v="1.3400624999999999"/>
    <n v="21.440999999999999"/>
    <n v="35.734999999999999"/>
    <n v="7.2291404318828416"/>
  </r>
  <r>
    <s v="A2602"/>
    <s v="Data Analytics Course"/>
    <n v="172"/>
    <n v="4841"/>
    <n v="234.94"/>
    <n v="28"/>
    <n v="8"/>
    <n v="4.5999999999999999E-2"/>
    <n v="1258"/>
    <d v="2024-11-12T00:00:00"/>
    <s v="Hyderabad"/>
    <x v="0"/>
    <s v="analytics for data"/>
    <d v="2024-11-12T00:00:00"/>
    <n v="3.5529849204709772E-2"/>
    <n v="1.3659302325581395"/>
    <n v="8.3907142857142851"/>
    <n v="29.3675"/>
    <n v="5.354558610709117"/>
  </r>
  <r>
    <s v="A2603"/>
    <s v="Data Analytics Course"/>
    <n v="95"/>
    <n v="5411"/>
    <n v="182.58"/>
    <n v="13"/>
    <n v="4"/>
    <n v="4.2000000000000003E-2"/>
    <n v="1111"/>
    <s v="30-11-2024"/>
    <s v="Hyderabad"/>
    <x v="2"/>
    <s v="data anaytics training"/>
    <d v="2024-11-30T00:00:00"/>
    <n v="1.7556828682313806E-2"/>
    <n v="1.9218947368421053"/>
    <n v="14.044615384615385"/>
    <n v="45.645000000000003"/>
    <n v="6.0850038339358088"/>
  </r>
  <r>
    <s v="A2604"/>
    <s v="Data Analytics Course"/>
    <n v="111"/>
    <n v="3520"/>
    <n v="237.4"/>
    <n v="13"/>
    <n v="3"/>
    <n v="2.7E-2"/>
    <n v="1395"/>
    <d v="2024-11-19T00:00:00"/>
    <s v="Hyderabad"/>
    <x v="1"/>
    <s v="online data analytic"/>
    <d v="2024-11-19T00:00:00"/>
    <n v="3.1534090909090907E-2"/>
    <n v="2.1387387387387387"/>
    <n v="18.261538461538461"/>
    <n v="79.13333333333334"/>
    <n v="5.8761583824768326"/>
  </r>
  <r>
    <s v="A2605"/>
    <s v="Data Analytics Course"/>
    <n v="171"/>
    <n v="3460"/>
    <n v="184.14"/>
    <n v="27"/>
    <n v="9"/>
    <n v="5.2999999999999999E-2"/>
    <n v="1565"/>
    <s v="16-11-2024"/>
    <s v="Hyderabad"/>
    <x v="2"/>
    <s v="data analitics online"/>
    <d v="2024-11-16T00:00:00"/>
    <n v="4.9421965317919078E-2"/>
    <n v="1.0768421052631578"/>
    <n v="6.8199999999999994"/>
    <n v="20.459999999999997"/>
    <n v="8.4989681763875318"/>
  </r>
  <r>
    <s v="A2606"/>
    <s v="Data Analytics Course"/>
    <n v="145"/>
    <n v="5875"/>
    <n v="221"/>
    <n v="14"/>
    <n v="7"/>
    <n v="4.8000000000000001E-2"/>
    <n v="1230"/>
    <d v="2024-11-24T00:00:00"/>
    <s v="Hyderabad"/>
    <x v="0"/>
    <s v="learn data analytics"/>
    <d v="2024-11-24T00:00:00"/>
    <n v="2.4680851063829789E-2"/>
    <n v="1.5241379310344827"/>
    <n v="15.785714285714286"/>
    <n v="31.571428571428573"/>
    <n v="5.5656108597285066"/>
  </r>
  <r>
    <s v="A2607"/>
    <s v="Data Analytics Course"/>
    <n v="118"/>
    <n v="3404"/>
    <n v="183.15"/>
    <n v="27"/>
    <n v="7"/>
    <n v="5.8999999999999997E-2"/>
    <n v="1489"/>
    <d v="2024-11-21T00:00:00"/>
    <s v="Hyderabad"/>
    <x v="2"/>
    <s v="learn data analytics"/>
    <d v="2024-11-21T00:00:00"/>
    <n v="3.4665099882491189E-2"/>
    <n v="1.5521186440677968"/>
    <n v="6.7833333333333332"/>
    <n v="26.164285714285715"/>
    <n v="8.1299481299481293"/>
  </r>
  <r>
    <s v="A2608"/>
    <s v="Data Analytics Course"/>
    <n v="171"/>
    <n v="3567"/>
    <n v="233.32"/>
    <n v="27"/>
    <n v="4"/>
    <n v="4.5999999999999999E-2"/>
    <n v="1271"/>
    <d v="2024-11-05T00:00:00"/>
    <s v="Hyderabad"/>
    <x v="0"/>
    <s v="analytics for data"/>
    <d v="2024-11-05T00:00:00"/>
    <n v="4.7939444911690499E-2"/>
    <n v="1.3644444444444443"/>
    <n v="8.6414814814814811"/>
    <n v="58.33"/>
    <n v="5.4474541402365855"/>
  </r>
  <r>
    <s v="A2609"/>
    <s v="Data Analytics Course"/>
    <n v="108"/>
    <n v="3628"/>
    <n v="185.68"/>
    <n v="24"/>
    <n v="8"/>
    <n v="7.3999999999999996E-2"/>
    <n v="1682"/>
    <d v="2024-11-19T00:00:00"/>
    <s v="Hyderabad"/>
    <x v="2"/>
    <s v="learn data analytics"/>
    <d v="2024-11-19T00:00:00"/>
    <n v="2.9768467475192944E-2"/>
    <n v="1.7192592592592593"/>
    <n v="7.7366666666666672"/>
    <n v="23.21"/>
    <n v="9.0585954330030152"/>
  </r>
  <r>
    <s v="A2610"/>
    <s v="Data Analytics Course"/>
    <n v="100"/>
    <n v="4994"/>
    <n v="206.32"/>
    <n v="21"/>
    <n v="7"/>
    <n v="0.04"/>
    <n v="1673"/>
    <d v="2024-11-20T00:00:00"/>
    <s v="Hyderabad"/>
    <x v="2"/>
    <s v="learn data analytics"/>
    <d v="2024-11-20T00:00:00"/>
    <n v="2.0024028834601523E-2"/>
    <n v="2.0632000000000001"/>
    <n v="9.824761904761905"/>
    <n v="29.474285714285713"/>
    <n v="8.1087630864676239"/>
  </r>
  <r>
    <s v="A2611"/>
    <s v="Data Analytics Course"/>
    <n v="138"/>
    <n v="5758"/>
    <n v="193.53"/>
    <n v="14"/>
    <n v="4"/>
    <n v="2.9000000000000001E-2"/>
    <n v="1902"/>
    <d v="2024-11-15T00:00:00"/>
    <s v="Hyderabad"/>
    <x v="2"/>
    <s v="analytics for data"/>
    <d v="2024-11-15T00:00:00"/>
    <n v="2.396665508857242E-2"/>
    <n v="1.402391304347826"/>
    <n v="13.823571428571428"/>
    <n v="48.3825"/>
    <n v="9.8279336536971016"/>
  </r>
  <r>
    <s v="A2612"/>
    <s v="Data Analytics Course"/>
    <n v="88"/>
    <n v="3382"/>
    <n v="198.62"/>
    <n v="25"/>
    <n v="9"/>
    <n v="0.10199999999999999"/>
    <n v="1599"/>
    <d v="2024-10-11T00:00:00"/>
    <s v="Hyderabad"/>
    <x v="0"/>
    <s v="data anaytics training"/>
    <d v="2024-10-11T00:00:00"/>
    <n v="2.6020106445890007E-2"/>
    <n v="2.2570454545454548"/>
    <n v="7.9447999999999999"/>
    <n v="22.068888888888889"/>
    <n v="8.050548786627731"/>
  </r>
  <r>
    <s v="A2613"/>
    <s v="Data Analytics Course"/>
    <n v="125"/>
    <n v="3652"/>
    <n v="186.61"/>
    <n v="29"/>
    <n v="10"/>
    <n v="0.08"/>
    <n v="1017"/>
    <d v="2024-11-29T00:00:00"/>
    <s v="Hyderabad"/>
    <x v="1"/>
    <s v="learn data analytics"/>
    <d v="2024-11-29T00:00:00"/>
    <n v="3.4227820372398687E-2"/>
    <n v="1.4928800000000002"/>
    <n v="6.4348275862068967"/>
    <n v="18.661000000000001"/>
    <n v="5.4498687101441501"/>
  </r>
  <r>
    <s v="A2614"/>
    <s v="Data Analytics Course"/>
    <n v="169"/>
    <n v="4120"/>
    <n v="215.75"/>
    <n v="27"/>
    <n v="5"/>
    <n v="0.03"/>
    <n v="1362"/>
    <d v="2024-11-19T00:00:00"/>
    <s v="Hyderabad"/>
    <x v="1"/>
    <s v="analytics for data"/>
    <d v="2024-11-19T00:00:00"/>
    <n v="4.1019417475728154E-2"/>
    <n v="1.2766272189349113"/>
    <n v="7.9907407407407405"/>
    <n v="43.15"/>
    <n v="6.3128621089223635"/>
  </r>
  <r>
    <s v="A2615"/>
    <s v="Data Analytics Course"/>
    <n v="169"/>
    <n v="3142"/>
    <n v="236.79"/>
    <n v="18"/>
    <n v="7"/>
    <n v="4.1000000000000002E-2"/>
    <n v="1505"/>
    <d v="2024-11-06T00:00:00"/>
    <s v="Hyderabad"/>
    <x v="1"/>
    <s v="data analitics online"/>
    <d v="2024-11-06T00:00:00"/>
    <n v="5.3787396562698916E-2"/>
    <n v="1.4011242603550296"/>
    <n v="13.154999999999999"/>
    <n v="33.827142857142853"/>
    <n v="6.3558427298450102"/>
  </r>
  <r>
    <s v="A2616"/>
    <s v="Data Analytics Course"/>
    <n v="149"/>
    <n v="5726"/>
    <n v="235.72"/>
    <n v="17"/>
    <n v="7"/>
    <n v="4.7E-2"/>
    <n v="1902"/>
    <d v="2024-11-11T00:00:00"/>
    <s v="Hyderabad"/>
    <x v="1"/>
    <s v="data analitics online"/>
    <d v="2024-11-11T00:00:00"/>
    <n v="2.6021655606007683E-2"/>
    <n v="1.5820134228187919"/>
    <n v="13.865882352941176"/>
    <n v="33.674285714285716"/>
    <n v="8.06889529950789"/>
  </r>
  <r>
    <s v="A2617"/>
    <s v="Data Analytics Course"/>
    <n v="99"/>
    <n v="5938"/>
    <n v="183.49"/>
    <n v="30"/>
    <n v="3"/>
    <n v="0.03"/>
    <n v="1487"/>
    <s v="18-11-2024"/>
    <s v="Hyderabad"/>
    <x v="1"/>
    <s v="data analitics online"/>
    <d v="2024-11-18T00:00:00"/>
    <n v="1.6672280229033345E-2"/>
    <n v="1.8534343434343434"/>
    <n v="6.1163333333333334"/>
    <n v="61.163333333333334"/>
    <n v="8.1039838683306993"/>
  </r>
  <r>
    <s v="A2618"/>
    <s v="Data Analytics Course"/>
    <n v="177"/>
    <n v="3567"/>
    <n v="214.71"/>
    <n v="28"/>
    <n v="5"/>
    <n v="2.8000000000000001E-2"/>
    <n v="1001"/>
    <d v="2024-11-11T00:00:00"/>
    <s v="Hyderabad"/>
    <x v="2"/>
    <s v="analytics for data"/>
    <d v="2024-11-11T00:00:00"/>
    <n v="4.9621530698065602E-2"/>
    <n v="1.2130508474576271"/>
    <n v="7.6682142857142859"/>
    <n v="42.942"/>
    <n v="4.6621023706394666"/>
  </r>
  <r>
    <s v="A2619"/>
    <s v="Data Analytics Course"/>
    <n v="189"/>
    <n v="3215"/>
    <n v="224.53"/>
    <n v="23"/>
    <n v="7"/>
    <n v="5.1999999999999998E-2"/>
    <n v="1309"/>
    <d v="2024-11-15T00:00:00"/>
    <s v="Hyderabad"/>
    <x v="0"/>
    <s v="online data analytic"/>
    <d v="2024-11-15T00:00:00"/>
    <n v="5.8786936236391911E-2"/>
    <n v="1.1879894179894179"/>
    <n v="9.7621739130434779"/>
    <n v="32.075714285714284"/>
    <n v="5.8299559078964949"/>
  </r>
  <r>
    <s v="A2620"/>
    <s v="Data Analytics Course"/>
    <n v="94"/>
    <n v="5094"/>
    <n v="215.57"/>
    <n v="24"/>
    <n v="3"/>
    <n v="4.5999999999999999E-2"/>
    <n v="1974"/>
    <d v="2024-09-11T00:00:00"/>
    <s v="Hyderabad"/>
    <x v="0"/>
    <s v="online data analytic"/>
    <d v="2024-09-11T00:00:00"/>
    <n v="1.845308205732234E-2"/>
    <n v="2.2932978723404256"/>
    <n v="8.9820833333333336"/>
    <n v="71.856666666666669"/>
    <n v="9.1571183374309975"/>
  </r>
  <r>
    <s v="A2621"/>
    <s v="Data Analytics Course"/>
    <n v="191"/>
    <n v="3337"/>
    <n v="231"/>
    <n v="29"/>
    <n v="6"/>
    <n v="3.1E-2"/>
    <n v="1424"/>
    <d v="2024-11-18T00:00:00"/>
    <s v="Hyderabad"/>
    <x v="2"/>
    <s v="data analytics course"/>
    <d v="2024-11-18T00:00:00"/>
    <n v="5.7237039256817501E-2"/>
    <n v="1.2094240837696335"/>
    <n v="7.9655172413793105"/>
    <n v="38.5"/>
    <n v="6.1645021645021645"/>
  </r>
  <r>
    <s v="A2622"/>
    <s v="Data Analytics Course"/>
    <n v="83"/>
    <n v="4359"/>
    <n v="227.14"/>
    <n v="20"/>
    <n v="10"/>
    <n v="0.12"/>
    <n v="1505"/>
    <d v="2024-11-02T00:00:00"/>
    <s v="Hyderabad"/>
    <x v="0"/>
    <s v="data analitics online"/>
    <d v="2024-11-02T00:00:00"/>
    <n v="1.9041064464326681E-2"/>
    <n v="2.7366265060240962"/>
    <n v="11.356999999999999"/>
    <n v="22.713999999999999"/>
    <n v="6.6258695077925509"/>
  </r>
  <r>
    <s v="A2623"/>
    <s v="Data Analytics Course"/>
    <n v="148"/>
    <n v="4813"/>
    <n v="212.78"/>
    <n v="12"/>
    <n v="7"/>
    <n v="4.5999999999999999E-2"/>
    <n v="1833"/>
    <d v="2024-11-23T00:00:00"/>
    <s v="Hyderabad"/>
    <x v="1"/>
    <s v="online data analytic"/>
    <d v="2024-11-23T00:00:00"/>
    <n v="3.0750051942655308E-2"/>
    <n v="1.4377027027027027"/>
    <n v="17.731666666666666"/>
    <n v="30.397142857142857"/>
    <n v="8.6145314409248996"/>
  </r>
  <r>
    <s v="A2624"/>
    <s v="Data Analytics Course"/>
    <n v="125"/>
    <n v="4300"/>
    <n v="221.37"/>
    <n v="16"/>
    <n v="10"/>
    <n v="0.08"/>
    <n v="1066"/>
    <d v="2024-11-27T00:00:00"/>
    <s v="Hyderabad"/>
    <x v="2"/>
    <s v="data analytics course"/>
    <d v="2024-11-27T00:00:00"/>
    <n v="2.9069767441860465E-2"/>
    <n v="1.7709600000000001"/>
    <n v="13.835625"/>
    <n v="22.137"/>
    <n v="4.8154673171613132"/>
  </r>
  <r>
    <s v="A2625"/>
    <s v="Data Analytics Course"/>
    <n v="105"/>
    <n v="4094"/>
    <n v="183.47"/>
    <n v="11"/>
    <n v="6"/>
    <n v="4.5999999999999999E-2"/>
    <n v="1817"/>
    <d v="2024-11-25T00:00:00"/>
    <s v="Hyderabad"/>
    <x v="1"/>
    <s v="online data analytic"/>
    <d v="2024-11-25T00:00:00"/>
    <n v="2.5647288715192965E-2"/>
    <n v="1.7473333333333334"/>
    <n v="16.67909090909091"/>
    <n v="30.578333333333333"/>
    <n v="9.9035264620918948"/>
  </r>
  <r>
    <s v="A2626"/>
    <s v="Data Analytics Course"/>
    <n v="84"/>
    <n v="4263"/>
    <n v="234.62"/>
    <n v="29"/>
    <n v="9"/>
    <n v="0.107"/>
    <n v="1599"/>
    <s v="18-11-2024"/>
    <s v="Hyderabad"/>
    <x v="1"/>
    <s v="learn data analytics"/>
    <d v="2024-11-18T00:00:00"/>
    <n v="1.9704433497536946E-2"/>
    <n v="2.7930952380952383"/>
    <n v="8.0903448275862075"/>
    <n v="26.068888888888889"/>
    <n v="6.8152757650669162"/>
  </r>
  <r>
    <s v="A2627"/>
    <s v="Data Analytics Course"/>
    <n v="114"/>
    <n v="3472"/>
    <n v="242.89"/>
    <n v="16"/>
    <n v="10"/>
    <n v="4.5999999999999999E-2"/>
    <n v="1642"/>
    <d v="2024-11-28T00:00:00"/>
    <s v="Hyderabad"/>
    <x v="2"/>
    <s v="analytics for data"/>
    <d v="2024-11-28T00:00:00"/>
    <n v="3.2834101382488476E-2"/>
    <n v="2.130614035087719"/>
    <n v="15.180624999999999"/>
    <n v="24.288999999999998"/>
    <n v="6.7602618469265927"/>
  </r>
  <r>
    <s v="A2628"/>
    <s v="Data Analytics Course"/>
    <n v="129"/>
    <n v="4411"/>
    <n v="180.17"/>
    <n v="28"/>
    <n v="5"/>
    <n v="3.9E-2"/>
    <n v="1173"/>
    <d v="2024-10-11T00:00:00"/>
    <s v="Hyderabad"/>
    <x v="0"/>
    <s v="data analitics online"/>
    <d v="2024-10-11T00:00:00"/>
    <n v="2.9245069145318523E-2"/>
    <n v="1.3966666666666665"/>
    <n v="6.4346428571428564"/>
    <n v="36.033999999999999"/>
    <n v="6.5105178442582012"/>
  </r>
  <r>
    <s v="A2629"/>
    <s v="Data Analytics Course"/>
    <n v="128"/>
    <n v="4787"/>
    <n v="204.29"/>
    <n v="20"/>
    <n v="7"/>
    <n v="5.8999999999999997E-2"/>
    <n v="1880"/>
    <d v="2024-11-29T00:00:00"/>
    <s v="Hyderabad"/>
    <x v="0"/>
    <s v="data anaytics training"/>
    <d v="2024-11-29T00:00:00"/>
    <n v="2.6739085021934405E-2"/>
    <n v="1.5960156249999999"/>
    <n v="10.214499999999999"/>
    <n v="29.184285714285714"/>
    <n v="9.2026041411718644"/>
  </r>
  <r>
    <s v="A2630"/>
    <s v="Data Analytics Course"/>
    <n v="120"/>
    <n v="5915"/>
    <n v="241.95"/>
    <n v="26"/>
    <n v="3"/>
    <n v="4.5999999999999999E-2"/>
    <n v="1253"/>
    <d v="2024-11-25T00:00:00"/>
    <s v="Hyderabad"/>
    <x v="0"/>
    <s v="analytics for data"/>
    <d v="2024-11-25T00:00:00"/>
    <n v="2.0287404902789519E-2"/>
    <n v="2.0162499999999999"/>
    <n v="9.305769230769231"/>
    <n v="80.649999999999991"/>
    <n v="5.1787559413101887"/>
  </r>
  <r>
    <s v="A2631"/>
    <s v="Data Analytics Course"/>
    <n v="99"/>
    <n v="4111"/>
    <n v="192.09"/>
    <n v="14"/>
    <n v="5"/>
    <n v="4.5999999999999999E-2"/>
    <n v="1497"/>
    <d v="2024-11-19T00:00:00"/>
    <s v="Hyderabad"/>
    <x v="1"/>
    <s v="analytics for data"/>
    <d v="2024-11-19T00:00:00"/>
    <n v="2.4081731938701046E-2"/>
    <n v="1.9403030303030304"/>
    <n v="13.720714285714285"/>
    <n v="38.417999999999999"/>
    <n v="7.793221927221615"/>
  </r>
  <r>
    <s v="A2632"/>
    <s v="Data Analytics Course"/>
    <n v="180"/>
    <n v="3305"/>
    <n v="187.59"/>
    <n v="14"/>
    <n v="10"/>
    <n v="5.6000000000000001E-2"/>
    <n v="1505"/>
    <d v="2024-11-19T00:00:00"/>
    <s v="Hyderabad"/>
    <x v="0"/>
    <s v="data analitics online"/>
    <d v="2024-11-19T00:00:00"/>
    <n v="5.4462934947049922E-2"/>
    <n v="1.0421666666666667"/>
    <n v="13.399285714285714"/>
    <n v="18.759"/>
    <n v="8.0228157151234072"/>
  </r>
  <r>
    <s v="A2633"/>
    <s v="Data Analytics Course"/>
    <n v="154"/>
    <n v="3510"/>
    <n v="211.16"/>
    <n v="26"/>
    <n v="10"/>
    <n v="6.5000000000000002E-2"/>
    <n v="1167"/>
    <d v="2024-11-14T00:00:00"/>
    <s v="Hyderabad"/>
    <x v="2"/>
    <s v="online data analytic"/>
    <d v="2024-11-14T00:00:00"/>
    <n v="4.3874643874643876E-2"/>
    <n v="1.371168831168831"/>
    <n v="8.1215384615384618"/>
    <n v="21.116"/>
    <n v="5.5266148891835574"/>
  </r>
  <r>
    <s v="A2634"/>
    <s v="Data Analytics Course"/>
    <n v="89"/>
    <n v="3265"/>
    <n v="234.51"/>
    <n v="29"/>
    <n v="8"/>
    <n v="0.09"/>
    <n v="1505"/>
    <d v="2024-11-28T00:00:00"/>
    <s v="Hyderabad"/>
    <x v="2"/>
    <s v="data analytics course"/>
    <d v="2024-11-28T00:00:00"/>
    <n v="2.7258805513016845E-2"/>
    <n v="2.6349438202247191"/>
    <n v="8.0865517241379301"/>
    <n v="29.313749999999999"/>
    <n v="6.417636774551192"/>
  </r>
  <r>
    <s v="A2635"/>
    <s v="Data Analytics Course"/>
    <n v="136"/>
    <n v="5977"/>
    <n v="249.89"/>
    <n v="15"/>
    <n v="9"/>
    <n v="6.6000000000000003E-2"/>
    <n v="1477"/>
    <d v="2024-11-28T00:00:00"/>
    <s v="Hyderabad"/>
    <x v="2"/>
    <s v="analytics for data"/>
    <d v="2024-11-28T00:00:00"/>
    <n v="2.2753889911326753E-2"/>
    <n v="1.8374264705882353"/>
    <n v="16.659333333333333"/>
    <n v="27.765555555555554"/>
    <n v="5.9106006642922893"/>
  </r>
  <r>
    <s v="A2636"/>
    <s v="Data Analytics Course"/>
    <n v="177"/>
    <n v="5409"/>
    <n v="181.75"/>
    <n v="19"/>
    <n v="4"/>
    <n v="4.5999999999999999E-2"/>
    <n v="1793"/>
    <d v="2024-03-11T00:00:00"/>
    <s v="Hyderabad"/>
    <x v="2"/>
    <s v="data analytics course"/>
    <d v="2024-03-11T00:00:00"/>
    <n v="3.2723239046034386E-2"/>
    <n v="1.0268361581920904"/>
    <n v="9.5657894736842106"/>
    <n v="45.4375"/>
    <n v="9.865199449793673"/>
  </r>
  <r>
    <s v="A2637"/>
    <s v="Data Analytics Course"/>
    <n v="145"/>
    <n v="5523"/>
    <n v="215.57"/>
    <n v="10"/>
    <n v="7"/>
    <n v="4.5999999999999999E-2"/>
    <n v="1668"/>
    <s v="19-11-2024"/>
    <s v="Hyderabad"/>
    <x v="1"/>
    <s v="data anaytics training"/>
    <d v="2024-11-19T00:00:00"/>
    <n v="2.6253847546623212E-2"/>
    <n v="1.4866896551724138"/>
    <n v="21.556999999999999"/>
    <n v="30.795714285714286"/>
    <n v="7.7376258291970128"/>
  </r>
  <r>
    <s v="A2638"/>
    <s v="Data Analytics Course"/>
    <n v="152"/>
    <n v="5421"/>
    <n v="248.08"/>
    <n v="16"/>
    <n v="6"/>
    <n v="3.5000000000000003E-2"/>
    <n v="1752"/>
    <d v="2024-11-27T00:00:00"/>
    <s v="Hyderabad"/>
    <x v="1"/>
    <s v="analytics for data"/>
    <d v="2024-11-27T00:00:00"/>
    <n v="2.8039107175797825E-2"/>
    <n v="1.6321052631578947"/>
    <n v="15.505000000000001"/>
    <n v="41.346666666666671"/>
    <n v="7.0622379877458883"/>
  </r>
  <r>
    <s v="A2639"/>
    <s v="Data Analytics Course"/>
    <n v="187"/>
    <n v="5181"/>
    <n v="227.15"/>
    <n v="18"/>
    <n v="10"/>
    <n v="4.5999999999999999E-2"/>
    <n v="1516"/>
    <d v="2024-11-25T00:00:00"/>
    <s v="Hyderabad"/>
    <x v="2"/>
    <s v="data anaytics training"/>
    <d v="2024-11-25T00:00:00"/>
    <n v="3.6093418259023353E-2"/>
    <n v="1.2147058823529413"/>
    <n v="12.619444444444445"/>
    <n v="22.715"/>
    <n v="6.6740039621395555"/>
  </r>
  <r>
    <s v="A2640"/>
    <s v="Data Analytics Course"/>
    <n v="91"/>
    <n v="5484"/>
    <n v="198.25"/>
    <n v="16"/>
    <n v="6"/>
    <n v="6.6000000000000003E-2"/>
    <n v="1981"/>
    <d v="2024-11-20T00:00:00"/>
    <s v="Hyderabad"/>
    <x v="1"/>
    <s v="data anaytics training"/>
    <d v="2024-11-20T00:00:00"/>
    <n v="1.6593727206418673E-2"/>
    <n v="2.1785714285714284"/>
    <n v="12.390625"/>
    <n v="33.041666666666664"/>
    <n v="9.9924337957124845"/>
  </r>
  <r>
    <s v="A2641"/>
    <s v="Data Analytics Course"/>
    <n v="180"/>
    <n v="5545"/>
    <n v="238.85"/>
    <n v="30"/>
    <n v="10"/>
    <n v="5.6000000000000001E-2"/>
    <n v="1971"/>
    <s v="24-11-2024"/>
    <s v="Hyderabad"/>
    <x v="0"/>
    <s v="data analytics course"/>
    <d v="2024-11-24T00:00:00"/>
    <n v="3.2461677186654644E-2"/>
    <n v="1.3269444444444445"/>
    <n v="7.9616666666666669"/>
    <n v="23.884999999999998"/>
    <n v="8.2520410299351052"/>
  </r>
  <r>
    <s v="A2642"/>
    <s v="Data Analytics Course"/>
    <n v="122"/>
    <n v="4295"/>
    <n v="215.57"/>
    <n v="24"/>
    <n v="6"/>
    <n v="4.9000000000000002E-2"/>
    <n v="1349"/>
    <d v="2024-11-10T00:00:00"/>
    <s v="Hyderabad"/>
    <x v="0"/>
    <s v="data analytics course"/>
    <d v="2024-11-10T00:00:00"/>
    <n v="2.8405122235157159E-2"/>
    <n v="1.766967213114754"/>
    <n v="8.9820833333333336"/>
    <n v="35.928333333333335"/>
    <n v="6.2578280836851139"/>
  </r>
  <r>
    <s v="A2643"/>
    <s v="Data Analytics Course"/>
    <n v="139"/>
    <n v="4314"/>
    <n v="194.56"/>
    <n v="21"/>
    <n v="9"/>
    <n v="4.5999999999999999E-2"/>
    <n v="1211"/>
    <d v="2024-11-09T00:00:00"/>
    <s v="Hyderabad"/>
    <x v="2"/>
    <s v="data anaytics training"/>
    <d v="2024-11-09T00:00:00"/>
    <n v="3.2220676866017615E-2"/>
    <n v="1.3997122302158274"/>
    <n v="9.2647619047619045"/>
    <n v="21.617777777777778"/>
    <n v="6.2243009868421053"/>
  </r>
  <r>
    <s v="A2644"/>
    <s v="Data Analytics Course"/>
    <n v="157"/>
    <n v="4111"/>
    <n v="208.46"/>
    <n v="27"/>
    <n v="8"/>
    <n v="4.5999999999999999E-2"/>
    <n v="1187"/>
    <d v="2024-11-05T00:00:00"/>
    <s v="Hyderabad"/>
    <x v="2"/>
    <s v="data anaytics training"/>
    <d v="2024-11-05T00:00:00"/>
    <n v="3.8190221357333985E-2"/>
    <n v="1.3277707006369428"/>
    <n v="7.7207407407407409"/>
    <n v="26.057500000000001"/>
    <n v="5.6941379641178163"/>
  </r>
  <r>
    <s v="A2645"/>
    <s v="Data Analytics Course"/>
    <n v="178"/>
    <n v="5640"/>
    <n v="195.8"/>
    <n v="25"/>
    <n v="4"/>
    <n v="2.1999999999999999E-2"/>
    <n v="1807"/>
    <s v="22-11-2024"/>
    <s v="Hyderabad"/>
    <x v="1"/>
    <s v="data analitics online"/>
    <d v="2024-11-22T00:00:00"/>
    <n v="3.1560283687943259E-2"/>
    <n v="1.1000000000000001"/>
    <n v="7.8320000000000007"/>
    <n v="48.95"/>
    <n v="9.2288049029622066"/>
  </r>
  <r>
    <s v="A2646"/>
    <s v="Data Analytics Course"/>
    <n v="94"/>
    <n v="3805"/>
    <n v="198.19"/>
    <n v="12"/>
    <n v="8"/>
    <n v="8.5000000000000006E-2"/>
    <n v="1523"/>
    <d v="2024-11-10T00:00:00"/>
    <s v="Hyderabad"/>
    <x v="2"/>
    <s v="data analytics course"/>
    <d v="2024-11-10T00:00:00"/>
    <n v="2.4704336399474378E-2"/>
    <n v="2.1084042553191491"/>
    <n v="16.515833333333333"/>
    <n v="24.77375"/>
    <n v="7.6845451334577932"/>
  </r>
  <r>
    <s v="A2647"/>
    <s v="Data Analytics Course"/>
    <n v="130"/>
    <n v="4561"/>
    <n v="196.04"/>
    <n v="25"/>
    <n v="9"/>
    <n v="6.9000000000000006E-2"/>
    <n v="1388"/>
    <s v="18-11-2024"/>
    <s v="Hyderabad"/>
    <x v="0"/>
    <s v="analytics for data"/>
    <d v="2024-11-18T00:00:00"/>
    <n v="2.8502521376891032E-2"/>
    <n v="1.508"/>
    <n v="7.8415999999999997"/>
    <n v="21.78222222222222"/>
    <n v="7.0801877167924916"/>
  </r>
  <r>
    <s v="A2648"/>
    <s v="Data Analytics Course"/>
    <n v="169"/>
    <n v="5865"/>
    <n v="200.36"/>
    <n v="19"/>
    <n v="5"/>
    <n v="0.03"/>
    <n v="1482"/>
    <s v="30-11-2024"/>
    <s v="Hyderabad"/>
    <x v="1"/>
    <s v="online data analytic"/>
    <d v="2024-11-30T00:00:00"/>
    <n v="2.8815004262574596E-2"/>
    <n v="1.1855621301775148"/>
    <n v="10.545263157894738"/>
    <n v="40.072000000000003"/>
    <n v="7.3966859652625265"/>
  </r>
  <r>
    <s v="A2649"/>
    <s v="Data Analytics Course"/>
    <n v="176"/>
    <n v="5275"/>
    <n v="241.12"/>
    <n v="14"/>
    <n v="8"/>
    <n v="4.5999999999999999E-2"/>
    <n v="1995"/>
    <s v="15-11-2024"/>
    <s v="Hyderabad"/>
    <x v="1"/>
    <s v="data analitics online"/>
    <d v="2024-11-15T00:00:00"/>
    <n v="3.3364928909952608E-2"/>
    <n v="1.37"/>
    <n v="17.222857142857144"/>
    <n v="30.14"/>
    <n v="8.2738885202388843"/>
  </r>
  <r>
    <s v="A2650"/>
    <s v="Data Analytics Course"/>
    <n v="143"/>
    <n v="4964"/>
    <n v="207.66"/>
    <n v="21"/>
    <n v="10"/>
    <n v="7.0000000000000007E-2"/>
    <n v="1619"/>
    <s v="13-11-2024"/>
    <s v="Hyderabad"/>
    <x v="2"/>
    <s v="analytics for data"/>
    <d v="2024-11-13T00:00:00"/>
    <n v="2.8807413376309429E-2"/>
    <n v="1.4521678321678322"/>
    <n v="9.8885714285714279"/>
    <n v="20.765999999999998"/>
    <n v="7.7963979582009051"/>
  </r>
  <r>
    <s v="A2651"/>
    <s v="Data Analytics Course"/>
    <n v="153"/>
    <n v="5292"/>
    <n v="225.98"/>
    <n v="21"/>
    <n v="9"/>
    <n v="5.8999999999999997E-2"/>
    <n v="1223"/>
    <d v="2024-11-10T00:00:00"/>
    <s v="Hyderabad"/>
    <x v="1"/>
    <s v="data analytics course"/>
    <d v="2024-11-10T00:00:00"/>
    <n v="2.8911564625850341E-2"/>
    <n v="1.4769934640522875"/>
    <n v="10.76095238095238"/>
    <n v="25.108888888888888"/>
    <n v="5.4119833613594128"/>
  </r>
  <r>
    <s v="A2652"/>
    <s v="Data Analytics Course"/>
    <n v="96"/>
    <n v="5568"/>
    <n v="210.99"/>
    <n v="19"/>
    <n v="10"/>
    <n v="0.104"/>
    <n v="1317"/>
    <d v="2024-11-21T00:00:00"/>
    <s v="Hyderabad"/>
    <x v="0"/>
    <s v="learn data analytics"/>
    <d v="2024-11-21T00:00:00"/>
    <n v="1.7241379310344827E-2"/>
    <n v="2.1978124999999999"/>
    <n v="11.104736842105263"/>
    <n v="21.099"/>
    <n v="6.2420019906156687"/>
  </r>
  <r>
    <s v="A2653"/>
    <s v="Data Analytics Course"/>
    <n v="96"/>
    <n v="4849"/>
    <n v="198.41"/>
    <n v="13"/>
    <n v="5"/>
    <n v="5.1999999999999998E-2"/>
    <n v="1198"/>
    <s v="27-11-2024"/>
    <s v="Hyderabad"/>
    <x v="1"/>
    <s v="online data analytic"/>
    <d v="2024-11-27T00:00:00"/>
    <n v="1.979789647349969E-2"/>
    <n v="2.0667708333333334"/>
    <n v="15.262307692307692"/>
    <n v="39.682000000000002"/>
    <n v="6.038002116828789"/>
  </r>
  <r>
    <s v="A2654"/>
    <s v="Data Analytics Course"/>
    <n v="172"/>
    <n v="4128"/>
    <n v="215.57"/>
    <n v="12"/>
    <n v="7"/>
    <n v="4.1000000000000002E-2"/>
    <n v="1070"/>
    <d v="2024-11-17T00:00:00"/>
    <s v="Hyderabad"/>
    <x v="2"/>
    <s v="learn data analytics"/>
    <d v="2024-11-17T00:00:00"/>
    <n v="4.1666666666666664E-2"/>
    <n v="1.2533139534883722"/>
    <n v="17.964166666666667"/>
    <n v="30.795714285714286"/>
    <n v="4.9635849144129516"/>
  </r>
  <r>
    <s v="A2655"/>
    <s v="Data Analytics Course"/>
    <n v="197"/>
    <n v="4645"/>
    <n v="219.15"/>
    <n v="24"/>
    <n v="5"/>
    <n v="2.5000000000000001E-2"/>
    <n v="1911"/>
    <d v="2024-11-30T00:00:00"/>
    <s v="Hyderabad"/>
    <x v="1"/>
    <s v="online data analytic"/>
    <d v="2024-11-30T00:00:00"/>
    <n v="4.2411194833153927E-2"/>
    <n v="1.1124365482233503"/>
    <n v="9.1312499999999996"/>
    <n v="43.83"/>
    <n v="8.7200547570157418"/>
  </r>
  <r>
    <s v="A2656"/>
    <s v="Data Analytics Course"/>
    <n v="191"/>
    <n v="5706"/>
    <n v="249.69"/>
    <n v="25"/>
    <n v="6"/>
    <n v="3.1E-2"/>
    <n v="1821"/>
    <d v="2024-11-16T00:00:00"/>
    <s v="Hyderabad"/>
    <x v="0"/>
    <s v="data analitics online"/>
    <d v="2024-11-16T00:00:00"/>
    <n v="3.3473536628110763E-2"/>
    <n v="1.3072774869109947"/>
    <n v="9.9876000000000005"/>
    <n v="41.615000000000002"/>
    <n v="7.2930433737834912"/>
  </r>
  <r>
    <s v="A2657"/>
    <s v="Data Analytics Course"/>
    <n v="167"/>
    <n v="3438"/>
    <n v="235.2"/>
    <n v="10"/>
    <n v="7"/>
    <n v="4.5999999999999999E-2"/>
    <n v="1229"/>
    <d v="2024-11-17T00:00:00"/>
    <s v="Hyderabad"/>
    <x v="0"/>
    <s v="data analitics online"/>
    <d v="2024-11-17T00:00:00"/>
    <n v="4.857475276323444E-2"/>
    <n v="1.408383233532934"/>
    <n v="23.52"/>
    <n v="33.6"/>
    <n v="5.225340136054422"/>
  </r>
  <r>
    <s v="A2658"/>
    <s v="Data Analytics Course"/>
    <n v="191"/>
    <n v="3610"/>
    <n v="217.44"/>
    <n v="27"/>
    <n v="6"/>
    <n v="3.1E-2"/>
    <n v="1890"/>
    <d v="2024-11-23T00:00:00"/>
    <s v="Hyderabad"/>
    <x v="2"/>
    <s v="analytics for data"/>
    <d v="2024-11-23T00:00:00"/>
    <n v="5.2908587257617726E-2"/>
    <n v="1.1384293193717276"/>
    <n v="8.0533333333333328"/>
    <n v="36.24"/>
    <n v="8.6920529801324502"/>
  </r>
  <r>
    <s v="A2659"/>
    <s v="Data Analytics Course"/>
    <n v="90"/>
    <n v="3828"/>
    <n v="238.12"/>
    <n v="21"/>
    <n v="6"/>
    <n v="0.06"/>
    <n v="1505"/>
    <d v="2024-11-21T00:00:00"/>
    <s v="Hyderabad"/>
    <x v="0"/>
    <s v="data analitics online"/>
    <d v="2024-11-21T00:00:00"/>
    <n v="2.3510971786833857E-2"/>
    <n v="2.645777777777778"/>
    <n v="11.339047619047619"/>
    <n v="39.686666666666667"/>
    <n v="6.3203426843608259"/>
  </r>
  <r>
    <s v="A2660"/>
    <s v="Data Analytics Course"/>
    <n v="115"/>
    <n v="5431"/>
    <n v="180.5"/>
    <n v="20"/>
    <n v="7"/>
    <n v="6.0999999999999999E-2"/>
    <n v="1995"/>
    <d v="2024-11-15T00:00:00"/>
    <s v="Hyderabad"/>
    <x v="0"/>
    <s v="data analytics course"/>
    <d v="2024-11-15T00:00:00"/>
    <n v="2.1174737617381697E-2"/>
    <n v="1.5695652173913044"/>
    <n v="9.0250000000000004"/>
    <n v="25.785714285714285"/>
    <n v="11.052631578947368"/>
  </r>
  <r>
    <s v="A2661"/>
    <s v="Data Analytics Course"/>
    <n v="188"/>
    <n v="4300"/>
    <n v="226.13"/>
    <n v="28"/>
    <n v="7"/>
    <n v="4.5999999999999999E-2"/>
    <n v="1185"/>
    <d v="2024-11-14T00:00:00"/>
    <s v="Hyderabad"/>
    <x v="1"/>
    <s v="online data analytic"/>
    <d v="2024-11-14T00:00:00"/>
    <n v="4.3720930232558138E-2"/>
    <n v="1.2028191489361701"/>
    <n v="8.0760714285714279"/>
    <n v="32.304285714285712"/>
    <n v="5.2403484721178089"/>
  </r>
  <r>
    <s v="A2662"/>
    <s v="Data Analytics Course"/>
    <n v="173"/>
    <n v="3829"/>
    <n v="221.28"/>
    <n v="29"/>
    <n v="4"/>
    <n v="2.3E-2"/>
    <n v="1417"/>
    <d v="2024-11-25T00:00:00"/>
    <s v="Hyderabad"/>
    <x v="0"/>
    <s v="learn data analytics"/>
    <d v="2024-11-25T00:00:00"/>
    <n v="4.518150953251502E-2"/>
    <n v="1.2790751445086705"/>
    <n v="7.6303448275862067"/>
    <n v="55.32"/>
    <n v="6.4036514822848876"/>
  </r>
  <r>
    <s v="A2663"/>
    <s v="Data Analytics Course"/>
    <n v="107"/>
    <n v="4165"/>
    <n v="192.18"/>
    <n v="21"/>
    <n v="10"/>
    <n v="9.2999999999999999E-2"/>
    <n v="1754"/>
    <s v="29-11-2024"/>
    <s v="Hyderabad"/>
    <x v="1"/>
    <s v="learn data analytics"/>
    <d v="2024-11-29T00:00:00"/>
    <n v="2.5690276110444176E-2"/>
    <n v="1.7960747663551402"/>
    <n v="9.1514285714285712"/>
    <n v="19.218"/>
    <n v="9.1268602351961707"/>
  </r>
  <r>
    <s v="A2664"/>
    <s v="Data Analytics Course"/>
    <n v="171"/>
    <n v="5953"/>
    <n v="230.37"/>
    <n v="14"/>
    <n v="7"/>
    <n v="4.8000000000000001E-2"/>
    <n v="1436"/>
    <s v="17-11-2024"/>
    <s v="Hyderabad"/>
    <x v="2"/>
    <s v="analytics for data"/>
    <d v="2024-11-17T00:00:00"/>
    <n v="2.8725012598689738E-2"/>
    <n v="1.3471929824561404"/>
    <n v="16.455000000000002"/>
    <n v="32.910000000000004"/>
    <n v="6.233450536094109"/>
  </r>
  <r>
    <s v="A2665"/>
    <s v="Data Analytics Course"/>
    <n v="87"/>
    <n v="4836"/>
    <n v="242"/>
    <n v="12"/>
    <n v="7"/>
    <n v="4.5999999999999999E-2"/>
    <n v="1665"/>
    <s v="15-11-2024"/>
    <s v="Hyderabad"/>
    <x v="0"/>
    <s v="learn data analytics"/>
    <d v="2024-11-15T00:00:00"/>
    <n v="1.7990074441687345E-2"/>
    <n v="2.7816091954022988"/>
    <n v="20.166666666666668"/>
    <n v="34.571428571428569"/>
    <n v="6.8801652892561984"/>
  </r>
  <r>
    <s v="A2666"/>
    <s v="Data Analytics Course"/>
    <n v="199"/>
    <n v="3717"/>
    <n v="226.84"/>
    <n v="27"/>
    <n v="3"/>
    <n v="3.6999999999999998E-2"/>
    <n v="1449"/>
    <d v="2024-11-25T00:00:00"/>
    <s v="Hyderabad"/>
    <x v="1"/>
    <s v="data anaytics training"/>
    <d v="2024-11-25T00:00:00"/>
    <n v="5.3537799300511162E-2"/>
    <n v="1.1398994974874372"/>
    <n v="8.4014814814814809"/>
    <n v="75.61333333333333"/>
    <n v="6.3877622994180916"/>
  </r>
  <r>
    <s v="A2667"/>
    <s v="Data Analytics Course"/>
    <n v="195"/>
    <n v="5190"/>
    <n v="231.62"/>
    <n v="20"/>
    <n v="3"/>
    <n v="4.5999999999999999E-2"/>
    <n v="1429"/>
    <d v="2024-12-11T00:00:00"/>
    <s v="Hyderabad"/>
    <x v="2"/>
    <s v="data analytics course"/>
    <d v="2024-12-11T00:00:00"/>
    <n v="3.7572254335260118E-2"/>
    <n v="1.1877948717948719"/>
    <n v="11.581"/>
    <n v="77.206666666666663"/>
    <n v="6.1695881184699077"/>
  </r>
  <r>
    <s v="A2668"/>
    <s v="Data Analytics Course"/>
    <n v="97"/>
    <n v="3921"/>
    <n v="232.83"/>
    <n v="11"/>
    <n v="9"/>
    <n v="3.5999999999999997E-2"/>
    <n v="1886"/>
    <d v="2024-11-16T00:00:00"/>
    <s v="Hyderabad"/>
    <x v="2"/>
    <s v="analytics for data"/>
    <d v="2024-11-16T00:00:00"/>
    <n v="2.4738587095128793E-2"/>
    <n v="2.4003092783505156"/>
    <n v="21.166363636363638"/>
    <n v="25.87"/>
    <n v="8.1003307133960387"/>
  </r>
  <r>
    <s v="A2669"/>
    <s v="Data Analytics Course"/>
    <n v="184"/>
    <n v="3824"/>
    <n v="200.99"/>
    <n v="26"/>
    <n v="6"/>
    <n v="4.5999999999999999E-2"/>
    <n v="1023"/>
    <d v="2024-11-26T00:00:00"/>
    <s v="Hyderabad"/>
    <x v="1"/>
    <s v="data analitics online"/>
    <d v="2024-11-26T00:00:00"/>
    <n v="4.8117154811715482E-2"/>
    <n v="1.0923369565217391"/>
    <n v="7.7303846153846161"/>
    <n v="33.498333333333335"/>
    <n v="5.0898054629583562"/>
  </r>
  <r>
    <s v="A2670"/>
    <s v="Data Analytics Course"/>
    <n v="168"/>
    <n v="5414"/>
    <n v="221.78"/>
    <n v="19"/>
    <n v="8"/>
    <n v="4.8000000000000001E-2"/>
    <n v="1715"/>
    <d v="2024-11-29T00:00:00"/>
    <s v="Hyderabad"/>
    <x v="1"/>
    <s v="data anaytics training"/>
    <d v="2024-11-29T00:00:00"/>
    <n v="3.1030661248614703E-2"/>
    <n v="1.3201190476190476"/>
    <n v="11.672631578947369"/>
    <n v="27.7225"/>
    <n v="7.7328884480115425"/>
  </r>
  <r>
    <s v="A2671"/>
    <s v="Data Analytics Course"/>
    <n v="128"/>
    <n v="3984"/>
    <n v="222.78"/>
    <n v="26"/>
    <n v="4"/>
    <n v="4.5999999999999999E-2"/>
    <n v="1786"/>
    <d v="2024-11-14T00:00:00"/>
    <s v="Hyderabad"/>
    <x v="0"/>
    <s v="data analitics online"/>
    <d v="2024-11-14T00:00:00"/>
    <n v="3.2128514056224897E-2"/>
    <n v="1.74046875"/>
    <n v="8.5684615384615377"/>
    <n v="55.695"/>
    <n v="8.0168776371308024"/>
  </r>
  <r>
    <s v="A2672"/>
    <s v="Data Analytics Course"/>
    <n v="117"/>
    <n v="4716"/>
    <n v="213.86"/>
    <n v="26"/>
    <n v="4"/>
    <n v="4.5999999999999999E-2"/>
    <n v="1505"/>
    <d v="2024-11-27T00:00:00"/>
    <s v="Hyderabad"/>
    <x v="1"/>
    <s v="online data analytic"/>
    <d v="2024-11-27T00:00:00"/>
    <n v="2.4809160305343511E-2"/>
    <n v="1.8278632478632479"/>
    <n v="8.2253846153846162"/>
    <n v="53.465000000000003"/>
    <n v="7.0373141307397358"/>
  </r>
  <r>
    <s v="A2673"/>
    <s v="Data Analytics Course"/>
    <n v="142"/>
    <n v="5265"/>
    <n v="183.15"/>
    <n v="19"/>
    <n v="9"/>
    <n v="4.7E-2"/>
    <n v="1173"/>
    <d v="2024-11-07T00:00:00"/>
    <s v="Hyderabad"/>
    <x v="0"/>
    <s v="online data analytic"/>
    <d v="2024-11-07T00:00:00"/>
    <n v="2.6970560303893637E-2"/>
    <n v="1.2897887323943662"/>
    <n v="9.6394736842105271"/>
    <n v="20.350000000000001"/>
    <n v="6.4045864045864045"/>
  </r>
  <r>
    <s v="A2674"/>
    <s v="Data Analytics Course"/>
    <n v="194"/>
    <n v="5273"/>
    <n v="201.59"/>
    <n v="15"/>
    <n v="10"/>
    <n v="4.5999999999999999E-2"/>
    <n v="1018"/>
    <d v="2024-11-06T00:00:00"/>
    <s v="Hyderabad"/>
    <x v="1"/>
    <s v="data analitics online"/>
    <d v="2024-11-06T00:00:00"/>
    <n v="3.6791200455148873E-2"/>
    <n v="1.0391237113402063"/>
    <n v="13.439333333333334"/>
    <n v="20.158999999999999"/>
    <n v="5.049853663376159"/>
  </r>
  <r>
    <s v="A2675"/>
    <s v="Data Analytics Course"/>
    <n v="141"/>
    <n v="5656"/>
    <n v="193.58"/>
    <n v="20"/>
    <n v="6"/>
    <n v="4.2999999999999997E-2"/>
    <n v="1953"/>
    <s v="26-11-2024"/>
    <s v="Hyderabad"/>
    <x v="0"/>
    <s v="data analytics course"/>
    <d v="2024-11-26T00:00:00"/>
    <n v="2.492927864214993E-2"/>
    <n v="1.3729078014184397"/>
    <n v="9.6790000000000003"/>
    <n v="32.263333333333335"/>
    <n v="10.088852154148155"/>
  </r>
  <r>
    <s v="A2676"/>
    <s v="Data Analytics Course"/>
    <n v="137"/>
    <n v="3149"/>
    <n v="195.06"/>
    <n v="17"/>
    <n v="6"/>
    <n v="4.5999999999999999E-2"/>
    <n v="1718"/>
    <d v="2024-11-08T00:00:00"/>
    <s v="Hyderabad"/>
    <x v="2"/>
    <s v="analytics for data"/>
    <d v="2024-11-08T00:00:00"/>
    <n v="4.3505874880914577E-2"/>
    <n v="1.4237956204379563"/>
    <n v="11.474117647058824"/>
    <n v="32.51"/>
    <n v="8.8075463959807241"/>
  </r>
  <r>
    <s v="A2677"/>
    <s v="Data Analytics Course"/>
    <n v="162"/>
    <n v="5799"/>
    <n v="196.39"/>
    <n v="27"/>
    <n v="8"/>
    <n v="4.9000000000000002E-2"/>
    <n v="1505"/>
    <d v="2024-11-13T00:00:00"/>
    <s v="Hyderabad"/>
    <x v="2"/>
    <s v="data analitics online"/>
    <d v="2024-11-13T00:00:00"/>
    <n v="2.7935851008794619E-2"/>
    <n v="1.2122839506172838"/>
    <n v="7.2737037037037036"/>
    <n v="24.548749999999998"/>
    <n v="7.6633229797851223"/>
  </r>
  <r>
    <s v="A2678"/>
    <s v="Data Analytics Course"/>
    <n v="151"/>
    <n v="3487"/>
    <n v="187"/>
    <n v="30"/>
    <n v="6"/>
    <n v="0.04"/>
    <n v="1529"/>
    <s v="13-11-2024"/>
    <s v="Hyderabad"/>
    <x v="1"/>
    <s v="online data analytic"/>
    <d v="2024-11-13T00:00:00"/>
    <n v="4.3303699455119013E-2"/>
    <n v="1.2384105960264902"/>
    <n v="6.2333333333333334"/>
    <n v="31.166666666666668"/>
    <n v="8.1764705882352935"/>
  </r>
  <r>
    <s v="A2679"/>
    <s v="Data Analytics Course"/>
    <n v="87"/>
    <n v="4140"/>
    <n v="209.82"/>
    <n v="17"/>
    <n v="7"/>
    <n v="0.08"/>
    <n v="1151"/>
    <s v="23-11-2024"/>
    <s v="Hyderabad"/>
    <x v="2"/>
    <s v="online data analytic"/>
    <d v="2024-11-23T00:00:00"/>
    <n v="2.1014492753623187E-2"/>
    <n v="2.4117241379310346"/>
    <n v="12.34235294117647"/>
    <n v="29.974285714285713"/>
    <n v="5.4856543704127345"/>
  </r>
  <r>
    <s v="A2680"/>
    <s v="Data Analytics Course"/>
    <n v="183"/>
    <n v="5659"/>
    <n v="191.88"/>
    <n v="12"/>
    <n v="7"/>
    <n v="3.7999999999999999E-2"/>
    <n v="1830"/>
    <d v="2024-11-10T00:00:00"/>
    <s v="Hyderabad"/>
    <x v="1"/>
    <s v="analytics for data"/>
    <d v="2024-11-10T00:00:00"/>
    <n v="3.2337868881427811E-2"/>
    <n v="1.0485245901639344"/>
    <n v="15.99"/>
    <n v="27.411428571428569"/>
    <n v="9.5372107567229527"/>
  </r>
  <r>
    <s v="A2681"/>
    <s v="Data Analytics Course"/>
    <n v="120"/>
    <n v="3629"/>
    <n v="197.43"/>
    <n v="12"/>
    <n v="7"/>
    <n v="5.2999999999999999E-2"/>
    <n v="1522"/>
    <d v="2024-11-23T00:00:00"/>
    <s v="Hyderabad"/>
    <x v="0"/>
    <s v="data anaytics training"/>
    <d v="2024-11-23T00:00:00"/>
    <n v="3.3066960595205294E-2"/>
    <n v="1.6452500000000001"/>
    <n v="16.452500000000001"/>
    <n v="28.204285714285714"/>
    <n v="7.7090614394975434"/>
  </r>
  <r>
    <s v="A2682"/>
    <s v="Data Analytics Course"/>
    <n v="187"/>
    <n v="5531"/>
    <n v="219.88"/>
    <n v="10"/>
    <n v="5"/>
    <n v="0.05"/>
    <n v="1807"/>
    <d v="2024-11-13T00:00:00"/>
    <s v="Hyderabad"/>
    <x v="2"/>
    <s v="analytics for data"/>
    <d v="2024-11-13T00:00:00"/>
    <n v="3.3809437714698971E-2"/>
    <n v="1.1758288770053476"/>
    <n v="21.988"/>
    <n v="43.975999999999999"/>
    <n v="8.2181189739858098"/>
  </r>
  <r>
    <s v="A2683"/>
    <s v="Data Analytics Course"/>
    <n v="121"/>
    <n v="5275"/>
    <n v="234.88"/>
    <n v="23"/>
    <n v="4"/>
    <n v="3.3000000000000002E-2"/>
    <n v="1766"/>
    <d v="2024-05-11T00:00:00"/>
    <s v="Hyderabad"/>
    <x v="0"/>
    <s v="data analitics online"/>
    <d v="2024-05-11T00:00:00"/>
    <n v="2.2938388625592419E-2"/>
    <n v="1.9411570247933885"/>
    <n v="10.212173913043477"/>
    <n v="58.72"/>
    <n v="7.5187329700272478"/>
  </r>
  <r>
    <s v="A2684"/>
    <s v="Data Analytics Course"/>
    <n v="173"/>
    <n v="3190"/>
    <n v="226.32"/>
    <n v="13"/>
    <n v="7"/>
    <n v="4.5999999999999999E-2"/>
    <n v="1884"/>
    <d v="2024-11-27T00:00:00"/>
    <s v="Hyderabad"/>
    <x v="1"/>
    <s v="online data analytic"/>
    <d v="2024-11-27T00:00:00"/>
    <n v="5.4231974921630094E-2"/>
    <n v="1.308208092485549"/>
    <n v="17.409230769230767"/>
    <n v="32.331428571428567"/>
    <n v="8.3244962884411464"/>
  </r>
  <r>
    <s v="A2685"/>
    <s v="Data Analytics Course"/>
    <n v="165"/>
    <n v="5406"/>
    <n v="237.32"/>
    <n v="23"/>
    <n v="10"/>
    <n v="4.5999999999999999E-2"/>
    <n v="1002"/>
    <s v="25-11-2024"/>
    <s v="Hyderabad"/>
    <x v="2"/>
    <s v="data analytics course"/>
    <d v="2024-11-25T00:00:00"/>
    <n v="3.0521642619311874E-2"/>
    <n v="1.4383030303030302"/>
    <n v="10.318260869565217"/>
    <n v="23.731999999999999"/>
    <n v="4.2221473116467214"/>
  </r>
  <r>
    <s v="A2686"/>
    <s v="Data Analytics Course"/>
    <n v="192"/>
    <n v="3755"/>
    <n v="218.14"/>
    <n v="28"/>
    <n v="3"/>
    <n v="1.6E-2"/>
    <n v="1121"/>
    <d v="2024-11-30T00:00:00"/>
    <s v="Hyderabad"/>
    <x v="1"/>
    <s v="online data analytic"/>
    <d v="2024-11-30T00:00:00"/>
    <n v="5.1131824234354195E-2"/>
    <n v="1.1361458333333332"/>
    <n v="7.7907142857142855"/>
    <n v="72.713333333333324"/>
    <n v="5.1389016228110389"/>
  </r>
  <r>
    <s v="A2687"/>
    <s v="Data Analytics Course"/>
    <n v="193"/>
    <n v="4497"/>
    <n v="248.41"/>
    <n v="24"/>
    <n v="9"/>
    <n v="4.7E-2"/>
    <n v="1025"/>
    <d v="2024-11-06T00:00:00"/>
    <s v="Hyderabad"/>
    <x v="0"/>
    <s v="learn data analytics"/>
    <d v="2024-11-06T00:00:00"/>
    <n v="4.291750055592617E-2"/>
    <n v="1.287098445595855"/>
    <n v="10.350416666666666"/>
    <n v="27.601111111111109"/>
    <n v="4.1262429048750047"/>
  </r>
  <r>
    <s v="A2688"/>
    <s v="Data Analytics Course"/>
    <n v="138"/>
    <n v="5904"/>
    <n v="197.08"/>
    <n v="26"/>
    <n v="8"/>
    <n v="5.8000000000000003E-2"/>
    <n v="1698"/>
    <d v="2024-11-19T00:00:00"/>
    <s v="Hyderabad"/>
    <x v="0"/>
    <s v="learn data analytics"/>
    <d v="2024-11-19T00:00:00"/>
    <n v="2.3373983739837397E-2"/>
    <n v="1.4281159420289855"/>
    <n v="7.58"/>
    <n v="24.635000000000002"/>
    <n v="8.6157905419119132"/>
  </r>
  <r>
    <s v="A2689"/>
    <s v="Data Analytics Course"/>
    <n v="104"/>
    <n v="4212"/>
    <n v="215.57"/>
    <n v="15"/>
    <n v="6"/>
    <n v="4.5999999999999999E-2"/>
    <n v="1108"/>
    <d v="2024-11-30T00:00:00"/>
    <s v="Hyderabad"/>
    <x v="0"/>
    <s v="data anaytics training"/>
    <d v="2024-11-30T00:00:00"/>
    <n v="2.4691358024691357E-2"/>
    <n v="2.0727884615384613"/>
    <n v="14.371333333333332"/>
    <n v="35.928333333333335"/>
    <n v="5.1398617618407014"/>
  </r>
  <r>
    <s v="A2690"/>
    <s v="Data Analytics Course"/>
    <n v="162"/>
    <n v="5979"/>
    <n v="190.69"/>
    <n v="30"/>
    <n v="6"/>
    <n v="4.2999999999999997E-2"/>
    <n v="1976"/>
    <d v="2024-11-23T00:00:00"/>
    <s v="Hyderabad"/>
    <x v="2"/>
    <s v="learn data analytics"/>
    <d v="2024-11-23T00:00:00"/>
    <n v="2.7094831911690917E-2"/>
    <n v="1.1770987654320988"/>
    <n v="6.3563333333333336"/>
    <n v="31.781666666666666"/>
    <n v="10.362368241648749"/>
  </r>
  <r>
    <s v="A2691"/>
    <s v="Data Analytics Course"/>
    <n v="115"/>
    <n v="4950"/>
    <n v="241.85"/>
    <n v="19"/>
    <n v="9"/>
    <n v="7.8E-2"/>
    <n v="1343"/>
    <d v="2024-11-16T00:00:00"/>
    <s v="Hyderabad"/>
    <x v="2"/>
    <s v="online data analytic"/>
    <d v="2024-11-16T00:00:00"/>
    <n v="2.3232323232323233E-2"/>
    <n v="2.1030434782608696"/>
    <n v="12.728947368421052"/>
    <n v="26.87222222222222"/>
    <n v="5.5530287368203437"/>
  </r>
  <r>
    <s v="A2692"/>
    <s v="Data Analytics Course"/>
    <n v="104"/>
    <n v="3405"/>
    <n v="227.36"/>
    <n v="28"/>
    <n v="8"/>
    <n v="0.05"/>
    <n v="1970"/>
    <d v="2024-11-27T00:00:00"/>
    <s v="Hyderabad"/>
    <x v="1"/>
    <s v="data analytics course"/>
    <d v="2024-11-27T00:00:00"/>
    <n v="3.0543318649045522E-2"/>
    <n v="2.1861538461538461"/>
    <n v="8.120000000000001"/>
    <n v="28.42"/>
    <n v="8.6646727656579863"/>
  </r>
  <r>
    <s v="A2693"/>
    <s v="Data Analytics Course"/>
    <n v="168"/>
    <n v="4518.5"/>
    <n v="196.79"/>
    <n v="22"/>
    <n v="8"/>
    <n v="5.0999999999999997E-2"/>
    <n v="1666"/>
    <d v="2024-11-23T00:00:00"/>
    <s v="Hyderabad"/>
    <x v="2"/>
    <s v="learn data analytics"/>
    <d v="2024-11-23T00:00:00"/>
    <n v="3.7180480247869865E-2"/>
    <n v="1.1713690476190475"/>
    <n v="8.9450000000000003"/>
    <n v="24.598749999999999"/>
    <n v="8.4658773311652027"/>
  </r>
  <r>
    <s v="A2694"/>
    <s v="Data Analytics Course"/>
    <n v="146"/>
    <n v="4624"/>
    <n v="212.67"/>
    <n v="19"/>
    <n v="9"/>
    <n v="4.5999999999999999E-2"/>
    <n v="1513"/>
    <d v="2024-11-09T00:00:00"/>
    <s v="Hyderabad"/>
    <x v="1"/>
    <s v="data analytics course"/>
    <d v="2024-11-09T00:00:00"/>
    <n v="3.1574394463667818E-2"/>
    <n v="1.4566438356164382"/>
    <n v="11.193157894736842"/>
    <n v="23.63"/>
    <n v="7.1143085531574748"/>
  </r>
  <r>
    <s v="A2695"/>
    <s v="Data Analytics Course"/>
    <n v="82"/>
    <n v="5241"/>
    <n v="191.23"/>
    <n v="28"/>
    <n v="9"/>
    <n v="0.11"/>
    <n v="1369"/>
    <d v="2024-03-11T00:00:00"/>
    <s v="Hyderabad"/>
    <x v="0"/>
    <s v="data analytics course"/>
    <d v="2024-03-11T00:00:00"/>
    <n v="1.5645869108948673E-2"/>
    <n v="2.3320731707317073"/>
    <n v="6.8296428571428569"/>
    <n v="21.247777777777777"/>
    <n v="7.1589185797207557"/>
  </r>
  <r>
    <s v="A2696"/>
    <s v="Data Analytics Course"/>
    <n v="139"/>
    <n v="5947"/>
    <n v="206.33"/>
    <n v="14"/>
    <n v="9"/>
    <n v="4.7E-2"/>
    <n v="1188"/>
    <s v="24-11-2024"/>
    <s v="Hyderabad"/>
    <x v="2"/>
    <s v="analytics for data"/>
    <d v="2024-11-24T00:00:00"/>
    <n v="2.3373129308895242E-2"/>
    <n v="1.4843884892086332"/>
    <n v="14.737857142857143"/>
    <n v="22.925555555555558"/>
    <n v="5.7577666844375512"/>
  </r>
  <r>
    <s v="A2697"/>
    <s v="Data Analytics Course"/>
    <n v="142"/>
    <n v="3246"/>
    <n v="249.27"/>
    <n v="11"/>
    <n v="8"/>
    <n v="4.5999999999999999E-2"/>
    <n v="1667"/>
    <d v="2024-11-05T00:00:00"/>
    <s v="Hyderabad"/>
    <x v="1"/>
    <s v="data analitics online"/>
    <d v="2024-11-05T00:00:00"/>
    <n v="4.3746149106592733E-2"/>
    <n v="1.7554225352112678"/>
    <n v="22.66090909090909"/>
    <n v="31.158750000000001"/>
    <n v="6.6875275805351624"/>
  </r>
  <r>
    <s v="A2698"/>
    <s v="Data Analytics Course"/>
    <n v="198"/>
    <n v="5858"/>
    <n v="232.94"/>
    <n v="17"/>
    <n v="8"/>
    <n v="0.04"/>
    <n v="1903"/>
    <d v="2024-11-22T00:00:00"/>
    <s v="Hyderabad"/>
    <x v="0"/>
    <s v="analytics for data"/>
    <d v="2024-11-22T00:00:00"/>
    <n v="3.3799931717309661E-2"/>
    <n v="1.1764646464646464"/>
    <n v="13.702352941176471"/>
    <n v="29.1175"/>
    <n v="8.1694857044732547"/>
  </r>
  <r>
    <s v="A2699"/>
    <s v="Data Analytics Course"/>
    <n v="119"/>
    <n v="5159"/>
    <n v="227.36"/>
    <n v="22"/>
    <n v="10"/>
    <n v="8.4000000000000005E-2"/>
    <n v="1448"/>
    <d v="2024-11-16T00:00:00"/>
    <s v="Hyderabad"/>
    <x v="1"/>
    <s v="data anaytics training"/>
    <d v="2024-11-16T00:00:00"/>
    <n v="2.3066485753052916E-2"/>
    <n v="1.9105882352941177"/>
    <n v="10.334545454545456"/>
    <n v="22.736000000000001"/>
    <n v="6.3687543983110482"/>
  </r>
  <r>
    <s v="A2700"/>
    <s v="Data Analytics Course"/>
    <n v="109"/>
    <n v="4002"/>
    <n v="203.96"/>
    <n v="14"/>
    <n v="3"/>
    <n v="4.5999999999999999E-2"/>
    <n v="1430"/>
    <d v="2024-02-11T00:00:00"/>
    <s v="Hyderabad"/>
    <x v="1"/>
    <s v="data analytics course"/>
    <d v="2024-02-11T00:00:00"/>
    <n v="2.7236381809095451E-2"/>
    <n v="1.8711926605504587"/>
    <n v="14.568571428571429"/>
    <n v="67.986666666666665"/>
    <n v="7.0111786624828394"/>
  </r>
  <r>
    <s v="A2701"/>
    <s v="Data Analytics Course"/>
    <n v="87"/>
    <n v="3068"/>
    <n v="243.15"/>
    <n v="11"/>
    <n v="6"/>
    <n v="6.9000000000000006E-2"/>
    <n v="1356"/>
    <s v="23-11-2024"/>
    <s v="Hyderabad"/>
    <x v="2"/>
    <s v="online data analytic"/>
    <d v="2024-11-23T00:00:00"/>
    <n v="2.8357235984354627E-2"/>
    <n v="2.7948275862068965"/>
    <n v="22.104545454545455"/>
    <n v="40.524999999999999"/>
    <n v="5.5768044417026523"/>
  </r>
  <r>
    <s v="A2702"/>
    <s v="Data Analytics Course"/>
    <n v="110"/>
    <n v="4907"/>
    <n v="247.48"/>
    <n v="12"/>
    <n v="10"/>
    <n v="9.0999999999999998E-2"/>
    <n v="1205"/>
    <d v="2024-11-26T00:00:00"/>
    <s v="Hyderabad"/>
    <x v="0"/>
    <s v="data anaytics training"/>
    <d v="2024-11-26T00:00:00"/>
    <n v="2.2416955369879765E-2"/>
    <n v="2.2498181818181817"/>
    <n v="20.623333333333331"/>
    <n v="24.747999999999998"/>
    <n v="4.869080329723614"/>
  </r>
  <r>
    <s v="A2703"/>
    <s v="Data Analytics Course"/>
    <n v="92"/>
    <n v="5680"/>
    <n v="224.6"/>
    <n v="15"/>
    <n v="7"/>
    <n v="7.5999999999999998E-2"/>
    <n v="1505"/>
    <s v="26-11-2024"/>
    <s v="Hyderabad"/>
    <x v="0"/>
    <s v="online data analytic"/>
    <d v="2024-11-26T00:00:00"/>
    <n v="1.6197183098591549E-2"/>
    <n v="2.4413043478260867"/>
    <n v="14.973333333333333"/>
    <n v="32.085714285714282"/>
    <n v="6.7008014247551202"/>
  </r>
  <r>
    <s v="A2704"/>
    <s v="Data Analytics Course"/>
    <n v="85"/>
    <n v="3909"/>
    <n v="189.9"/>
    <n v="12"/>
    <n v="3"/>
    <n v="3.5000000000000003E-2"/>
    <n v="1216"/>
    <s v="14-11-2024"/>
    <s v="Hyderabad"/>
    <x v="2"/>
    <s v="online data analytic"/>
    <d v="2024-11-14T00:00:00"/>
    <n v="2.1744691737017138E-2"/>
    <n v="2.2341176470588238"/>
    <n v="15.825000000000001"/>
    <n v="63.300000000000004"/>
    <n v="6.4033701948393889"/>
  </r>
  <r>
    <s v="A2705"/>
    <s v="Data Analytics Course"/>
    <n v="199"/>
    <n v="3060"/>
    <n v="237.3"/>
    <n v="19"/>
    <n v="9"/>
    <n v="4.4999999999999998E-2"/>
    <n v="1527"/>
    <d v="2024-11-04T00:00:00"/>
    <s v="Hyderabad"/>
    <x v="1"/>
    <s v="data analitics online"/>
    <d v="2024-11-04T00:00:00"/>
    <n v="6.5032679738562096E-2"/>
    <n v="1.192462311557789"/>
    <n v="12.489473684210527"/>
    <n v="26.366666666666667"/>
    <n v="6.4348925410872306"/>
  </r>
  <r>
    <s v="A2706"/>
    <s v="Data Analytics Course"/>
    <n v="148"/>
    <n v="4558"/>
    <n v="249.74"/>
    <n v="18"/>
    <n v="8"/>
    <n v="5.3999999999999999E-2"/>
    <n v="1554"/>
    <d v="2024-11-01T00:00:00"/>
    <s v="Hyderabad"/>
    <x v="0"/>
    <s v="data analytics course"/>
    <d v="2024-11-01T00:00:00"/>
    <n v="3.2470381746379992E-2"/>
    <n v="1.6874324324324326"/>
    <n v="13.874444444444444"/>
    <n v="31.217500000000001"/>
    <n v="6.2224713702250334"/>
  </r>
  <r>
    <s v="A2707"/>
    <s v="Data Analytics Course"/>
    <n v="173"/>
    <n v="5992"/>
    <n v="230.26"/>
    <n v="11"/>
    <n v="5"/>
    <n v="2.9000000000000001E-2"/>
    <n v="1683"/>
    <d v="2024-08-11T00:00:00"/>
    <s v="Hyderabad"/>
    <x v="1"/>
    <s v="data anaytics training"/>
    <d v="2024-08-11T00:00:00"/>
    <n v="2.8871829105473965E-2"/>
    <n v="1.3309826589595375"/>
    <n v="20.932727272727274"/>
    <n v="46.052"/>
    <n v="7.3091288109094075"/>
  </r>
  <r>
    <s v="A2708"/>
    <s v="Data Analytics Course"/>
    <n v="84"/>
    <n v="5069"/>
    <n v="192.08"/>
    <n v="25"/>
    <n v="3"/>
    <n v="3.5999999999999997E-2"/>
    <n v="1738"/>
    <d v="2024-11-11T00:00:00"/>
    <s v="Hyderabad"/>
    <x v="0"/>
    <s v="online data analytic"/>
    <d v="2024-11-11T00:00:00"/>
    <n v="1.6571315841388833E-2"/>
    <n v="2.2866666666666666"/>
    <n v="7.6832000000000003"/>
    <n v="64.026666666666671"/>
    <n v="9.0483132028321531"/>
  </r>
  <r>
    <s v="A2709"/>
    <s v="Data Analytics Course"/>
    <n v="82"/>
    <n v="4340"/>
    <n v="186.61"/>
    <n v="17"/>
    <n v="3"/>
    <n v="3.6999999999999998E-2"/>
    <n v="1092"/>
    <d v="2024-07-11T00:00:00"/>
    <s v="Hyderabad"/>
    <x v="0"/>
    <s v="data anaytics training"/>
    <d v="2024-07-11T00:00:00"/>
    <n v="1.889400921658986E-2"/>
    <n v="2.2757317073170733"/>
    <n v="10.977058823529413"/>
    <n v="62.20333333333334"/>
    <n v="5.8517764321311825"/>
  </r>
  <r>
    <s v="A2710"/>
    <s v="Data Analytics Course"/>
    <n v="147"/>
    <n v="5139"/>
    <n v="245.93"/>
    <n v="29"/>
    <n v="8"/>
    <n v="3.3000000000000002E-2"/>
    <n v="1853"/>
    <d v="2024-10-11T00:00:00"/>
    <s v="Hyderabad"/>
    <x v="1"/>
    <s v="data analytics course"/>
    <d v="2024-10-11T00:00:00"/>
    <n v="2.8604786923525978E-2"/>
    <n v="1.6729931972789116"/>
    <n v="8.4803448275862063"/>
    <n v="30.741250000000001"/>
    <n v="7.5346643353799863"/>
  </r>
  <r>
    <s v="A2711"/>
    <s v="Data Analytics Course"/>
    <n v="186"/>
    <n v="4679"/>
    <n v="241.7"/>
    <n v="19"/>
    <n v="9"/>
    <n v="4.5999999999999999E-2"/>
    <n v="1333"/>
    <d v="2024-07-11T00:00:00"/>
    <s v="Hyderabad"/>
    <x v="2"/>
    <s v="online data analytic"/>
    <d v="2024-07-11T00:00:00"/>
    <n v="3.9752083778585169E-2"/>
    <n v="1.2994623655913977"/>
    <n v="12.721052631578948"/>
    <n v="26.855555555555554"/>
    <n v="5.5151013653289205"/>
  </r>
  <r>
    <s v="A2712"/>
    <s v="Data Analytics Course"/>
    <n v="143"/>
    <n v="4232"/>
    <n v="207.76"/>
    <n v="30"/>
    <n v="8"/>
    <n v="4.5999999999999999E-2"/>
    <n v="1644"/>
    <d v="2024-11-18T00:00:00"/>
    <s v="Hyderabad"/>
    <x v="2"/>
    <s v="data analitics online"/>
    <d v="2024-11-18T00:00:00"/>
    <n v="3.3790170132325145E-2"/>
    <n v="1.4528671328671328"/>
    <n v="6.9253333333333327"/>
    <n v="25.97"/>
    <n v="7.9129765113592612"/>
  </r>
  <r>
    <s v="A2713"/>
    <s v="Data Analytics Course"/>
    <n v="133"/>
    <n v="5580"/>
    <n v="248.11"/>
    <n v="17"/>
    <n v="5"/>
    <n v="3.7999999999999999E-2"/>
    <n v="1111"/>
    <d v="2024-11-26T00:00:00"/>
    <s v="Hyderabad"/>
    <x v="2"/>
    <s v="data analytics course"/>
    <d v="2024-11-26T00:00:00"/>
    <n v="2.3835125448028675E-2"/>
    <n v="1.8654887218045113"/>
    <n v="14.594705882352942"/>
    <n v="49.622"/>
    <n v="4.4778525653943815"/>
  </r>
  <r>
    <s v="A2714"/>
    <s v="Data Analytics Course"/>
    <n v="187"/>
    <n v="3972"/>
    <n v="226.62"/>
    <n v="24"/>
    <n v="7"/>
    <n v="3.6999999999999998E-2"/>
    <n v="1011"/>
    <d v="2024-11-04T00:00:00"/>
    <s v="Hyderabad"/>
    <x v="0"/>
    <s v="data anaytics training"/>
    <d v="2024-11-04T00:00:00"/>
    <n v="4.7079556898288015E-2"/>
    <n v="1.2118716577540107"/>
    <n v="9.4425000000000008"/>
    <n v="32.374285714285712"/>
    <n v="4.4612126025946521"/>
  </r>
  <r>
    <s v="A2715"/>
    <s v="Data Analytics Course"/>
    <n v="121"/>
    <n v="5205"/>
    <n v="181.81"/>
    <n v="24"/>
    <n v="5"/>
    <n v="3.6999999999999998E-2"/>
    <n v="1555"/>
    <d v="2024-11-08T00:00:00"/>
    <s v="Hyderabad"/>
    <x v="2"/>
    <s v="data analitics online"/>
    <d v="2024-11-08T00:00:00"/>
    <n v="2.3246878001921229E-2"/>
    <n v="1.5025619834710744"/>
    <n v="7.5754166666666665"/>
    <n v="36.362000000000002"/>
    <n v="8.552884879819592"/>
  </r>
  <r>
    <s v="A2716"/>
    <s v="Data Analytics Course"/>
    <n v="188"/>
    <n v="4521"/>
    <n v="214.58"/>
    <n v="24"/>
    <n v="3"/>
    <n v="1.6E-2"/>
    <n v="1855"/>
    <d v="2024-11-19T00:00:00"/>
    <s v="Hyderabad"/>
    <x v="2"/>
    <s v="data analytics course"/>
    <d v="2024-11-19T00:00:00"/>
    <n v="4.1583720415837203E-2"/>
    <n v="1.1413829787234042"/>
    <n v="8.9408333333333339"/>
    <n v="71.526666666666671"/>
    <n v="8.6447944822443841"/>
  </r>
  <r>
    <s v="A2717"/>
    <s v="Data Analytics Course"/>
    <n v="115"/>
    <n v="3924"/>
    <n v="214.52"/>
    <n v="16"/>
    <n v="7"/>
    <n v="0.04"/>
    <n v="1312"/>
    <d v="2024-04-11T00:00:00"/>
    <s v="Hyderabad"/>
    <x v="0"/>
    <s v="online data analytic"/>
    <d v="2024-04-11T00:00:00"/>
    <n v="2.9306829765545363E-2"/>
    <n v="1.8653913043478261"/>
    <n v="13.407500000000001"/>
    <n v="30.645714285714288"/>
    <n v="6.115979862017527"/>
  </r>
  <r>
    <s v="A2718"/>
    <s v="Data Analytics Course"/>
    <n v="139"/>
    <n v="3319"/>
    <n v="230.39"/>
    <n v="28"/>
    <n v="4"/>
    <n v="4.5999999999999999E-2"/>
    <n v="1533"/>
    <s v="19-11-2024"/>
    <s v="Hyderabad"/>
    <x v="2"/>
    <s v="analytics for data"/>
    <d v="2024-11-19T00:00:00"/>
    <n v="4.1880084362759869E-2"/>
    <n v="1.6574820143884892"/>
    <n v="8.2282142857142855"/>
    <n v="57.597499999999997"/>
    <n v="6.6539346325795394"/>
  </r>
  <r>
    <s v="A2719"/>
    <s v="Data Analytics Course"/>
    <n v="190"/>
    <n v="5141"/>
    <n v="225.14"/>
    <n v="15"/>
    <n v="10"/>
    <n v="5.2999999999999999E-2"/>
    <n v="1761"/>
    <d v="2024-11-21T00:00:00"/>
    <s v="Hyderabad"/>
    <x v="0"/>
    <s v="learn data analytics"/>
    <d v="2024-11-21T00:00:00"/>
    <n v="3.6957790313168641E-2"/>
    <n v="1.1849473684210525"/>
    <n v="15.009333333333332"/>
    <n v="22.513999999999999"/>
    <n v="7.8217997690326024"/>
  </r>
  <r>
    <s v="A2720"/>
    <s v="Data Analytics Course"/>
    <n v="92"/>
    <n v="5952"/>
    <n v="192.35"/>
    <n v="30"/>
    <n v="4"/>
    <n v="4.2999999999999997E-2"/>
    <n v="1335"/>
    <d v="2024-08-11T00:00:00"/>
    <s v="Hyderabad"/>
    <x v="1"/>
    <s v="data analitics online"/>
    <d v="2024-08-11T00:00:00"/>
    <n v="1.5456989247311828E-2"/>
    <n v="2.0907608695652171"/>
    <n v="6.4116666666666662"/>
    <n v="48.087499999999999"/>
    <n v="6.9404730959188976"/>
  </r>
  <r>
    <s v="A2721"/>
    <s v="Data Analytics Course"/>
    <n v="107"/>
    <n v="4518.5"/>
    <n v="227.88"/>
    <n v="23"/>
    <n v="8"/>
    <n v="7.4999999999999997E-2"/>
    <n v="1844"/>
    <d v="2024-11-08T00:00:00"/>
    <s v="Hyderabad"/>
    <x v="0"/>
    <s v="online data analytic"/>
    <d v="2024-11-08T00:00:00"/>
    <n v="2.3680424919774262E-2"/>
    <n v="2.1297196261682241"/>
    <n v="9.907826086956522"/>
    <n v="28.484999999999999"/>
    <n v="8.0919782341583293"/>
  </r>
  <r>
    <s v="A2722"/>
    <s v="Data Analytics Course"/>
    <n v="139"/>
    <n v="3794"/>
    <n v="225.38"/>
    <n v="13"/>
    <n v="7"/>
    <n v="4.5999999999999999E-2"/>
    <n v="1401"/>
    <s v="23-11-2024"/>
    <s v="Hyderabad"/>
    <x v="1"/>
    <s v="data analitics online"/>
    <d v="2024-11-23T00:00:00"/>
    <n v="3.6636794939377965E-2"/>
    <n v="1.6214388489208633"/>
    <n v="17.336923076923078"/>
    <n v="32.197142857142858"/>
    <n v="6.2161682491791641"/>
  </r>
  <r>
    <s v="A2723"/>
    <s v="Data Analytics Course"/>
    <n v="186"/>
    <n v="4518.5"/>
    <n v="185.55"/>
    <n v="11"/>
    <n v="5"/>
    <n v="2.7E-2"/>
    <n v="1903"/>
    <d v="2024-11-16T00:00:00"/>
    <s v="Hyderabad"/>
    <x v="2"/>
    <s v="data analytics course"/>
    <d v="2024-11-16T00:00:00"/>
    <n v="4.1164103131570214E-2"/>
    <n v="0.99758064516129041"/>
    <n v="16.868181818181821"/>
    <n v="37.11"/>
    <n v="10.255995688493666"/>
  </r>
  <r>
    <s v="A2724"/>
    <s v="Data Analytics Course"/>
    <n v="129"/>
    <n v="3454"/>
    <n v="223.14"/>
    <n v="17"/>
    <n v="8"/>
    <n v="3.4000000000000002E-2"/>
    <n v="1391"/>
    <d v="2024-01-11T00:00:00"/>
    <s v="Hyderabad"/>
    <x v="2"/>
    <s v="analytics for data"/>
    <d v="2024-01-11T00:00:00"/>
    <n v="3.7348002316155184E-2"/>
    <n v="1.7297674418604649"/>
    <n v="13.125882352941176"/>
    <n v="27.892499999999998"/>
    <n v="6.2337545935287269"/>
  </r>
  <r>
    <s v="A2725"/>
    <s v="Data Analytics Course"/>
    <n v="162"/>
    <n v="3071"/>
    <n v="231.99"/>
    <n v="29"/>
    <n v="9"/>
    <n v="4.5999999999999999E-2"/>
    <n v="1603"/>
    <d v="2024-11-18T00:00:00"/>
    <s v="Hyderabad"/>
    <x v="2"/>
    <s v="online data analytic"/>
    <d v="2024-11-18T00:00:00"/>
    <n v="5.2751546727450339E-2"/>
    <n v="1.432037037037037"/>
    <n v="7.9996551724137932"/>
    <n v="25.776666666666667"/>
    <n v="6.9097805939911199"/>
  </r>
  <r>
    <s v="A2726"/>
    <s v="Data Analytics Course"/>
    <n v="177"/>
    <n v="5954"/>
    <n v="206.76"/>
    <n v="13"/>
    <n v="4"/>
    <n v="0.06"/>
    <n v="1104"/>
    <d v="2024-11-14T00:00:00"/>
    <s v="Hyderabad"/>
    <x v="2"/>
    <s v="learn data analytics"/>
    <d v="2024-11-14T00:00:00"/>
    <n v="2.9727914007389989E-2"/>
    <n v="1.168135593220339"/>
    <n v="15.904615384615385"/>
    <n v="51.69"/>
    <n v="5.3395240858966924"/>
  </r>
  <r>
    <s v="A2727"/>
    <s v="Data Analytics Course"/>
    <n v="93"/>
    <n v="3473"/>
    <n v="207.92"/>
    <n v="30"/>
    <n v="9"/>
    <n v="4.5999999999999999E-2"/>
    <n v="1780"/>
    <d v="2024-11-08T00:00:00"/>
    <s v="Hyderabad"/>
    <x v="0"/>
    <s v="data analytics course"/>
    <d v="2024-11-08T00:00:00"/>
    <n v="2.6778001727613014E-2"/>
    <n v="2.2356989247311825"/>
    <n v="6.9306666666666663"/>
    <n v="23.10222222222222"/>
    <n v="8.5609849942285496"/>
  </r>
  <r>
    <s v="A2728"/>
    <s v="Data Analytics Course"/>
    <n v="117"/>
    <n v="4341"/>
    <n v="212.29"/>
    <n v="19"/>
    <n v="8"/>
    <n v="6.8000000000000005E-2"/>
    <n v="1399"/>
    <s v="21-11-2024"/>
    <s v="Hyderabad"/>
    <x v="0"/>
    <s v="learn data analytics"/>
    <d v="2024-11-21T00:00:00"/>
    <n v="2.6952315134761574E-2"/>
    <n v="1.8144444444444443"/>
    <n v="11.173157894736841"/>
    <n v="26.536249999999999"/>
    <n v="6.5900419237835042"/>
  </r>
  <r>
    <s v="A2729"/>
    <s v="Data Analytics Course"/>
    <n v="120"/>
    <n v="3310"/>
    <n v="247.65"/>
    <n v="15"/>
    <n v="3"/>
    <n v="4.5999999999999999E-2"/>
    <n v="1584"/>
    <d v="2024-11-21T00:00:00"/>
    <s v="Hyderabad"/>
    <x v="1"/>
    <s v="online data analytic"/>
    <d v="2024-11-21T00:00:00"/>
    <n v="3.6253776435045321E-2"/>
    <n v="2.0637500000000002"/>
    <n v="16.510000000000002"/>
    <n v="82.55"/>
    <n v="6.396123561477892"/>
  </r>
  <r>
    <s v="A2730"/>
    <s v="Data Analytics Course"/>
    <n v="81"/>
    <n v="3694"/>
    <n v="183.52"/>
    <n v="17"/>
    <n v="3"/>
    <n v="4.5999999999999999E-2"/>
    <n v="1156"/>
    <s v="22-11-2024"/>
    <s v="Hyderabad"/>
    <x v="1"/>
    <s v="online data analytic"/>
    <d v="2024-11-22T00:00:00"/>
    <n v="2.1927449918787222E-2"/>
    <n v="2.2656790123456791"/>
    <n v="10.79529411764706"/>
    <n v="61.173333333333339"/>
    <n v="6.299040976460331"/>
  </r>
  <r>
    <s v="A2731"/>
    <s v="Data Analytics Course"/>
    <n v="91"/>
    <n v="3576"/>
    <n v="243.02"/>
    <n v="28"/>
    <n v="8"/>
    <n v="8.7999999999999995E-2"/>
    <n v="1567"/>
    <d v="2024-11-25T00:00:00"/>
    <s v="Hyderabad"/>
    <x v="1"/>
    <s v="data anaytics training"/>
    <d v="2024-11-25T00:00:00"/>
    <n v="2.5447427293064876E-2"/>
    <n v="2.6705494505494505"/>
    <n v="8.6792857142857152"/>
    <n v="30.377500000000001"/>
    <n v="6.448028968809151"/>
  </r>
  <r>
    <s v="A2732"/>
    <s v="Data Analytics Course"/>
    <n v="167"/>
    <n v="4856"/>
    <n v="232.1"/>
    <n v="18"/>
    <n v="7"/>
    <n v="4.2000000000000003E-2"/>
    <n v="1476"/>
    <d v="2024-11-07T00:00:00"/>
    <s v="Hyderabad"/>
    <x v="0"/>
    <s v="analytics for data"/>
    <d v="2024-11-07T00:00:00"/>
    <n v="3.4390444810543659E-2"/>
    <n v="1.3898203592814371"/>
    <n v="12.894444444444444"/>
    <n v="33.157142857142858"/>
    <n v="6.3593278759155538"/>
  </r>
  <r>
    <s v="A2733"/>
    <s v="Data Analytics Course"/>
    <n v="175"/>
    <n v="5484"/>
    <n v="186.91"/>
    <n v="14"/>
    <n v="3"/>
    <n v="3.1E-2"/>
    <n v="1728"/>
    <d v="2024-11-18T00:00:00"/>
    <s v="Hyderabad"/>
    <x v="0"/>
    <s v="analytics for data"/>
    <d v="2024-11-18T00:00:00"/>
    <n v="3.1911013858497449E-2"/>
    <n v="1.0680571428571428"/>
    <n v="13.350714285714286"/>
    <n v="62.303333333333335"/>
    <n v="9.2450912203734426"/>
  </r>
  <r>
    <s v="A2734"/>
    <s v="Data Analytics Course"/>
    <n v="121"/>
    <n v="3633"/>
    <n v="190.82"/>
    <n v="16"/>
    <n v="5"/>
    <n v="4.1000000000000002E-2"/>
    <n v="1157"/>
    <d v="2024-11-16T00:00:00"/>
    <s v="Hyderabad"/>
    <x v="2"/>
    <s v="data analitics online"/>
    <d v="2024-11-16T00:00:00"/>
    <n v="3.3305807872281858E-2"/>
    <n v="1.5770247933884296"/>
    <n v="11.92625"/>
    <n v="38.164000000000001"/>
    <n v="6.0633057331516618"/>
  </r>
  <r>
    <s v="A2735"/>
    <s v="Data Analytics Course"/>
    <n v="85"/>
    <n v="4518.5"/>
    <n v="190.32"/>
    <n v="13"/>
    <n v="9"/>
    <n v="0.106"/>
    <n v="1301"/>
    <d v="2024-11-07T00:00:00"/>
    <s v="Hyderabad"/>
    <x v="0"/>
    <s v="data analitics online"/>
    <d v="2024-11-07T00:00:00"/>
    <n v="1.8811552506362732E-2"/>
    <n v="2.2390588235294118"/>
    <n v="14.639999999999999"/>
    <n v="21.146666666666665"/>
    <n v="6.8358554014291721"/>
  </r>
  <r>
    <s v="A2736"/>
    <s v="Data Analytics Course"/>
    <n v="176"/>
    <n v="4474"/>
    <n v="215.93"/>
    <n v="28"/>
    <n v="9"/>
    <n v="3.5000000000000003E-2"/>
    <n v="1214"/>
    <s v="30-11-2024"/>
    <s v="Hyderabad"/>
    <x v="1"/>
    <s v="data analitics online"/>
    <d v="2024-11-30T00:00:00"/>
    <n v="3.9338399642378188E-2"/>
    <n v="1.2268749999999999"/>
    <n v="7.7117857142857149"/>
    <n v="23.992222222222225"/>
    <n v="5.6221923771592648"/>
  </r>
  <r>
    <s v="A2737"/>
    <s v="Data Analytics Course"/>
    <n v="174"/>
    <n v="5282"/>
    <n v="240.85"/>
    <n v="10"/>
    <n v="4"/>
    <n v="4.5999999999999999E-2"/>
    <n v="1481"/>
    <d v="2024-11-26T00:00:00"/>
    <s v="Hyderabad"/>
    <x v="2"/>
    <s v="data analytics course"/>
    <d v="2024-11-26T00:00:00"/>
    <n v="3.294206739871261E-2"/>
    <n v="1.3841954022988505"/>
    <n v="24.085000000000001"/>
    <n v="60.212499999999999"/>
    <n v="6.1490554286900565"/>
  </r>
  <r>
    <s v="A2738"/>
    <s v="Data Analytics Course"/>
    <n v="180"/>
    <n v="3778"/>
    <n v="214.66"/>
    <n v="28"/>
    <n v="4"/>
    <n v="4.5999999999999999E-2"/>
    <n v="1733"/>
    <s v="14-11-2024"/>
    <s v="Hyderabad"/>
    <x v="0"/>
    <s v="data analytics course"/>
    <d v="2024-11-14T00:00:00"/>
    <n v="4.7644256220222343E-2"/>
    <n v="1.1925555555555556"/>
    <n v="7.6664285714285709"/>
    <n v="53.664999999999999"/>
    <n v="8.073232087953043"/>
  </r>
  <r>
    <s v="A2739"/>
    <s v="Data Analytics Course"/>
    <n v="156"/>
    <n v="3361"/>
    <n v="183.12"/>
    <n v="29"/>
    <n v="9"/>
    <n v="5.8000000000000003E-2"/>
    <n v="1241"/>
    <d v="2024-11-10T00:00:00"/>
    <s v="Hyderabad"/>
    <x v="0"/>
    <s v="data analitics online"/>
    <d v="2024-11-10T00:00:00"/>
    <n v="4.6414757512645045E-2"/>
    <n v="1.173846153846154"/>
    <n v="6.3144827586206898"/>
    <n v="20.346666666666668"/>
    <n v="6.7769768457841852"/>
  </r>
  <r>
    <s v="A2740"/>
    <s v="Data Analytics Course"/>
    <n v="139"/>
    <n v="5877"/>
    <n v="223.87"/>
    <n v="21"/>
    <n v="9"/>
    <n v="4.5999999999999999E-2"/>
    <n v="1866"/>
    <d v="2024-11-28T00:00:00"/>
    <s v="Hyderabad"/>
    <x v="1"/>
    <s v="analytics for data"/>
    <d v="2024-11-28T00:00:00"/>
    <n v="2.3651522885826101E-2"/>
    <n v="1.6105755395683454"/>
    <n v="10.66047619047619"/>
    <n v="24.874444444444446"/>
    <n v="8.3351945325412071"/>
  </r>
  <r>
    <s v="A2741"/>
    <s v="Data Analytics Course"/>
    <n v="161"/>
    <n v="5656"/>
    <n v="237.69"/>
    <n v="12"/>
    <n v="4"/>
    <n v="5.6000000000000001E-2"/>
    <n v="1262"/>
    <d v="2024-11-29T00:00:00"/>
    <s v="Hyderabad"/>
    <x v="1"/>
    <s v="online data analytic"/>
    <d v="2024-11-29T00:00:00"/>
    <n v="2.8465346534653466E-2"/>
    <n v="1.476335403726708"/>
    <n v="19.807500000000001"/>
    <n v="59.422499999999999"/>
    <n v="5.309436661197358"/>
  </r>
  <r>
    <s v="A2742"/>
    <s v="Data Analytics Course"/>
    <n v="87"/>
    <n v="3061"/>
    <n v="192.29"/>
    <n v="15"/>
    <n v="6"/>
    <n v="6.9000000000000006E-2"/>
    <n v="1506"/>
    <d v="2024-11-20T00:00:00"/>
    <s v="Hyderabad"/>
    <x v="2"/>
    <s v="data analitics online"/>
    <d v="2024-11-20T00:00:00"/>
    <n v="2.8422084286180985E-2"/>
    <n v="2.2102298850574713"/>
    <n v="12.819333333333333"/>
    <n v="32.048333333333332"/>
    <n v="7.8319205366893758"/>
  </r>
  <r>
    <s v="A2743"/>
    <s v="Data Analytics Course"/>
    <n v="126"/>
    <n v="4569"/>
    <n v="204.13"/>
    <n v="10"/>
    <n v="4"/>
    <n v="3.2000000000000001E-2"/>
    <n v="1037"/>
    <d v="2024-03-11T00:00:00"/>
    <s v="Hyderabad"/>
    <x v="2"/>
    <s v="learn data analytics"/>
    <d v="2024-03-11T00:00:00"/>
    <n v="2.757715036112935E-2"/>
    <n v="1.620079365079365"/>
    <n v="20.413"/>
    <n v="51.032499999999999"/>
    <n v="5.0800960172439131"/>
  </r>
  <r>
    <s v="A2744"/>
    <s v="Data Analytics Course"/>
    <n v="151"/>
    <n v="5067"/>
    <n v="199.12"/>
    <n v="13"/>
    <n v="5"/>
    <n v="5.5E-2"/>
    <n v="1669"/>
    <d v="2024-11-27T00:00:00"/>
    <s v="Hyderabad"/>
    <x v="1"/>
    <s v="data anaytics training"/>
    <d v="2024-11-27T00:00:00"/>
    <n v="2.9800671008486285E-2"/>
    <n v="1.3186754966887417"/>
    <n v="15.316923076923077"/>
    <n v="39.823999999999998"/>
    <n v="8.3818802732020892"/>
  </r>
  <r>
    <s v="A2745"/>
    <s v="Data Analytics Course"/>
    <n v="85"/>
    <n v="5612"/>
    <n v="245.87"/>
    <n v="12"/>
    <n v="7"/>
    <n v="8.2000000000000003E-2"/>
    <n v="1124"/>
    <d v="2024-11-16T00:00:00"/>
    <s v="Hyderabad"/>
    <x v="1"/>
    <s v="learn data analytics"/>
    <d v="2024-11-16T00:00:00"/>
    <n v="1.5146115466856735E-2"/>
    <n v="2.8925882352941179"/>
    <n v="20.489166666666666"/>
    <n v="35.124285714285712"/>
    <n v="4.5715215357709358"/>
  </r>
  <r>
    <s v="A2746"/>
    <s v="Data Analytics Course"/>
    <n v="104"/>
    <n v="4627"/>
    <n v="200.98"/>
    <n v="28"/>
    <n v="6"/>
    <n v="5.8000000000000003E-2"/>
    <n v="1815"/>
    <s v="16-11-2024"/>
    <s v="Hyderabad"/>
    <x v="2"/>
    <s v="data anaytics training"/>
    <d v="2024-11-16T00:00:00"/>
    <n v="2.2476766803544414E-2"/>
    <n v="1.9324999999999999"/>
    <n v="7.1778571428571425"/>
    <n v="33.496666666666663"/>
    <n v="9.0307493282913729"/>
  </r>
  <r>
    <s v="A2747"/>
    <s v="Data Analytics Course"/>
    <n v="103"/>
    <n v="4264"/>
    <n v="214.56"/>
    <n v="27"/>
    <n v="4"/>
    <n v="3.9E-2"/>
    <n v="1804"/>
    <d v="2024-11-11T00:00:00"/>
    <s v="Hyderabad"/>
    <x v="0"/>
    <s v="learn data analytics"/>
    <d v="2024-11-11T00:00:00"/>
    <n v="2.4155722326454035E-2"/>
    <n v="2.0831067961165051"/>
    <n v="7.9466666666666663"/>
    <n v="53.64"/>
    <n v="8.4079045488441455"/>
  </r>
  <r>
    <s v="A2748"/>
    <s v="Data Analytics Course"/>
    <n v="162"/>
    <n v="5815"/>
    <n v="198.49"/>
    <n v="11"/>
    <n v="7"/>
    <n v="4.8000000000000001E-2"/>
    <n v="1468"/>
    <d v="2024-11-23T00:00:00"/>
    <s v="Hyderabad"/>
    <x v="2"/>
    <s v="data analytics course"/>
    <d v="2024-11-23T00:00:00"/>
    <n v="2.7858985382631127E-2"/>
    <n v="1.2252469135802471"/>
    <n v="18.044545454545457"/>
    <n v="28.355714285714289"/>
    <n v="7.3958385812887295"/>
  </r>
  <r>
    <s v="A2749"/>
    <s v="Data Analytics Course"/>
    <n v="161"/>
    <n v="3597"/>
    <n v="218.35"/>
    <n v="29"/>
    <n v="6"/>
    <n v="3.9E-2"/>
    <n v="1840"/>
    <d v="2024-06-11T00:00:00"/>
    <s v="Hyderabad"/>
    <x v="2"/>
    <s v="data analytics course"/>
    <d v="2024-06-11T00:00:00"/>
    <n v="4.4759521823742009E-2"/>
    <n v="1.3562111801242236"/>
    <n v="7.5293103448275858"/>
    <n v="36.391666666666666"/>
    <n v="8.4268376459812231"/>
  </r>
  <r>
    <s v="A2750"/>
    <s v="Data Analytics Course"/>
    <n v="83"/>
    <n v="5973"/>
    <n v="224.06"/>
    <n v="25"/>
    <n v="9"/>
    <n v="0.108"/>
    <n v="1197"/>
    <d v="2024-11-10T00:00:00"/>
    <s v="Hyderabad"/>
    <x v="1"/>
    <s v="analytics for data"/>
    <d v="2024-11-10T00:00:00"/>
    <n v="1.3895864724594007E-2"/>
    <n v="2.6995180722891567"/>
    <n v="8.9624000000000006"/>
    <n v="24.895555555555557"/>
    <n v="5.3423190216906189"/>
  </r>
  <r>
    <s v="A2751"/>
    <s v="Data Analytics Course"/>
    <n v="165"/>
    <n v="3430"/>
    <n v="248.59"/>
    <n v="26"/>
    <n v="8"/>
    <n v="0.04"/>
    <n v="1056"/>
    <d v="2024-11-06T00:00:00"/>
    <s v="Hyderabad"/>
    <x v="0"/>
    <s v="analytics for data"/>
    <d v="2024-11-06T00:00:00"/>
    <n v="4.8104956268221574E-2"/>
    <n v="1.5066060606060607"/>
    <n v="9.5611538461538466"/>
    <n v="31.07375"/>
    <n v="4.2479584858602522"/>
  </r>
  <r>
    <s v="A2752"/>
    <s v="Data Analytics Course"/>
    <n v="134"/>
    <n v="5085"/>
    <n v="186.1"/>
    <n v="18"/>
    <n v="8"/>
    <n v="0.06"/>
    <n v="1033"/>
    <d v="2024-11-27T00:00:00"/>
    <s v="Hyderabad"/>
    <x v="1"/>
    <s v="data analytics course"/>
    <d v="2024-11-27T00:00:00"/>
    <n v="2.6352015732546707E-2"/>
    <n v="1.3888059701492537"/>
    <n v="10.338888888888889"/>
    <n v="23.262499999999999"/>
    <n v="5.5507791509940896"/>
  </r>
  <r>
    <s v="A2753"/>
    <s v="Data Analytics Course"/>
    <n v="126"/>
    <n v="4906"/>
    <n v="222.92"/>
    <n v="16"/>
    <n v="9"/>
    <n v="7.0999999999999994E-2"/>
    <n v="1443"/>
    <d v="2024-11-25T00:00:00"/>
    <s v="Hyderabad"/>
    <x v="1"/>
    <s v="learn data analytics"/>
    <d v="2024-11-25T00:00:00"/>
    <n v="2.5682837342030168E-2"/>
    <n v="1.769206349206349"/>
    <n v="13.932499999999999"/>
    <n v="24.768888888888888"/>
    <n v="6.4731742329086668"/>
  </r>
  <r>
    <s v="A2754"/>
    <s v="Data Analytics Course"/>
    <n v="173"/>
    <n v="5082"/>
    <n v="198.75"/>
    <n v="16"/>
    <n v="3"/>
    <n v="4.5999999999999999E-2"/>
    <n v="1128"/>
    <d v="2024-11-14T00:00:00"/>
    <s v="Hyderabad"/>
    <x v="2"/>
    <s v="analytics for data"/>
    <d v="2024-11-14T00:00:00"/>
    <n v="3.4041715859897681E-2"/>
    <n v="1.1488439306358382"/>
    <n v="12.421875"/>
    <n v="66.25"/>
    <n v="5.6754716981132072"/>
  </r>
  <r>
    <s v="A2755"/>
    <s v="Data Analytics Course"/>
    <n v="174"/>
    <n v="4661"/>
    <n v="200.74"/>
    <n v="20"/>
    <n v="5"/>
    <n v="2.9000000000000001E-2"/>
    <n v="1596"/>
    <d v="2024-11-20T00:00:00"/>
    <s v="Hyderabad"/>
    <x v="0"/>
    <s v="data analytics course"/>
    <d v="2024-11-20T00:00:00"/>
    <n v="3.7331044840163058E-2"/>
    <n v="1.1536781609195403"/>
    <n v="10.037000000000001"/>
    <n v="40.148000000000003"/>
    <n v="7.9505828434791272"/>
  </r>
  <r>
    <s v="A2756"/>
    <s v="Data Analytics Course"/>
    <n v="149"/>
    <n v="3573"/>
    <n v="247.52"/>
    <n v="20"/>
    <n v="4"/>
    <n v="3.1E-2"/>
    <n v="1742"/>
    <d v="2024-03-11T00:00:00"/>
    <s v="Hyderabad"/>
    <x v="1"/>
    <s v="analytics for data"/>
    <d v="2024-03-11T00:00:00"/>
    <n v="4.1701651273439687E-2"/>
    <n v="1.6612080536912752"/>
    <n v="12.376000000000001"/>
    <n v="61.88"/>
    <n v="7.03781512605042"/>
  </r>
  <r>
    <s v="A2757"/>
    <s v="Data Analytics Course"/>
    <n v="108"/>
    <n v="5663"/>
    <n v="213.85"/>
    <n v="20"/>
    <n v="9"/>
    <n v="8.3000000000000004E-2"/>
    <n v="1703"/>
    <d v="2024-11-17T00:00:00"/>
    <s v="Hyderabad"/>
    <x v="0"/>
    <s v="data analitics online"/>
    <d v="2024-11-17T00:00:00"/>
    <n v="1.9071163694155041E-2"/>
    <n v="1.9800925925925925"/>
    <n v="10.692499999999999"/>
    <n v="23.761111111111109"/>
    <n v="7.9635258358662613"/>
  </r>
  <r>
    <s v="A2758"/>
    <s v="Data Analytics Course"/>
    <n v="99"/>
    <n v="4466"/>
    <n v="214.08"/>
    <n v="14"/>
    <n v="7"/>
    <n v="4.5999999999999999E-2"/>
    <n v="1515"/>
    <d v="2024-11-15T00:00:00"/>
    <s v="Hyderabad"/>
    <x v="0"/>
    <s v="analytics for data"/>
    <d v="2024-11-15T00:00:00"/>
    <n v="2.2167487684729065E-2"/>
    <n v="2.1624242424242426"/>
    <n v="15.291428571428572"/>
    <n v="30.582857142857144"/>
    <n v="7.0767937219730941"/>
  </r>
  <r>
    <s v="A2759"/>
    <s v="Data Analytics Course"/>
    <n v="113"/>
    <n v="3120"/>
    <n v="249.66"/>
    <n v="20"/>
    <n v="8"/>
    <n v="7.0999999999999994E-2"/>
    <n v="1895"/>
    <d v="2024-11-27T00:00:00"/>
    <s v="Hyderabad"/>
    <x v="1"/>
    <s v="data anaytics training"/>
    <d v="2024-11-27T00:00:00"/>
    <n v="3.6217948717948721E-2"/>
    <n v="2.2093805309734513"/>
    <n v="12.483000000000001"/>
    <n v="31.2075"/>
    <n v="7.5903228390611233"/>
  </r>
  <r>
    <s v="A2760"/>
    <s v="Data Analytics Course"/>
    <n v="84"/>
    <n v="3911"/>
    <n v="206.06"/>
    <n v="13"/>
    <n v="7"/>
    <n v="4.5999999999999999E-2"/>
    <n v="1155"/>
    <d v="2024-11-18T00:00:00"/>
    <s v="Hyderabad"/>
    <x v="2"/>
    <s v="learn data analytics"/>
    <d v="2024-11-18T00:00:00"/>
    <n v="2.1477882894400408E-2"/>
    <n v="2.453095238095238"/>
    <n v="15.850769230769231"/>
    <n v="29.437142857142856"/>
    <n v="5.6051635445986605"/>
  </r>
  <r>
    <s v="A2761"/>
    <s v="Data Analytics Course"/>
    <n v="182"/>
    <n v="3458"/>
    <n v="186.51"/>
    <n v="28"/>
    <n v="9"/>
    <n v="4.9000000000000002E-2"/>
    <n v="1982"/>
    <d v="2024-11-01T00:00:00"/>
    <s v="Hyderabad"/>
    <x v="0"/>
    <s v="learn data analytics"/>
    <d v="2024-11-01T00:00:00"/>
    <n v="5.2631578947368418E-2"/>
    <n v="1.0247802197802198"/>
    <n v="6.6610714285714279"/>
    <n v="20.723333333333333"/>
    <n v="10.626776044179937"/>
  </r>
  <r>
    <s v="A2762"/>
    <s v="Data Analytics Course"/>
    <n v="82"/>
    <n v="3261"/>
    <n v="245.34"/>
    <n v="30"/>
    <n v="8"/>
    <n v="4.5999999999999999E-2"/>
    <n v="1922"/>
    <d v="2024-11-09T00:00:00"/>
    <s v="Hyderabad"/>
    <x v="0"/>
    <s v="data analytics course"/>
    <d v="2024-11-09T00:00:00"/>
    <n v="2.5145660840233057E-2"/>
    <n v="2.9919512195121953"/>
    <n v="8.1780000000000008"/>
    <n v="30.6675"/>
    <n v="7.8340262492867039"/>
  </r>
  <r>
    <s v="A2763"/>
    <s v="Data Analytics Course"/>
    <n v="103"/>
    <n v="3844"/>
    <n v="232.39"/>
    <n v="13"/>
    <n v="7"/>
    <n v="6.8000000000000005E-2"/>
    <n v="1763"/>
    <d v="2024-11-25T00:00:00"/>
    <s v="Hyderabad"/>
    <x v="1"/>
    <s v="learn data analytics"/>
    <d v="2024-11-25T00:00:00"/>
    <n v="2.6795005202913631E-2"/>
    <n v="2.2562135922330095"/>
    <n v="17.876153846153844"/>
    <n v="33.198571428571427"/>
    <n v="7.586384956323422"/>
  </r>
  <r>
    <s v="A2764"/>
    <s v="Data Analytics Course"/>
    <n v="117"/>
    <n v="4298"/>
    <n v="227.92"/>
    <n v="15"/>
    <n v="8"/>
    <n v="6.8000000000000005E-2"/>
    <n v="1512"/>
    <d v="2024-11-21T00:00:00"/>
    <s v="Hyderabad"/>
    <x v="2"/>
    <s v="online data analytic"/>
    <d v="2024-11-21T00:00:00"/>
    <n v="2.7221963704048394E-2"/>
    <n v="1.9480341880341878"/>
    <n v="15.194666666666667"/>
    <n v="28.49"/>
    <n v="6.6339066339066344"/>
  </r>
  <r>
    <s v="A2765"/>
    <s v="Data Analytics Course"/>
    <n v="93"/>
    <n v="4998"/>
    <n v="201.98"/>
    <n v="17"/>
    <n v="8"/>
    <n v="8.5999999999999993E-2"/>
    <n v="1216"/>
    <d v="2024-11-12T00:00:00"/>
    <s v="Hyderabad"/>
    <x v="0"/>
    <s v="data analytics course"/>
    <d v="2024-11-12T00:00:00"/>
    <n v="1.8607442977190875E-2"/>
    <n v="2.1718279569892474"/>
    <n v="11.881176470588235"/>
    <n v="25.247499999999999"/>
    <n v="6.0203980592137842"/>
  </r>
  <r>
    <s v="A2766"/>
    <s v="Data Analytics Course"/>
    <n v="166"/>
    <n v="5110"/>
    <n v="196.99"/>
    <n v="26"/>
    <n v="4"/>
    <n v="4.5999999999999999E-2"/>
    <n v="1431"/>
    <d v="2024-12-11T00:00:00"/>
    <s v="Hyderabad"/>
    <x v="2"/>
    <s v="data analitics online"/>
    <d v="2024-12-11T00:00:00"/>
    <n v="3.2485322896281803E-2"/>
    <n v="1.1866867469879518"/>
    <n v="7.5765384615384619"/>
    <n v="49.247500000000002"/>
    <n v="7.2643281384841867"/>
  </r>
  <r>
    <s v="A2767"/>
    <s v="Data Analytics Course"/>
    <n v="121"/>
    <n v="5155"/>
    <n v="187"/>
    <n v="23"/>
    <n v="6"/>
    <n v="0.05"/>
    <n v="1510"/>
    <d v="2024-11-05T00:00:00"/>
    <s v="Hyderabad"/>
    <x v="2"/>
    <s v="data analytics course"/>
    <d v="2024-11-05T00:00:00"/>
    <n v="2.3472356935014548E-2"/>
    <n v="1.5454545454545454"/>
    <n v="8.1304347826086953"/>
    <n v="31.166666666666668"/>
    <n v="8.0748663101604272"/>
  </r>
  <r>
    <s v="A2768"/>
    <s v="Data Analytics Course"/>
    <n v="106"/>
    <n v="5010"/>
    <n v="220.66"/>
    <n v="26"/>
    <n v="6"/>
    <n v="5.7000000000000002E-2"/>
    <n v="1345"/>
    <s v="16-11-2024"/>
    <s v="Hyderabad"/>
    <x v="0"/>
    <s v="data analytics course"/>
    <d v="2024-11-16T00:00:00"/>
    <n v="2.1157684630738523E-2"/>
    <n v="2.0816981132075472"/>
    <n v="8.4869230769230768"/>
    <n v="36.776666666666664"/>
    <n v="6.0953503126982689"/>
  </r>
  <r>
    <s v="A2769"/>
    <s v="Data Analytics Course"/>
    <n v="106"/>
    <n v="4362"/>
    <n v="227.02"/>
    <n v="12"/>
    <n v="9"/>
    <n v="8.5000000000000006E-2"/>
    <n v="1548"/>
    <s v="27-11-2024"/>
    <s v="Hyderabad"/>
    <x v="1"/>
    <s v="online data analytic"/>
    <d v="2024-11-27T00:00:00"/>
    <n v="2.4300779458963778E-2"/>
    <n v="2.1416981132075472"/>
    <n v="18.918333333333333"/>
    <n v="25.224444444444444"/>
    <n v="6.8187824861245705"/>
  </r>
  <r>
    <s v="A2770"/>
    <s v="Data Analytics Course"/>
    <n v="122"/>
    <n v="3662"/>
    <n v="211.05"/>
    <n v="19"/>
    <n v="6"/>
    <n v="4.9000000000000002E-2"/>
    <n v="1082"/>
    <d v="2024-11-21T00:00:00"/>
    <s v="Hyderabad"/>
    <x v="0"/>
    <s v="data anaytics training"/>
    <d v="2024-11-21T00:00:00"/>
    <n v="3.3315128345166575E-2"/>
    <n v="1.7299180327868853"/>
    <n v="11.107894736842105"/>
    <n v="35.175000000000004"/>
    <n v="5.1267472162994547"/>
  </r>
  <r>
    <s v="A2771"/>
    <s v="Data Analytics Course"/>
    <n v="193"/>
    <n v="5464"/>
    <n v="224.15"/>
    <n v="12"/>
    <n v="3"/>
    <n v="5.6000000000000001E-2"/>
    <n v="1157"/>
    <d v="2024-03-11T00:00:00"/>
    <s v="Hyderabad"/>
    <x v="2"/>
    <s v="online data analytic"/>
    <d v="2024-03-11T00:00:00"/>
    <n v="3.5322108345534405E-2"/>
    <n v="1.1613989637305699"/>
    <n v="18.679166666666667"/>
    <n v="74.716666666666669"/>
    <n v="5.1617220611197858"/>
  </r>
  <r>
    <s v="A2772"/>
    <s v="Data Analytics Course"/>
    <n v="146"/>
    <n v="3560"/>
    <n v="214.16"/>
    <n v="26"/>
    <n v="3"/>
    <n v="2.1000000000000001E-2"/>
    <n v="1033"/>
    <d v="2024-11-02T00:00:00"/>
    <s v="Hyderabad"/>
    <x v="0"/>
    <s v="analytics for data"/>
    <d v="2024-11-02T00:00:00"/>
    <n v="4.101123595505618E-2"/>
    <n v="1.4668493150684931"/>
    <n v="8.2369230769230768"/>
    <n v="71.38666666666667"/>
    <n v="4.8234964512514011"/>
  </r>
  <r>
    <s v="A2773"/>
    <s v="Data Analytics Course"/>
    <n v="139"/>
    <n v="5014"/>
    <n v="198.84"/>
    <n v="10"/>
    <n v="8"/>
    <n v="4.5999999999999999E-2"/>
    <n v="1474"/>
    <d v="2024-11-14T00:00:00"/>
    <s v="Hyderabad"/>
    <x v="2"/>
    <s v="learn data analytics"/>
    <d v="2024-11-14T00:00:00"/>
    <n v="2.7722377343438371E-2"/>
    <n v="1.4305035971223021"/>
    <n v="19.884"/>
    <n v="24.855"/>
    <n v="7.4129953731643532"/>
  </r>
  <r>
    <s v="A2774"/>
    <s v="Data Analytics Course"/>
    <n v="111"/>
    <n v="3278"/>
    <n v="189.58"/>
    <n v="25"/>
    <n v="5"/>
    <n v="4.4999999999999998E-2"/>
    <n v="1882"/>
    <d v="2024-09-11T00:00:00"/>
    <s v="Hyderabad"/>
    <x v="1"/>
    <s v="data anaytics training"/>
    <d v="2024-09-11T00:00:00"/>
    <n v="3.3862111043319099E-2"/>
    <n v="1.707927927927928"/>
    <n v="7.5832000000000006"/>
    <n v="37.916000000000004"/>
    <n v="9.9272075113408587"/>
  </r>
  <r>
    <s v="A2775"/>
    <s v="Data Analytics Course"/>
    <n v="139"/>
    <n v="3149"/>
    <n v="213.67"/>
    <n v="14"/>
    <n v="8"/>
    <n v="4.5999999999999999E-2"/>
    <n v="1491"/>
    <d v="2024-11-27T00:00:00"/>
    <s v="Hyderabad"/>
    <x v="2"/>
    <s v="online data analytic"/>
    <d v="2024-11-27T00:00:00"/>
    <n v="4.4140997141949828E-2"/>
    <n v="1.5371942446043165"/>
    <n v="15.262142857142857"/>
    <n v="26.708749999999998"/>
    <n v="6.9780502644264528"/>
  </r>
  <r>
    <s v="A2776"/>
    <s v="Data Analytics Course"/>
    <n v="195"/>
    <n v="4128"/>
    <n v="246.55"/>
    <n v="25"/>
    <n v="5"/>
    <n v="2.5999999999999999E-2"/>
    <n v="1105"/>
    <d v="2024-11-09T00:00:00"/>
    <s v="Hyderabad"/>
    <x v="1"/>
    <s v="data anaytics training"/>
    <d v="2024-11-09T00:00:00"/>
    <n v="4.7238372093023256E-2"/>
    <n v="1.2643589743589745"/>
    <n v="9.8620000000000001"/>
    <n v="49.31"/>
    <n v="4.4818495234232403"/>
  </r>
  <r>
    <s v="A2777"/>
    <s v="Data Analytics Course"/>
    <n v="149"/>
    <n v="5018"/>
    <n v="219.11"/>
    <n v="16"/>
    <n v="3"/>
    <n v="4.5999999999999999E-2"/>
    <n v="1795"/>
    <d v="2024-11-26T00:00:00"/>
    <s v="Hyderabad"/>
    <x v="0"/>
    <s v="data anaytics training"/>
    <d v="2024-11-26T00:00:00"/>
    <n v="2.96931048226385E-2"/>
    <n v="1.4705369127516779"/>
    <n v="13.694375000000001"/>
    <n v="73.036666666666676"/>
    <n v="8.192232212130893"/>
  </r>
  <r>
    <s v="A2778"/>
    <s v="Data Analytics Course"/>
    <n v="194"/>
    <n v="5215"/>
    <n v="225.13"/>
    <n v="12"/>
    <n v="6"/>
    <n v="3.1E-2"/>
    <n v="1107"/>
    <d v="2024-11-22T00:00:00"/>
    <s v="Hyderabad"/>
    <x v="2"/>
    <s v="data analitics online"/>
    <d v="2024-11-22T00:00:00"/>
    <n v="3.7200383509108342E-2"/>
    <n v="1.1604639175257732"/>
    <n v="18.760833333333334"/>
    <n v="37.521666666666668"/>
    <n v="4.9171589748145514"/>
  </r>
  <r>
    <s v="A2779"/>
    <s v="Data Analytics Course"/>
    <n v="191"/>
    <n v="3948"/>
    <n v="208.43"/>
    <n v="23"/>
    <n v="7"/>
    <n v="3.6999999999999998E-2"/>
    <n v="1450"/>
    <d v="2024-11-24T00:00:00"/>
    <s v="Hyderabad"/>
    <x v="2"/>
    <s v="data analytics course"/>
    <d v="2024-11-24T00:00:00"/>
    <n v="4.8378926038500504E-2"/>
    <n v="1.0912565445026179"/>
    <n v="9.0621739130434786"/>
    <n v="29.775714285714287"/>
    <n v="6.956772057765197"/>
  </r>
  <r>
    <s v="A2780"/>
    <s v="Data Analytics Course"/>
    <n v="196"/>
    <n v="4912"/>
    <n v="187.07"/>
    <n v="26"/>
    <n v="7"/>
    <n v="4.5999999999999999E-2"/>
    <n v="1720"/>
    <d v="2024-04-11T00:00:00"/>
    <s v="Hyderabad"/>
    <x v="0"/>
    <s v="data analytics course"/>
    <d v="2024-04-11T00:00:00"/>
    <n v="3.9902280130293157E-2"/>
    <n v="0.95443877551020406"/>
    <n v="7.1949999999999994"/>
    <n v="26.724285714285713"/>
    <n v="9.194419201368472"/>
  </r>
  <r>
    <s v="A2781"/>
    <s v="Data Analytics Course"/>
    <n v="182"/>
    <n v="5136"/>
    <n v="249.36"/>
    <n v="23"/>
    <n v="7"/>
    <n v="3.7999999999999999E-2"/>
    <n v="1846"/>
    <d v="2024-11-03T00:00:00"/>
    <s v="Hyderabad"/>
    <x v="0"/>
    <s v="learn data analytics"/>
    <d v="2024-11-03T00:00:00"/>
    <n v="3.5436137071651087E-2"/>
    <n v="1.3701098901098903"/>
    <n v="10.841739130434783"/>
    <n v="35.622857142857143"/>
    <n v="7.402951555983317"/>
  </r>
  <r>
    <s v="A2782"/>
    <s v="Data Analytics Course"/>
    <n v="156"/>
    <n v="5674"/>
    <n v="193.18"/>
    <n v="29"/>
    <n v="10"/>
    <n v="4.5999999999999999E-2"/>
    <n v="1176"/>
    <s v="27-11-2024"/>
    <s v="Hyderabad"/>
    <x v="0"/>
    <s v="data analytics course"/>
    <d v="2024-11-27T00:00:00"/>
    <n v="2.7493831512160734E-2"/>
    <n v="1.2383333333333333"/>
    <n v="6.6613793103448282"/>
    <n v="19.318000000000001"/>
    <n v="6.0875867066984162"/>
  </r>
  <r>
    <s v="A2783"/>
    <s v="Data Analytics Course"/>
    <n v="187"/>
    <n v="4674"/>
    <n v="201.41"/>
    <n v="18"/>
    <n v="9"/>
    <n v="4.8000000000000001E-2"/>
    <n v="1719"/>
    <d v="2024-11-28T00:00:00"/>
    <s v="Hyderabad"/>
    <x v="2"/>
    <s v="learn data analytics"/>
    <d v="2024-11-28T00:00:00"/>
    <n v="4.0008557980316647E-2"/>
    <n v="1.0770588235294118"/>
    <n v="11.189444444444444"/>
    <n v="22.378888888888888"/>
    <n v="8.5348294523608565"/>
  </r>
  <r>
    <s v="A2784"/>
    <s v="Data Analytics Course"/>
    <n v="117"/>
    <n v="4408"/>
    <n v="184"/>
    <n v="30"/>
    <n v="3"/>
    <n v="2.5999999999999999E-2"/>
    <n v="1239"/>
    <s v="14-11-2024"/>
    <s v="Hyderabad"/>
    <x v="2"/>
    <s v="online data analytic"/>
    <d v="2024-11-14T00:00:00"/>
    <n v="2.6542649727767695E-2"/>
    <n v="1.5726495726495726"/>
    <n v="6.1333333333333337"/>
    <n v="61.333333333333336"/>
    <n v="6.7336956521739131"/>
  </r>
  <r>
    <s v="A2785"/>
    <s v="Data Analytics Course"/>
    <n v="135"/>
    <n v="5402"/>
    <n v="238.81"/>
    <n v="19"/>
    <n v="8"/>
    <n v="5.8999999999999997E-2"/>
    <n v="1648"/>
    <s v="28-11-2024"/>
    <s v="Hyderabad"/>
    <x v="1"/>
    <s v="learn data analytics"/>
    <d v="2024-11-28T00:00:00"/>
    <n v="2.4990744168826361E-2"/>
    <n v="1.7689629629629631"/>
    <n v="12.568947368421053"/>
    <n v="29.85125"/>
    <n v="6.9008835475901344"/>
  </r>
  <r>
    <s v="A2786"/>
    <s v="Data Analytics Course"/>
    <n v="114"/>
    <n v="4518.5"/>
    <n v="223.69"/>
    <n v="20"/>
    <n v="3"/>
    <n v="2.5999999999999999E-2"/>
    <n v="1845"/>
    <d v="2024-08-11T00:00:00"/>
    <s v="Hyderabad"/>
    <x v="0"/>
    <s v="data anaytics training"/>
    <d v="2024-08-11T00:00:00"/>
    <n v="2.5229611596768838E-2"/>
    <n v="1.9621929824561404"/>
    <n v="11.1845"/>
    <n v="74.563333333333333"/>
    <n v="8.2480218159059415"/>
  </r>
  <r>
    <s v="A2787"/>
    <s v="Data Analytics Course"/>
    <n v="184"/>
    <n v="5876"/>
    <n v="231.91"/>
    <n v="23"/>
    <n v="7"/>
    <n v="4.5999999999999999E-2"/>
    <n v="1018"/>
    <d v="2024-11-11T00:00:00"/>
    <s v="Hyderabad"/>
    <x v="0"/>
    <s v="data analytics course"/>
    <d v="2024-11-11T00:00:00"/>
    <n v="3.1313818924438394E-2"/>
    <n v="1.2603804347826086"/>
    <n v="10.083043478260869"/>
    <n v="33.130000000000003"/>
    <n v="4.3896339097063519"/>
  </r>
  <r>
    <s v="A2788"/>
    <s v="Data Analytics Course"/>
    <n v="115"/>
    <n v="5996"/>
    <n v="191.99"/>
    <n v="24"/>
    <n v="7"/>
    <n v="4.5999999999999999E-2"/>
    <n v="1822"/>
    <d v="2024-11-20T00:00:00"/>
    <s v="Hyderabad"/>
    <x v="1"/>
    <s v="data analytics course"/>
    <d v="2024-11-20T00:00:00"/>
    <n v="1.9179452968645764E-2"/>
    <n v="1.6694782608695653"/>
    <n v="7.9995833333333337"/>
    <n v="27.427142857142858"/>
    <n v="9.490077608208761"/>
  </r>
  <r>
    <s v="A2789"/>
    <s v="Data Analytics Course"/>
    <n v="149"/>
    <n v="3249"/>
    <n v="202.43"/>
    <n v="11"/>
    <n v="6"/>
    <n v="0.04"/>
    <n v="1027"/>
    <d v="2024-04-11T00:00:00"/>
    <s v="Hyderabad"/>
    <x v="0"/>
    <s v="analytics for data"/>
    <d v="2024-04-11T00:00:00"/>
    <n v="4.5860264696829793E-2"/>
    <n v="1.3585906040268456"/>
    <n v="18.402727272727272"/>
    <n v="33.738333333333337"/>
    <n v="5.0733586918934943"/>
  </r>
  <r>
    <s v="A2790"/>
    <s v="Data Analytics Course"/>
    <n v="136"/>
    <n v="4351"/>
    <n v="233.43"/>
    <n v="18"/>
    <n v="6"/>
    <n v="4.3999999999999997E-2"/>
    <n v="1299"/>
    <d v="2024-12-11T00:00:00"/>
    <s v="Hyderabad"/>
    <x v="2"/>
    <s v="online data analytic"/>
    <d v="2024-12-11T00:00:00"/>
    <n v="3.1257182256952426E-2"/>
    <n v="1.7163970588235296"/>
    <n v="12.968333333333334"/>
    <n v="38.905000000000001"/>
    <n v="5.5648374244955656"/>
  </r>
  <r>
    <s v="A2791"/>
    <s v="Data Analytics Course"/>
    <n v="119"/>
    <n v="5805"/>
    <n v="245.13"/>
    <n v="25"/>
    <n v="6"/>
    <n v="4.5999999999999999E-2"/>
    <n v="1122"/>
    <d v="2024-11-13T00:00:00"/>
    <s v="Hyderabad"/>
    <x v="2"/>
    <s v="online data analytic"/>
    <d v="2024-11-13T00:00:00"/>
    <n v="2.0499569336778638E-2"/>
    <n v="2.0599159663865545"/>
    <n v="9.8051999999999992"/>
    <n v="40.854999999999997"/>
    <n v="4.5771631379268145"/>
  </r>
  <r>
    <s v="A2792"/>
    <s v="Data Analytics Course"/>
    <n v="186"/>
    <n v="5685"/>
    <n v="197.15"/>
    <n v="18"/>
    <n v="10"/>
    <n v="4.5999999999999999E-2"/>
    <n v="1273"/>
    <d v="2024-11-24T00:00:00"/>
    <s v="Hyderabad"/>
    <x v="0"/>
    <s v="data analytics course"/>
    <d v="2024-11-24T00:00:00"/>
    <n v="3.2717678100263853E-2"/>
    <n v="1.0599462365591399"/>
    <n v="10.952777777777778"/>
    <n v="19.715"/>
    <n v="6.4570124270859752"/>
  </r>
  <r>
    <s v="A2793"/>
    <s v="Data Analytics Course"/>
    <n v="91"/>
    <n v="3199"/>
    <n v="196.04"/>
    <n v="27"/>
    <n v="4"/>
    <n v="4.3999999999999997E-2"/>
    <n v="1737"/>
    <d v="2024-11-25T00:00:00"/>
    <s v="Hyderabad"/>
    <x v="2"/>
    <s v="data anaytics training"/>
    <d v="2024-11-25T00:00:00"/>
    <n v="2.8446389496717725E-2"/>
    <n v="2.1542857142857144"/>
    <n v="7.2607407407407401"/>
    <n v="49.01"/>
    <n v="8.860436645582535"/>
  </r>
  <r>
    <s v="A2794"/>
    <s v="Data Analytics Course"/>
    <n v="171"/>
    <n v="3490"/>
    <n v="180.82"/>
    <n v="11"/>
    <n v="8"/>
    <n v="4.7E-2"/>
    <n v="1497"/>
    <d v="2024-11-14T00:00:00"/>
    <s v="Hyderabad"/>
    <x v="1"/>
    <s v="data analytics course"/>
    <d v="2024-11-14T00:00:00"/>
    <n v="4.8997134670487108E-2"/>
    <n v="1.0574269005847954"/>
    <n v="16.438181818181818"/>
    <n v="22.602499999999999"/>
    <n v="8.2789514434244005"/>
  </r>
  <r>
    <s v="A2795"/>
    <s v="Data Analytics Course"/>
    <n v="149"/>
    <n v="3584"/>
    <n v="199.9"/>
    <n v="21"/>
    <n v="8"/>
    <n v="5.3999999999999999E-2"/>
    <n v="1505"/>
    <d v="2024-11-18T00:00:00"/>
    <s v="Hyderabad"/>
    <x v="1"/>
    <s v="learn data analytics"/>
    <d v="2024-11-18T00:00:00"/>
    <n v="4.1573660714285712E-2"/>
    <n v="1.3416107382550335"/>
    <n v="9.519047619047619"/>
    <n v="24.987500000000001"/>
    <n v="7.5287643821910955"/>
  </r>
  <r>
    <s v="A2796"/>
    <s v="Data Analytics Course"/>
    <n v="121"/>
    <n v="3757"/>
    <n v="241.14"/>
    <n v="16"/>
    <n v="3"/>
    <n v="0.04"/>
    <n v="1226"/>
    <d v="2024-11-11T00:00:00"/>
    <s v="Hyderabad"/>
    <x v="0"/>
    <s v="data analitics online"/>
    <d v="2024-11-11T00:00:00"/>
    <n v="3.2206547777482032E-2"/>
    <n v="1.992892561983471"/>
    <n v="15.071249999999999"/>
    <n v="80.38"/>
    <n v="5.0841834618893591"/>
  </r>
  <r>
    <s v="A2797"/>
    <s v="Data Analytics Course"/>
    <n v="189"/>
    <n v="3029"/>
    <n v="215.57"/>
    <n v="21"/>
    <n v="3"/>
    <n v="1.6E-2"/>
    <n v="1016"/>
    <d v="2024-11-05T00:00:00"/>
    <s v="Hyderabad"/>
    <x v="0"/>
    <s v="data anaytics training"/>
    <d v="2024-11-05T00:00:00"/>
    <n v="6.2396830637173988E-2"/>
    <n v="1.1405820105820106"/>
    <n v="10.265238095238095"/>
    <n v="71.856666666666669"/>
    <n v="4.7130862364893078"/>
  </r>
  <r>
    <s v="A2798"/>
    <s v="Data Analytics Course"/>
    <n v="183"/>
    <n v="3876"/>
    <n v="237.72"/>
    <n v="13"/>
    <n v="10"/>
    <n v="5.5E-2"/>
    <n v="1682"/>
    <d v="2024-11-11T00:00:00"/>
    <s v="Hyderabad"/>
    <x v="1"/>
    <s v="data analitics online"/>
    <d v="2024-11-11T00:00:00"/>
    <n v="4.7213622291021669E-2"/>
    <n v="1.2990163934426229"/>
    <n v="18.286153846153844"/>
    <n v="23.771999999999998"/>
    <n v="7.0755510684839305"/>
  </r>
  <r>
    <s v="A2799"/>
    <s v="Data Analytics Course"/>
    <n v="133"/>
    <n v="4622"/>
    <n v="243.63"/>
    <n v="26"/>
    <n v="5"/>
    <n v="3.7999999999999999E-2"/>
    <n v="1742"/>
    <d v="2024-11-22T00:00:00"/>
    <s v="Hyderabad"/>
    <x v="1"/>
    <s v="analytics for data"/>
    <d v="2024-11-22T00:00:00"/>
    <n v="2.8775421895283426E-2"/>
    <n v="1.8318045112781955"/>
    <n v="9.3703846153846158"/>
    <n v="48.725999999999999"/>
    <n v="7.150186758609367"/>
  </r>
  <r>
    <s v="A2800"/>
    <s v="Data Analytics Course"/>
    <n v="127"/>
    <n v="3249"/>
    <n v="244.01"/>
    <n v="25"/>
    <n v="5"/>
    <n v="3.9E-2"/>
    <n v="1248"/>
    <d v="2024-11-05T00:00:00"/>
    <s v="Hyderabad"/>
    <x v="1"/>
    <s v="analytics for data"/>
    <d v="2024-11-05T00:00:00"/>
    <n v="3.9088950446291168E-2"/>
    <n v="1.9213385826771652"/>
    <n v="9.7603999999999989"/>
    <n v="48.802"/>
    <n v="5.1145444858817264"/>
  </r>
  <r>
    <s v="A2801"/>
    <s v="Data Analytics Course"/>
    <n v="195"/>
    <n v="3372"/>
    <n v="225.57"/>
    <n v="10"/>
    <n v="9"/>
    <n v="4.5999999999999999E-2"/>
    <n v="1686"/>
    <d v="2024-11-17T00:00:00"/>
    <s v="Hyderabad"/>
    <x v="1"/>
    <s v="data anaytics training"/>
    <d v="2024-11-17T00:00:00"/>
    <n v="5.7829181494661923E-2"/>
    <n v="1.1567692307692308"/>
    <n v="22.556999999999999"/>
    <n v="25.063333333333333"/>
    <n v="7.4743981912488362"/>
  </r>
  <r>
    <s v="A2802"/>
    <s v="Data Analytics Course"/>
    <n v="138"/>
    <n v="5452"/>
    <n v="210.45"/>
    <n v="16"/>
    <n v="8"/>
    <n v="5.1999999999999998E-2"/>
    <n v="1964"/>
    <d v="2024-02-11T00:00:00"/>
    <s v="Hyderabad"/>
    <x v="0"/>
    <s v="data anaytics training"/>
    <d v="2024-02-11T00:00:00"/>
    <n v="2.5311812179016874E-2"/>
    <n v="1.5249999999999999"/>
    <n v="13.153124999999999"/>
    <n v="26.306249999999999"/>
    <n v="9.3323829888334533"/>
  </r>
  <r>
    <s v="A2803"/>
    <s v="Data Analytics Course"/>
    <n v="134"/>
    <n v="3011"/>
    <n v="230.59"/>
    <n v="21"/>
    <n v="7"/>
    <n v="5.1999999999999998E-2"/>
    <n v="1224"/>
    <s v="16-11-2024"/>
    <s v="Hyderabad"/>
    <x v="1"/>
    <s v="online data analytic"/>
    <d v="2024-11-16T00:00:00"/>
    <n v="4.4503487213550318E-2"/>
    <n v="1.720820895522388"/>
    <n v="10.980476190476191"/>
    <n v="32.941428571428574"/>
    <n v="5.3081226419185565"/>
  </r>
  <r>
    <s v="A2804"/>
    <s v="Data Analytics Course"/>
    <n v="110"/>
    <n v="3371"/>
    <n v="211.89"/>
    <n v="12"/>
    <n v="6"/>
    <n v="5.5E-2"/>
    <n v="1743"/>
    <d v="2024-11-09T00:00:00"/>
    <s v="Hyderabad"/>
    <x v="2"/>
    <s v="data analytics course"/>
    <d v="2024-11-09T00:00:00"/>
    <n v="3.2631266686443193E-2"/>
    <n v="1.9262727272727271"/>
    <n v="17.657499999999999"/>
    <n v="35.314999999999998"/>
    <n v="8.2259663032705657"/>
  </r>
  <r>
    <s v="A2805"/>
    <s v="Data Analytics Course"/>
    <n v="186"/>
    <n v="5126"/>
    <n v="182.38"/>
    <n v="25"/>
    <n v="7"/>
    <n v="3.7999999999999999E-2"/>
    <n v="1856"/>
    <d v="2024-11-18T00:00:00"/>
    <s v="Hyderabad"/>
    <x v="2"/>
    <s v="data analitics online"/>
    <d v="2024-11-18T00:00:00"/>
    <n v="3.6285602809207958E-2"/>
    <n v="0.98053763440860209"/>
    <n v="7.2951999999999995"/>
    <n v="26.054285714285715"/>
    <n v="10.176554446759514"/>
  </r>
  <r>
    <s v="A2806"/>
    <s v="Data Analytics Course"/>
    <n v="191"/>
    <n v="5257"/>
    <n v="219.4"/>
    <n v="29"/>
    <n v="6"/>
    <n v="3.1E-2"/>
    <n v="1730"/>
    <d v="2024-11-04T00:00:00"/>
    <s v="Hyderabad"/>
    <x v="1"/>
    <s v="data analitics online"/>
    <d v="2024-11-04T00:00:00"/>
    <n v="3.6332509035571621E-2"/>
    <n v="1.1486910994764399"/>
    <n v="7.5655172413793101"/>
    <n v="36.56666666666667"/>
    <n v="7.8851412944393795"/>
  </r>
  <r>
    <s v="A2807"/>
    <s v="Data Analytics Course"/>
    <n v="169"/>
    <n v="3475"/>
    <n v="247.16"/>
    <n v="12"/>
    <n v="3"/>
    <n v="1.7999999999999999E-2"/>
    <n v="1985"/>
    <d v="2024-11-12T00:00:00"/>
    <s v="Hyderabad"/>
    <x v="1"/>
    <s v="data anaytics training"/>
    <d v="2024-11-12T00:00:00"/>
    <n v="4.8633093525179853E-2"/>
    <n v="1.4624852071005916"/>
    <n v="20.596666666666668"/>
    <n v="82.38666666666667"/>
    <n v="8.0312348276420131"/>
  </r>
  <r>
    <s v="A2808"/>
    <s v="Data Analytics Course"/>
    <n v="198"/>
    <n v="5447"/>
    <n v="225.49"/>
    <n v="16"/>
    <n v="5"/>
    <n v="2.5000000000000001E-2"/>
    <n v="1249"/>
    <s v="29-11-2024"/>
    <s v="Hyderabad"/>
    <x v="1"/>
    <s v="analytics for data"/>
    <d v="2024-11-29T00:00:00"/>
    <n v="3.6350284560308428E-2"/>
    <n v="1.138838383838384"/>
    <n v="14.093125000000001"/>
    <n v="45.097999999999999"/>
    <n v="5.539048294824604"/>
  </r>
  <r>
    <s v="A2809"/>
    <s v="Data Analytics Course"/>
    <n v="184"/>
    <n v="3272"/>
    <n v="241.8"/>
    <n v="27"/>
    <n v="9"/>
    <n v="4.5999999999999999E-2"/>
    <n v="1969"/>
    <d v="2024-11-08T00:00:00"/>
    <s v="Hyderabad"/>
    <x v="1"/>
    <s v="learn data analytics"/>
    <d v="2024-11-08T00:00:00"/>
    <n v="5.623471882640587E-2"/>
    <n v="1.3141304347826088"/>
    <n v="8.9555555555555557"/>
    <n v="26.866666666666667"/>
    <n v="8.1430934656741112"/>
  </r>
  <r>
    <s v="A2810"/>
    <s v="Data Analytics Course"/>
    <n v="87"/>
    <n v="5221"/>
    <n v="217.08"/>
    <n v="13"/>
    <n v="9"/>
    <n v="0.10299999999999999"/>
    <n v="1723"/>
    <d v="2024-11-09T00:00:00"/>
    <s v="Hyderabad"/>
    <x v="0"/>
    <s v="data analitics online"/>
    <d v="2024-11-09T00:00:00"/>
    <n v="1.6663474430185787E-2"/>
    <n v="2.4951724137931035"/>
    <n v="16.69846153846154"/>
    <n v="24.12"/>
    <n v="7.9371660217431357"/>
  </r>
  <r>
    <s v="A2811"/>
    <s v="Data Analytics Course"/>
    <n v="180"/>
    <n v="3099"/>
    <n v="241.32"/>
    <n v="23"/>
    <n v="5"/>
    <n v="2.8000000000000001E-2"/>
    <n v="1177"/>
    <d v="2024-11-28T00:00:00"/>
    <s v="Hyderabad"/>
    <x v="1"/>
    <s v="analytics for data"/>
    <d v="2024-11-28T00:00:00"/>
    <n v="5.8083252662149081E-2"/>
    <n v="1.3406666666666667"/>
    <n v="10.492173913043478"/>
    <n v="48.263999999999996"/>
    <n v="4.8773412895740096"/>
  </r>
  <r>
    <s v="A2812"/>
    <s v="Data Analytics Course"/>
    <n v="99"/>
    <n v="4229"/>
    <n v="183.7"/>
    <n v="24"/>
    <n v="8"/>
    <n v="8.1000000000000003E-2"/>
    <n v="1792"/>
    <d v="2024-11-19T00:00:00"/>
    <s v="Hyderabad"/>
    <x v="1"/>
    <s v="learn data analytics"/>
    <d v="2024-11-19T00:00:00"/>
    <n v="2.3409789548356586E-2"/>
    <n v="1.8555555555555554"/>
    <n v="7.6541666666666659"/>
    <n v="22.962499999999999"/>
    <n v="9.7550353837778996"/>
  </r>
  <r>
    <s v="A2813"/>
    <s v="Data Analytics Course"/>
    <n v="148"/>
    <n v="4038"/>
    <n v="248.37"/>
    <n v="28"/>
    <n v="3"/>
    <n v="4.5999999999999999E-2"/>
    <n v="1549"/>
    <d v="2024-08-11T00:00:00"/>
    <s v="Hyderabad"/>
    <x v="1"/>
    <s v="online data analytic"/>
    <d v="2024-08-11T00:00:00"/>
    <n v="3.6651807825656267E-2"/>
    <n v="1.6781756756756756"/>
    <n v="8.8703571428571433"/>
    <n v="82.79"/>
    <n v="6.2366630430406245"/>
  </r>
  <r>
    <s v="A2814"/>
    <s v="Data Analytics Course"/>
    <n v="146"/>
    <n v="3960"/>
    <n v="213.7"/>
    <n v="29"/>
    <n v="6"/>
    <n v="4.1000000000000002E-2"/>
    <n v="1178"/>
    <d v="2024-11-23T00:00:00"/>
    <s v="Hyderabad"/>
    <x v="1"/>
    <s v="data analytics course"/>
    <d v="2024-11-23T00:00:00"/>
    <n v="3.686868686868687E-2"/>
    <n v="1.4636986301369863"/>
    <n v="7.3689655172413788"/>
    <n v="35.616666666666667"/>
    <n v="5.5124005615348626"/>
  </r>
  <r>
    <s v="A2815"/>
    <s v="Data Analytics Course"/>
    <n v="149"/>
    <n v="3865"/>
    <n v="198.54"/>
    <n v="14"/>
    <n v="4"/>
    <n v="3.4000000000000002E-2"/>
    <n v="1505"/>
    <d v="2024-11-01T00:00:00"/>
    <s v="Hyderabad"/>
    <x v="2"/>
    <s v="data anaytics training"/>
    <d v="2024-11-01T00:00:00"/>
    <n v="3.855109961190168E-2"/>
    <n v="1.3324832214765101"/>
    <n v="14.181428571428571"/>
    <n v="49.634999999999998"/>
    <n v="7.5803364561297473"/>
  </r>
  <r>
    <s v="A2816"/>
    <s v="Data Analytics Course"/>
    <n v="88"/>
    <n v="3433"/>
    <n v="241.8"/>
    <n v="29"/>
    <n v="6"/>
    <n v="6.8000000000000005E-2"/>
    <n v="1654"/>
    <d v="2024-11-20T00:00:00"/>
    <s v="Hyderabad"/>
    <x v="1"/>
    <s v="learn data analytics"/>
    <d v="2024-11-20T00:00:00"/>
    <n v="2.5633556655986017E-2"/>
    <n v="2.747727272727273"/>
    <n v="8.3379310344827591"/>
    <n v="40.300000000000004"/>
    <n v="6.8403639371381306"/>
  </r>
  <r>
    <s v="A2817"/>
    <s v="Data Analytics Course"/>
    <n v="154"/>
    <n v="3009"/>
    <n v="185.32"/>
    <n v="16"/>
    <n v="9"/>
    <n v="5.0999999999999997E-2"/>
    <n v="1433"/>
    <s v="14-11-2024"/>
    <s v="Hyderabad"/>
    <x v="1"/>
    <s v="data analitics online"/>
    <d v="2024-11-14T00:00:00"/>
    <n v="5.1179793951478897E-2"/>
    <n v="1.2033766233766234"/>
    <n v="11.5825"/>
    <n v="20.591111111111111"/>
    <n v="7.7325706885387442"/>
  </r>
  <r>
    <s v="A2818"/>
    <s v="Data Analytics Course"/>
    <n v="137"/>
    <n v="4817"/>
    <n v="215.57"/>
    <n v="17"/>
    <n v="6"/>
    <n v="5.6000000000000001E-2"/>
    <n v="1720"/>
    <d v="2024-08-11T00:00:00"/>
    <s v="Hyderabad"/>
    <x v="1"/>
    <s v="data analytics course"/>
    <d v="2024-08-11T00:00:00"/>
    <n v="2.844093834336724E-2"/>
    <n v="1.5735036496350365"/>
    <n v="12.680588235294117"/>
    <n v="35.928333333333335"/>
    <n v="7.9788467783086707"/>
  </r>
  <r>
    <s v="A2819"/>
    <s v="Data Analytics Course"/>
    <n v="125"/>
    <n v="5217"/>
    <n v="183.16"/>
    <n v="16"/>
    <n v="10"/>
    <n v="4.1000000000000002E-2"/>
    <n v="1245"/>
    <d v="2024-11-03T00:00:00"/>
    <s v="Hyderabad"/>
    <x v="2"/>
    <s v="learn data analytics"/>
    <d v="2024-11-03T00:00:00"/>
    <n v="2.3960130343109065E-2"/>
    <n v="1.4652799999999999"/>
    <n v="11.4475"/>
    <n v="18.315999999999999"/>
    <n v="6.7973356628084733"/>
  </r>
  <r>
    <s v="A2820"/>
    <s v="Data Analytics Course"/>
    <n v="155"/>
    <n v="4870"/>
    <n v="191.54"/>
    <n v="23"/>
    <n v="8"/>
    <n v="5.1999999999999998E-2"/>
    <n v="1451"/>
    <d v="2024-11-14T00:00:00"/>
    <s v="Hyderabad"/>
    <x v="2"/>
    <s v="data analytics course"/>
    <d v="2024-11-14T00:00:00"/>
    <n v="3.1827515400410678E-2"/>
    <n v="1.235741935483871"/>
    <n v="8.3278260869565219"/>
    <n v="23.942499999999999"/>
    <n v="7.5754411611151724"/>
  </r>
  <r>
    <s v="A2821"/>
    <s v="Data Analytics Course"/>
    <n v="111"/>
    <n v="5133"/>
    <n v="240.23"/>
    <n v="22"/>
    <n v="8"/>
    <n v="7.1999999999999995E-2"/>
    <n v="1555"/>
    <s v="22-11-2024"/>
    <s v="Hyderabad"/>
    <x v="0"/>
    <s v="online data analytic"/>
    <d v="2024-11-22T00:00:00"/>
    <n v="2.1624780829924022E-2"/>
    <n v="2.1642342342342342"/>
    <n v="10.919545454545455"/>
    <n v="30.028749999999999"/>
    <n v="6.4729634100653541"/>
  </r>
  <r>
    <s v="A2822"/>
    <s v="Data Analytics Course"/>
    <n v="141"/>
    <n v="3181"/>
    <n v="234.44"/>
    <n v="16"/>
    <n v="9"/>
    <n v="6.4000000000000001E-2"/>
    <n v="1628"/>
    <d v="2024-11-21T00:00:00"/>
    <s v="Hyderabad"/>
    <x v="0"/>
    <s v="data anaytics training"/>
    <d v="2024-11-21T00:00:00"/>
    <n v="4.4325683747249295E-2"/>
    <n v="1.6626950354609928"/>
    <n v="14.6525"/>
    <n v="26.048888888888889"/>
    <n v="6.9442074731274523"/>
  </r>
  <r>
    <s v="A2823"/>
    <s v="Data Analytics Course"/>
    <n v="153"/>
    <n v="4153"/>
    <n v="234.25"/>
    <n v="18"/>
    <n v="5"/>
    <n v="4.8000000000000001E-2"/>
    <n v="1368"/>
    <d v="2024-11-24T00:00:00"/>
    <s v="Hyderabad"/>
    <x v="2"/>
    <s v="data analytics course"/>
    <d v="2024-11-24T00:00:00"/>
    <n v="3.6840837948470984E-2"/>
    <n v="1.5310457516339868"/>
    <n v="13.013888888888889"/>
    <n v="46.85"/>
    <n v="5.8399146211312702"/>
  </r>
  <r>
    <s v="A2824"/>
    <s v="Data Analytics Course"/>
    <n v="176"/>
    <n v="4518.5"/>
    <n v="191.11"/>
    <n v="11"/>
    <n v="4"/>
    <n v="5.8999999999999997E-2"/>
    <n v="1107"/>
    <d v="2024-11-28T00:00:00"/>
    <s v="Hyderabad"/>
    <x v="1"/>
    <s v="online data analytic"/>
    <d v="2024-11-28T00:00:00"/>
    <n v="3.8950979307292244E-2"/>
    <n v="1.0858522727272728"/>
    <n v="17.373636363636365"/>
    <n v="47.777500000000003"/>
    <n v="5.7924755376484747"/>
  </r>
  <r>
    <s v="A2825"/>
    <s v="Data Analytics Course"/>
    <n v="147"/>
    <n v="4250"/>
    <n v="223.33"/>
    <n v="17"/>
    <n v="3"/>
    <n v="0.02"/>
    <n v="1069"/>
    <d v="2024-11-27T00:00:00"/>
    <s v="Hyderabad"/>
    <x v="0"/>
    <s v="online data analytic"/>
    <d v="2024-11-27T00:00:00"/>
    <n v="3.4588235294117649E-2"/>
    <n v="1.5192517006802722"/>
    <n v="13.137058823529413"/>
    <n v="74.443333333333342"/>
    <n v="4.786638606546366"/>
  </r>
  <r>
    <s v="A2826"/>
    <s v="Data Analytics Course"/>
    <n v="80"/>
    <n v="4518.5"/>
    <n v="196.17"/>
    <n v="15"/>
    <n v="4"/>
    <n v="0.05"/>
    <n v="1252"/>
    <d v="2024-11-08T00:00:00"/>
    <s v="Hyderabad"/>
    <x v="0"/>
    <s v="learn data analytics"/>
    <d v="2024-11-08T00:00:00"/>
    <n v="1.7704990594223747E-2"/>
    <n v="2.4521249999999997"/>
    <n v="13.077999999999999"/>
    <n v="49.042499999999997"/>
    <n v="6.3822195034918696"/>
  </r>
  <r>
    <s v="A2827"/>
    <s v="Data Analytics Course"/>
    <n v="181"/>
    <n v="5783"/>
    <n v="231.16"/>
    <n v="24"/>
    <n v="4"/>
    <n v="2.1999999999999999E-2"/>
    <n v="1963"/>
    <s v="29-11-2024"/>
    <s v="Hyderabad"/>
    <x v="2"/>
    <s v="data analytics course"/>
    <d v="2024-11-29T00:00:00"/>
    <n v="3.1298633927027496E-2"/>
    <n v="1.2771270718232044"/>
    <n v="9.6316666666666659"/>
    <n v="57.79"/>
    <n v="8.4919536251946699"/>
  </r>
  <r>
    <s v="A2828"/>
    <s v="Data Analytics Course"/>
    <n v="175"/>
    <n v="3792"/>
    <n v="227.98"/>
    <n v="17"/>
    <n v="8"/>
    <n v="4.5999999999999999E-2"/>
    <n v="1627"/>
    <d v="2024-11-04T00:00:00"/>
    <s v="Hyderabad"/>
    <x v="2"/>
    <s v="learn data analytics"/>
    <d v="2024-11-04T00:00:00"/>
    <n v="4.6149789029535863E-2"/>
    <n v="1.302742857142857"/>
    <n v="13.410588235294117"/>
    <n v="28.497499999999999"/>
    <n v="7.1365909290288627"/>
  </r>
  <r>
    <s v="A2829"/>
    <s v="Data Analytics Course"/>
    <n v="94"/>
    <n v="5919"/>
    <n v="220.26"/>
    <n v="18"/>
    <n v="8"/>
    <n v="5.5E-2"/>
    <n v="1486"/>
    <d v="2024-11-18T00:00:00"/>
    <s v="Hyderabad"/>
    <x v="0"/>
    <s v="data anaytics training"/>
    <d v="2024-11-18T00:00:00"/>
    <n v="1.58810609900321E-2"/>
    <n v="2.3431914893617019"/>
    <n v="12.236666666666666"/>
    <n v="27.532499999999999"/>
    <n v="6.7465722328157636"/>
  </r>
  <r>
    <s v="A2830"/>
    <s v="Data Analytics Course"/>
    <n v="119"/>
    <n v="4593"/>
    <n v="248.14"/>
    <n v="23"/>
    <n v="8"/>
    <n v="6.7000000000000004E-2"/>
    <n v="1595"/>
    <d v="2024-11-08T00:00:00"/>
    <s v="Hyderabad"/>
    <x v="1"/>
    <s v="learn data analytics"/>
    <d v="2024-11-08T00:00:00"/>
    <n v="2.5908991944263007E-2"/>
    <n v="2.0852100840336134"/>
    <n v="10.788695652173912"/>
    <n v="31.017499999999998"/>
    <n v="6.4278230031433869"/>
  </r>
  <r>
    <s v="A2831"/>
    <s v="Data Analytics Course"/>
    <n v="146"/>
    <n v="4308"/>
    <n v="181.7"/>
    <n v="27"/>
    <n v="9"/>
    <n v="4.5999999999999999E-2"/>
    <n v="1391"/>
    <d v="2024-11-06T00:00:00"/>
    <s v="Hyderabad"/>
    <x v="2"/>
    <s v="analytics for data"/>
    <d v="2024-11-06T00:00:00"/>
    <n v="3.3890436397400185E-2"/>
    <n v="1.2445205479452055"/>
    <n v="6.7296296296296294"/>
    <n v="20.188888888888886"/>
    <n v="7.6554760594386355"/>
  </r>
  <r>
    <s v="A2832"/>
    <s v="Data Analytics Course"/>
    <n v="122"/>
    <n v="4676"/>
    <n v="202.56"/>
    <n v="25"/>
    <n v="8"/>
    <n v="5.0999999999999997E-2"/>
    <n v="1368"/>
    <d v="2024-11-07T00:00:00"/>
    <s v="Hyderabad"/>
    <x v="2"/>
    <s v="data analytics course"/>
    <d v="2024-11-07T00:00:00"/>
    <n v="2.6090675791274595E-2"/>
    <n v="1.660327868852459"/>
    <n v="8.1023999999999994"/>
    <n v="25.32"/>
    <n v="6.7535545023696679"/>
  </r>
  <r>
    <s v="A2833"/>
    <s v="Data Analytics Course"/>
    <n v="114"/>
    <n v="5832"/>
    <n v="215.57"/>
    <n v="28"/>
    <n v="4"/>
    <n v="3.5000000000000003E-2"/>
    <n v="1566"/>
    <d v="2024-11-18T00:00:00"/>
    <s v="Hyderabad"/>
    <x v="1"/>
    <s v="data analytics course"/>
    <d v="2024-11-18T00:00:00"/>
    <n v="1.954732510288066E-2"/>
    <n v="1.8909649122807017"/>
    <n v="7.6989285714285716"/>
    <n v="53.892499999999998"/>
    <n v="7.2644616597856846"/>
  </r>
  <r>
    <s v="A2834"/>
    <s v="Data Analytics Course"/>
    <n v="130"/>
    <n v="3637"/>
    <n v="215.57"/>
    <n v="25"/>
    <n v="7"/>
    <n v="4.5999999999999999E-2"/>
    <n v="1361"/>
    <d v="2024-11-15T00:00:00"/>
    <s v="Hyderabad"/>
    <x v="2"/>
    <s v="analytics for data"/>
    <d v="2024-11-15T00:00:00"/>
    <n v="3.5743744844652182E-2"/>
    <n v="1.6582307692307692"/>
    <n v="8.6227999999999998"/>
    <n v="30.795714285714286"/>
    <n v="6.3134944565570352"/>
  </r>
  <r>
    <s v="A2835"/>
    <s v="Data Analytics Course"/>
    <n v="154"/>
    <n v="5533"/>
    <n v="207.61"/>
    <n v="14"/>
    <n v="8"/>
    <n v="3.5000000000000003E-2"/>
    <n v="1165"/>
    <d v="2024-11-06T00:00:00"/>
    <s v="Hyderabad"/>
    <x v="0"/>
    <s v="analytics for data"/>
    <d v="2024-11-06T00:00:00"/>
    <n v="2.7833001988071572E-2"/>
    <n v="1.3481168831168833"/>
    <n v="14.829285714285716"/>
    <n v="25.951250000000002"/>
    <n v="5.6114830692163187"/>
  </r>
  <r>
    <s v="A2836"/>
    <s v="Data Analytics Course"/>
    <n v="132"/>
    <n v="4320"/>
    <n v="229.38"/>
    <n v="15"/>
    <n v="5"/>
    <n v="3.7999999999999999E-2"/>
    <n v="1557"/>
    <d v="2024-11-14T00:00:00"/>
    <s v="Hyderabad"/>
    <x v="0"/>
    <s v="analytics for data"/>
    <d v="2024-11-14T00:00:00"/>
    <n v="3.0555555555555555E-2"/>
    <n v="1.7377272727272728"/>
    <n v="15.292"/>
    <n v="45.875999999999998"/>
    <n v="6.7878629348679045"/>
  </r>
  <r>
    <s v="A2837"/>
    <s v="Data Analytics Course"/>
    <n v="170"/>
    <n v="3526"/>
    <n v="224.34"/>
    <n v="29"/>
    <n v="4"/>
    <n v="2.4E-2"/>
    <n v="1969"/>
    <d v="2024-11-01T00:00:00"/>
    <s v="Hyderabad"/>
    <x v="0"/>
    <s v="analytics for data"/>
    <d v="2024-11-01T00:00:00"/>
    <n v="4.821327283040272E-2"/>
    <n v="1.3196470588235294"/>
    <n v="7.7358620689655178"/>
    <n v="56.085000000000001"/>
    <n v="8.7768565570116781"/>
  </r>
  <r>
    <s v="A2838"/>
    <s v="Data Analytics Course"/>
    <n v="85"/>
    <n v="5962"/>
    <n v="201.12"/>
    <n v="20"/>
    <n v="10"/>
    <n v="4.5999999999999999E-2"/>
    <n v="1728"/>
    <d v="2024-11-25T00:00:00"/>
    <s v="Hyderabad"/>
    <x v="1"/>
    <s v="data analytics course"/>
    <d v="2024-11-25T00:00:00"/>
    <n v="1.4256960751425697E-2"/>
    <n v="2.3661176470588234"/>
    <n v="10.056000000000001"/>
    <n v="20.112000000000002"/>
    <n v="8.5918854415274453"/>
  </r>
  <r>
    <s v="A2839"/>
    <s v="Data Analytics Course"/>
    <n v="85"/>
    <n v="3208"/>
    <n v="220.53"/>
    <n v="25"/>
    <n v="5"/>
    <n v="5.8999999999999997E-2"/>
    <n v="1426"/>
    <d v="2024-02-11T00:00:00"/>
    <s v="Hyderabad"/>
    <x v="0"/>
    <s v="analytics for data"/>
    <d v="2024-02-11T00:00:00"/>
    <n v="2.6496259351620949E-2"/>
    <n v="2.5944705882352941"/>
    <n v="8.8211999999999993"/>
    <n v="44.106000000000002"/>
    <n v="6.466240420804426"/>
  </r>
  <r>
    <s v="A2840"/>
    <s v="Data Analytics Course"/>
    <n v="127"/>
    <n v="4477"/>
    <n v="199.34"/>
    <n v="20"/>
    <n v="3"/>
    <n v="2.4E-2"/>
    <n v="1239"/>
    <d v="2024-11-01T00:00:00"/>
    <s v="Hyderabad"/>
    <x v="0"/>
    <s v="data analytics course"/>
    <d v="2024-11-01T00:00:00"/>
    <n v="2.8367210185392004E-2"/>
    <n v="1.5696062992125985"/>
    <n v="9.9670000000000005"/>
    <n v="66.446666666666673"/>
    <n v="6.2155111869168254"/>
  </r>
  <r>
    <s v="A2841"/>
    <s v="Data Analytics Course"/>
    <n v="148"/>
    <n v="3207"/>
    <n v="207.16"/>
    <n v="22"/>
    <n v="9"/>
    <n v="6.0999999999999999E-2"/>
    <n v="1416"/>
    <d v="2024-11-28T00:00:00"/>
    <s v="Hyderabad"/>
    <x v="0"/>
    <s v="online data analytic"/>
    <d v="2024-11-28T00:00:00"/>
    <n v="4.6149048955410041E-2"/>
    <n v="1.3997297297297298"/>
    <n v="9.416363636363636"/>
    <n v="23.017777777777777"/>
    <n v="6.8352963892643368"/>
  </r>
  <r>
    <s v="A2842"/>
    <s v="Data Analytics Course"/>
    <n v="181"/>
    <n v="4269"/>
    <n v="227.56"/>
    <n v="24"/>
    <n v="4"/>
    <n v="4.5999999999999999E-2"/>
    <n v="1251"/>
    <s v="16-11-2024"/>
    <s v="Hyderabad"/>
    <x v="1"/>
    <s v="data analytics course"/>
    <d v="2024-11-16T00:00:00"/>
    <n v="4.2398688217381117E-2"/>
    <n v="1.2572375690607736"/>
    <n v="9.4816666666666674"/>
    <n v="56.89"/>
    <n v="5.4974512216558269"/>
  </r>
  <r>
    <s v="A2843"/>
    <s v="Data Analytics Course"/>
    <n v="102"/>
    <n v="4512"/>
    <n v="183.01"/>
    <n v="20"/>
    <n v="5"/>
    <n v="4.9000000000000002E-2"/>
    <n v="1544"/>
    <s v="24-11-2024"/>
    <s v="Hyderabad"/>
    <x v="2"/>
    <s v="analytics for data"/>
    <d v="2024-11-24T00:00:00"/>
    <n v="2.2606382978723406E-2"/>
    <n v="1.7942156862745098"/>
    <n v="9.1504999999999992"/>
    <n v="36.601999999999997"/>
    <n v="8.4366974482268731"/>
  </r>
  <r>
    <s v="A2844"/>
    <s v="Data Analytics Course"/>
    <n v="136"/>
    <n v="5249"/>
    <n v="199.26"/>
    <n v="25"/>
    <n v="9"/>
    <n v="5.8999999999999997E-2"/>
    <n v="1142"/>
    <d v="2024-09-11T00:00:00"/>
    <s v="Hyderabad"/>
    <x v="0"/>
    <s v="analytics for data"/>
    <d v="2024-09-11T00:00:00"/>
    <n v="2.5909697085159077E-2"/>
    <n v="1.4651470588235294"/>
    <n v="7.9703999999999997"/>
    <n v="22.14"/>
    <n v="5.7312054602027507"/>
  </r>
  <r>
    <s v="A2845"/>
    <s v="Data Analytics Course"/>
    <n v="148"/>
    <n v="4881"/>
    <n v="213.23"/>
    <n v="14"/>
    <n v="4"/>
    <n v="4.5999999999999999E-2"/>
    <n v="1474"/>
    <s v="18-11-2024"/>
    <s v="Hyderabad"/>
    <x v="2"/>
    <s v="data anaytics training"/>
    <d v="2024-11-18T00:00:00"/>
    <n v="3.0321655398483919E-2"/>
    <n v="1.4407432432432432"/>
    <n v="15.230714285714285"/>
    <n v="53.307499999999997"/>
    <n v="6.9127233503728371"/>
  </r>
  <r>
    <s v="A2846"/>
    <s v="Data Analytics Course"/>
    <n v="170"/>
    <n v="5385"/>
    <n v="198.13"/>
    <n v="21"/>
    <n v="7"/>
    <n v="4.4999999999999998E-2"/>
    <n v="1174"/>
    <d v="2024-11-30T00:00:00"/>
    <s v="Hyderabad"/>
    <x v="0"/>
    <s v="online data analytic"/>
    <d v="2024-11-30T00:00:00"/>
    <n v="3.1569173630454965E-2"/>
    <n v="1.165470588235294"/>
    <n v="9.4347619047619045"/>
    <n v="28.304285714285715"/>
    <n v="5.9254025135012363"/>
  </r>
  <r>
    <s v="A2847"/>
    <s v="Data Analytics Course"/>
    <n v="152"/>
    <n v="4506"/>
    <n v="215.57"/>
    <n v="17"/>
    <n v="7"/>
    <n v="3.3000000000000002E-2"/>
    <n v="1678"/>
    <d v="2024-12-11T00:00:00"/>
    <s v="Hyderabad"/>
    <x v="1"/>
    <s v="learn data analytics"/>
    <d v="2024-12-11T00:00:00"/>
    <n v="3.3732800710164226E-2"/>
    <n v="1.4182236842105262"/>
    <n v="12.680588235294117"/>
    <n v="30.795714285714286"/>
    <n v="7.7840144732569465"/>
  </r>
  <r>
    <s v="A2848"/>
    <s v="Data Analytics Course"/>
    <n v="128"/>
    <n v="4149"/>
    <n v="238.94"/>
    <n v="10"/>
    <n v="10"/>
    <n v="4.5999999999999999E-2"/>
    <n v="1306"/>
    <d v="2024-11-13T00:00:00"/>
    <s v="Hyderabad"/>
    <x v="1"/>
    <s v="data analytics course"/>
    <d v="2024-11-13T00:00:00"/>
    <n v="3.0850807423475537E-2"/>
    <n v="1.86671875"/>
    <n v="23.893999999999998"/>
    <n v="23.893999999999998"/>
    <n v="5.4658073156440947"/>
  </r>
  <r>
    <s v="A2849"/>
    <s v="Data Analytics Course"/>
    <n v="168"/>
    <n v="4517"/>
    <n v="228"/>
    <n v="27"/>
    <n v="6"/>
    <n v="3.5999999999999997E-2"/>
    <n v="1679"/>
    <d v="2024-11-20T00:00:00"/>
    <s v="Hyderabad"/>
    <x v="1"/>
    <s v="online data analytic"/>
    <d v="2024-11-20T00:00:00"/>
    <n v="3.7192827097631172E-2"/>
    <n v="1.3571428571428572"/>
    <n v="8.4444444444444446"/>
    <n v="38"/>
    <n v="7.3640350877192979"/>
  </r>
  <r>
    <s v="A2850"/>
    <s v="Data Analytics Course"/>
    <n v="95"/>
    <n v="4075"/>
    <n v="225.18"/>
    <n v="26"/>
    <n v="7"/>
    <n v="7.3999999999999996E-2"/>
    <n v="1763"/>
    <d v="2024-11-19T00:00:00"/>
    <s v="Hyderabad"/>
    <x v="2"/>
    <s v="data analitics online"/>
    <d v="2024-11-19T00:00:00"/>
    <n v="2.3312883435582823E-2"/>
    <n v="2.3703157894736844"/>
    <n v="8.6607692307692314"/>
    <n v="32.168571428571433"/>
    <n v="7.8292921218580691"/>
  </r>
  <r>
    <s v="A2851"/>
    <s v="Data Analytics Course"/>
    <n v="120"/>
    <n v="3903"/>
    <n v="197.56"/>
    <n v="20"/>
    <n v="7"/>
    <n v="4.5999999999999999E-2"/>
    <n v="1255"/>
    <s v="18-11-2024"/>
    <s v="Hyderabad"/>
    <x v="2"/>
    <s v="analytics for data"/>
    <d v="2024-11-18T00:00:00"/>
    <n v="3.0745580322828592E-2"/>
    <n v="1.6463333333333334"/>
    <n v="9.8780000000000001"/>
    <n v="28.222857142857144"/>
    <n v="6.352500506175339"/>
  </r>
  <r>
    <s v="A2852"/>
    <s v="Data Analytics Course"/>
    <n v="157"/>
    <n v="4477"/>
    <n v="191.69"/>
    <n v="20"/>
    <n v="10"/>
    <n v="6.4000000000000001E-2"/>
    <n v="1598"/>
    <d v="2024-11-04T00:00:00"/>
    <s v="Hyderabad"/>
    <x v="1"/>
    <s v="online data analytic"/>
    <d v="2024-11-04T00:00:00"/>
    <n v="3.5068125977216889E-2"/>
    <n v="1.2209554140127388"/>
    <n v="9.5845000000000002"/>
    <n v="19.169"/>
    <n v="8.3363764411289054"/>
  </r>
  <r>
    <s v="A2853"/>
    <s v="Data Analytics Course"/>
    <n v="147"/>
    <n v="5580"/>
    <n v="230.15"/>
    <n v="15"/>
    <n v="3"/>
    <n v="5.8000000000000003E-2"/>
    <n v="1299"/>
    <d v="2024-06-11T00:00:00"/>
    <s v="Hyderabad"/>
    <x v="0"/>
    <s v="learn data analytics"/>
    <d v="2024-06-11T00:00:00"/>
    <n v="2.6344086021505377E-2"/>
    <n v="1.5656462585034014"/>
    <n v="15.343333333333334"/>
    <n v="76.716666666666669"/>
    <n v="5.6441451227460346"/>
  </r>
  <r>
    <s v="A2854"/>
    <s v="Data Analytics Course"/>
    <n v="161"/>
    <n v="3253"/>
    <n v="181.02"/>
    <n v="15"/>
    <n v="10"/>
    <n v="6.2E-2"/>
    <n v="1340"/>
    <d v="2024-11-07T00:00:00"/>
    <s v="Hyderabad"/>
    <x v="0"/>
    <s v="data anaytics training"/>
    <d v="2024-11-07T00:00:00"/>
    <n v="4.9492775899169998E-2"/>
    <n v="1.1243478260869566"/>
    <n v="12.068000000000001"/>
    <n v="18.102"/>
    <n v="7.4024969616616945"/>
  </r>
  <r>
    <s v="A2855"/>
    <s v="Data Analytics Course"/>
    <n v="187"/>
    <n v="3869"/>
    <n v="185.15"/>
    <n v="26"/>
    <n v="6"/>
    <n v="3.2000000000000001E-2"/>
    <n v="1881"/>
    <d v="2024-11-04T00:00:00"/>
    <s v="Hyderabad"/>
    <x v="1"/>
    <s v="data anaytics training"/>
    <d v="2024-11-04T00:00:00"/>
    <n v="4.8332902558800725E-2"/>
    <n v="0.99010695187165776"/>
    <n v="7.1211538461538462"/>
    <n v="30.858333333333334"/>
    <n v="10.159330272751822"/>
  </r>
  <r>
    <s v="A2856"/>
    <s v="Data Analytics Course"/>
    <n v="177"/>
    <n v="5043"/>
    <n v="213.52"/>
    <n v="18"/>
    <n v="4"/>
    <n v="2.3E-2"/>
    <n v="1117"/>
    <s v="28-11-2024"/>
    <s v="Hyderabad"/>
    <x v="2"/>
    <s v="data analytics course"/>
    <d v="2024-11-28T00:00:00"/>
    <n v="3.5098155859607377E-2"/>
    <n v="1.2063276836158192"/>
    <n v="11.862222222222222"/>
    <n v="53.38"/>
    <n v="5.231360059947546"/>
  </r>
  <r>
    <s v="A2857"/>
    <s v="Data Analytics Course"/>
    <n v="165"/>
    <n v="4537"/>
    <n v="191.77"/>
    <n v="15"/>
    <n v="4"/>
    <n v="2.4E-2"/>
    <n v="1783"/>
    <d v="2024-11-04T00:00:00"/>
    <s v="Hyderabad"/>
    <x v="2"/>
    <s v="analytics for data"/>
    <d v="2024-11-04T00:00:00"/>
    <n v="3.6367643817500551E-2"/>
    <n v="1.1622424242424243"/>
    <n v="12.784666666666668"/>
    <n v="47.942500000000003"/>
    <n v="9.2975960786358662"/>
  </r>
  <r>
    <s v="A2858"/>
    <s v="Data Analytics Course"/>
    <n v="146"/>
    <n v="3766"/>
    <n v="215.57"/>
    <n v="23"/>
    <n v="6"/>
    <n v="4.5999999999999999E-2"/>
    <n v="1760"/>
    <d v="2024-11-05T00:00:00"/>
    <s v="Hyderabad"/>
    <x v="0"/>
    <s v="analytics for data"/>
    <d v="2024-11-05T00:00:00"/>
    <n v="3.8767923526287836E-2"/>
    <n v="1.4765068493150684"/>
    <n v="9.3726086956521737"/>
    <n v="35.928333333333335"/>
    <n v="8.1644013545484064"/>
  </r>
  <r>
    <s v="A2859"/>
    <s v="Data Analytics Course"/>
    <n v="126"/>
    <n v="3702"/>
    <n v="222.41"/>
    <n v="27"/>
    <n v="5"/>
    <n v="0.04"/>
    <n v="1489"/>
    <s v="30-11-2024"/>
    <s v="Hyderabad"/>
    <x v="0"/>
    <s v="analytics for data"/>
    <d v="2024-11-30T00:00:00"/>
    <n v="3.4035656401944892E-2"/>
    <n v="1.7651587301587301"/>
    <n v="8.2374074074074066"/>
    <n v="44.481999999999999"/>
    <n v="6.6948428577851713"/>
  </r>
  <r>
    <s v="A2860"/>
    <s v="Data Analytics Course"/>
    <n v="110"/>
    <n v="4840"/>
    <n v="184.63"/>
    <n v="17"/>
    <n v="8"/>
    <n v="7.2999999999999995E-2"/>
    <n v="1013"/>
    <d v="2024-11-22T00:00:00"/>
    <s v="Hyderabad"/>
    <x v="1"/>
    <s v="data analitics online"/>
    <d v="2024-11-22T00:00:00"/>
    <n v="2.2727272727272728E-2"/>
    <n v="1.6784545454545454"/>
    <n v="10.860588235294117"/>
    <n v="23.078749999999999"/>
    <n v="5.4866489736229216"/>
  </r>
  <r>
    <s v="A2861"/>
    <s v="Data Analytics Course"/>
    <n v="97"/>
    <n v="4425"/>
    <n v="206.41"/>
    <n v="10"/>
    <n v="5"/>
    <n v="4.5999999999999999E-2"/>
    <n v="1219"/>
    <s v="16-11-2024"/>
    <s v="Hyderabad"/>
    <x v="0"/>
    <s v="data analytics course"/>
    <d v="2024-11-16T00:00:00"/>
    <n v="2.192090395480226E-2"/>
    <n v="2.1279381443298968"/>
    <n v="20.640999999999998"/>
    <n v="41.281999999999996"/>
    <n v="5.9057216220144371"/>
  </r>
  <r>
    <s v="A2862"/>
    <s v="Data Analytics Course"/>
    <n v="104"/>
    <n v="4213"/>
    <n v="202.54"/>
    <n v="21"/>
    <n v="8"/>
    <n v="7.6999999999999999E-2"/>
    <n v="1065"/>
    <d v="2024-11-26T00:00:00"/>
    <s v="Hyderabad"/>
    <x v="2"/>
    <s v="data analytics course"/>
    <d v="2024-11-26T00:00:00"/>
    <n v="2.4685497270353667E-2"/>
    <n v="1.9475"/>
    <n v="9.6447619047619035"/>
    <n v="25.317499999999999"/>
    <n v="5.2582205984003165"/>
  </r>
  <r>
    <s v="A2863"/>
    <s v="Data Analytics Course"/>
    <n v="176"/>
    <n v="5010"/>
    <n v="205.47"/>
    <n v="18"/>
    <n v="10"/>
    <n v="5.7000000000000002E-2"/>
    <n v="1709"/>
    <d v="2024-11-24T00:00:00"/>
    <s v="Hyderabad"/>
    <x v="2"/>
    <s v="data analytics course"/>
    <d v="2024-11-24T00:00:00"/>
    <n v="3.5129740518962074E-2"/>
    <n v="1.1674431818181819"/>
    <n v="11.414999999999999"/>
    <n v="20.547000000000001"/>
    <n v="8.3175159390665296"/>
  </r>
  <r>
    <s v="A2864"/>
    <s v="Data Analytics Course"/>
    <n v="91"/>
    <n v="4045"/>
    <n v="225.82"/>
    <n v="12"/>
    <n v="7"/>
    <n v="4.5999999999999999E-2"/>
    <n v="1828"/>
    <d v="2024-11-13T00:00:00"/>
    <s v="Hyderabad"/>
    <x v="2"/>
    <s v="online data analytic"/>
    <d v="2024-11-13T00:00:00"/>
    <n v="2.249690976514215E-2"/>
    <n v="2.4815384615384612"/>
    <n v="18.818333333333332"/>
    <n v="32.26"/>
    <n v="8.0949428748560806"/>
  </r>
  <r>
    <s v="A2865"/>
    <s v="Data Analytics Course"/>
    <n v="167"/>
    <n v="5145"/>
    <n v="183.22"/>
    <n v="19"/>
    <n v="9"/>
    <n v="5.3999999999999999E-2"/>
    <n v="1021"/>
    <d v="2024-11-22T00:00:00"/>
    <s v="Hyderabad"/>
    <x v="0"/>
    <s v="online data analytic"/>
    <d v="2024-11-22T00:00:00"/>
    <n v="3.2458697764820216E-2"/>
    <n v="1.0971257485029939"/>
    <n v="9.6431578947368415"/>
    <n v="20.357777777777777"/>
    <n v="5.5725357493723395"/>
  </r>
  <r>
    <s v="A2866"/>
    <s v="Data Analytics Course"/>
    <n v="132"/>
    <n v="3725"/>
    <n v="196.98"/>
    <n v="16"/>
    <n v="6"/>
    <n v="4.4999999999999998E-2"/>
    <n v="1094"/>
    <d v="2024-11-01T00:00:00"/>
    <s v="Hyderabad"/>
    <x v="0"/>
    <s v="analytics for data"/>
    <d v="2024-11-01T00:00:00"/>
    <n v="3.5436241610738252E-2"/>
    <n v="1.4922727272727272"/>
    <n v="12.311249999999999"/>
    <n v="32.83"/>
    <n v="5.5538633363793277"/>
  </r>
  <r>
    <s v="A2867"/>
    <s v="Data Analytics Course"/>
    <n v="93"/>
    <n v="4962"/>
    <n v="181.34"/>
    <n v="22"/>
    <n v="4"/>
    <n v="4.2999999999999997E-2"/>
    <n v="1100"/>
    <d v="2024-11-30T00:00:00"/>
    <s v="Hyderabad"/>
    <x v="0"/>
    <s v="analytics for data"/>
    <d v="2024-11-30T00:00:00"/>
    <n v="1.8742442563482467E-2"/>
    <n v="1.9498924731182796"/>
    <n v="8.2427272727272722"/>
    <n v="45.335000000000001"/>
    <n v="6.065953457593471"/>
  </r>
  <r>
    <s v="A2868"/>
    <s v="Data Analytics Course"/>
    <n v="149"/>
    <n v="3055"/>
    <n v="228.17"/>
    <n v="18"/>
    <n v="7"/>
    <n v="0.05"/>
    <n v="1382"/>
    <d v="2024-11-17T00:00:00"/>
    <s v="Hyderabad"/>
    <x v="0"/>
    <s v="learn data analytics"/>
    <d v="2024-11-17T00:00:00"/>
    <n v="4.8772504091653027E-2"/>
    <n v="1.5313422818791946"/>
    <n v="12.67611111111111"/>
    <n v="32.595714285714287"/>
    <n v="6.0568874085111979"/>
  </r>
  <r>
    <s v="A2869"/>
    <s v="Data Analytics Course"/>
    <n v="184"/>
    <n v="4425"/>
    <n v="221.83"/>
    <n v="30"/>
    <n v="6"/>
    <n v="3.3000000000000002E-2"/>
    <n v="1956"/>
    <s v="13-11-2024"/>
    <s v="Hyderabad"/>
    <x v="2"/>
    <s v="data analitics online"/>
    <d v="2024-11-13T00:00:00"/>
    <n v="4.1581920903954801E-2"/>
    <n v="1.2055978260869566"/>
    <n v="7.3943333333333339"/>
    <n v="36.971666666666671"/>
    <n v="8.8175629986926918"/>
  </r>
  <r>
    <s v="A2870"/>
    <s v="Data Analytics Course"/>
    <n v="192"/>
    <n v="3755"/>
    <n v="215.57"/>
    <n v="16"/>
    <n v="4"/>
    <n v="2.1000000000000001E-2"/>
    <n v="1805"/>
    <d v="2024-06-11T00:00:00"/>
    <s v="Hyderabad"/>
    <x v="0"/>
    <s v="learn data analytics"/>
    <d v="2024-06-11T00:00:00"/>
    <n v="5.1131824234354195E-2"/>
    <n v="1.1227604166666667"/>
    <n v="13.473125"/>
    <n v="53.892499999999998"/>
    <n v="8.3731502528181103"/>
  </r>
  <r>
    <s v="A2871"/>
    <s v="Data Analytics Course"/>
    <n v="115"/>
    <n v="4832"/>
    <n v="237.18"/>
    <n v="24"/>
    <n v="5"/>
    <n v="4.2999999999999997E-2"/>
    <n v="1737"/>
    <d v="2024-11-23T00:00:00"/>
    <s v="Hyderabad"/>
    <x v="2"/>
    <s v="data analitics online"/>
    <d v="2024-11-23T00:00:00"/>
    <n v="2.3799668874172186E-2"/>
    <n v="2.0624347826086957"/>
    <n v="9.8825000000000003"/>
    <n v="47.436"/>
    <n v="7.3235517328611177"/>
  </r>
  <r>
    <s v="A2872"/>
    <s v="Data Analytics Course"/>
    <n v="81"/>
    <n v="3224"/>
    <n v="239.58"/>
    <n v="18"/>
    <n v="10"/>
    <n v="0.123"/>
    <n v="1229"/>
    <d v="2024-11-27T00:00:00"/>
    <s v="Hyderabad"/>
    <x v="2"/>
    <s v="online data analytic"/>
    <d v="2024-11-27T00:00:00"/>
    <n v="2.512406947890819E-2"/>
    <n v="2.9577777777777778"/>
    <n v="13.31"/>
    <n v="23.958000000000002"/>
    <n v="5.1298105017113276"/>
  </r>
  <r>
    <s v="A2873"/>
    <s v="Data Analytics Course"/>
    <n v="119"/>
    <n v="5809"/>
    <n v="224.5"/>
    <n v="11"/>
    <n v="7"/>
    <n v="5.8999999999999997E-2"/>
    <n v="1736"/>
    <s v="19-11-2024"/>
    <s v="Hyderabad"/>
    <x v="1"/>
    <s v="analytics for data"/>
    <d v="2024-11-19T00:00:00"/>
    <n v="2.0485453606472716E-2"/>
    <n v="1.8865546218487395"/>
    <n v="20.40909090909091"/>
    <n v="32.071428571428569"/>
    <n v="7.7327394209354123"/>
  </r>
  <r>
    <s v="A2874"/>
    <s v="Data Analytics Course"/>
    <n v="169"/>
    <n v="4027"/>
    <n v="193.86"/>
    <n v="22"/>
    <n v="4"/>
    <n v="3.3000000000000002E-2"/>
    <n v="1387"/>
    <d v="2024-11-12T00:00:00"/>
    <s v="Hyderabad"/>
    <x v="0"/>
    <s v="data analitics online"/>
    <d v="2024-11-12T00:00:00"/>
    <n v="4.1966724608889991E-2"/>
    <n v="1.1471005917159764"/>
    <n v="8.8118181818181824"/>
    <n v="48.465000000000003"/>
    <n v="7.1546476838955941"/>
  </r>
  <r>
    <s v="A2875"/>
    <s v="Data Analytics Course"/>
    <n v="103"/>
    <n v="5900"/>
    <n v="231.39"/>
    <n v="24"/>
    <n v="10"/>
    <n v="9.7000000000000003E-2"/>
    <n v="1963"/>
    <d v="2024-11-02T00:00:00"/>
    <s v="Hyderabad"/>
    <x v="1"/>
    <s v="data anaytics training"/>
    <d v="2024-11-02T00:00:00"/>
    <n v="1.7457627118644067E-2"/>
    <n v="2.2465048543689319"/>
    <n v="9.6412499999999994"/>
    <n v="23.138999999999999"/>
    <n v="8.4835126842128012"/>
  </r>
  <r>
    <s v="A2876"/>
    <s v="Data Analytics Course"/>
    <n v="90"/>
    <n v="3518"/>
    <n v="216.8"/>
    <n v="21"/>
    <n v="4"/>
    <n v="4.3999999999999997E-2"/>
    <n v="1781"/>
    <s v="23-11-2024"/>
    <s v="Hyderabad"/>
    <x v="1"/>
    <s v="learn data analytics"/>
    <d v="2024-11-23T00:00:00"/>
    <n v="2.5582717453098352E-2"/>
    <n v="2.4088888888888889"/>
    <n v="10.323809523809524"/>
    <n v="54.2"/>
    <n v="8.2149446494464939"/>
  </r>
  <r>
    <s v="A2877"/>
    <s v="Data Analytics Course"/>
    <n v="184"/>
    <n v="4238"/>
    <n v="228.49"/>
    <n v="26"/>
    <n v="10"/>
    <n v="4.5999999999999999E-2"/>
    <n v="1003"/>
    <d v="2024-11-09T00:00:00"/>
    <s v="Hyderabad"/>
    <x v="2"/>
    <s v="learn data analytics"/>
    <d v="2024-11-09T00:00:00"/>
    <n v="4.3416705993393111E-2"/>
    <n v="1.2417934782608697"/>
    <n v="8.7880769230769236"/>
    <n v="22.849"/>
    <n v="4.389688826644492"/>
  </r>
  <r>
    <s v="A2878"/>
    <s v="Data Analytics Course"/>
    <n v="143"/>
    <n v="5160"/>
    <n v="248.04"/>
    <n v="21"/>
    <n v="10"/>
    <n v="3.7999999999999999E-2"/>
    <n v="1780"/>
    <s v="25-11-2024"/>
    <s v="Hyderabad"/>
    <x v="1"/>
    <s v="data analitics online"/>
    <d v="2024-11-25T00:00:00"/>
    <n v="2.7713178294573645E-2"/>
    <n v="1.7345454545454544"/>
    <n v="11.811428571428571"/>
    <n v="24.803999999999998"/>
    <n v="7.1762618932430255"/>
  </r>
  <r>
    <s v="A2879"/>
    <s v="Data Analytics Course"/>
    <n v="123"/>
    <n v="4753"/>
    <n v="203.59"/>
    <n v="29"/>
    <n v="10"/>
    <n v="8.1000000000000003E-2"/>
    <n v="1959"/>
    <d v="2024-11-15T00:00:00"/>
    <s v="Hyderabad"/>
    <x v="1"/>
    <s v="data anaytics training"/>
    <d v="2024-11-15T00:00:00"/>
    <n v="2.5878392594151062E-2"/>
    <n v="1.6552032520325204"/>
    <n v="7.0203448275862073"/>
    <n v="20.359000000000002"/>
    <n v="9.6222800726951228"/>
  </r>
  <r>
    <s v="A2880"/>
    <s v="Data Analytics Course"/>
    <n v="155"/>
    <n v="4969"/>
    <n v="190.87"/>
    <n v="25"/>
    <n v="5"/>
    <n v="3.2000000000000001E-2"/>
    <n v="1807"/>
    <d v="2024-11-28T00:00:00"/>
    <s v="Hyderabad"/>
    <x v="2"/>
    <s v="data anaytics training"/>
    <d v="2024-11-28T00:00:00"/>
    <n v="3.1193399074260414E-2"/>
    <n v="1.2314193548387098"/>
    <n v="7.6348000000000003"/>
    <n v="38.173999999999999"/>
    <n v="9.467176612353958"/>
  </r>
  <r>
    <s v="A2881"/>
    <s v="Data Analytics Course"/>
    <n v="140"/>
    <n v="4415"/>
    <n v="240.95"/>
    <n v="13"/>
    <n v="8"/>
    <n v="5.7000000000000002E-2"/>
    <n v="1579"/>
    <d v="2024-11-12T00:00:00"/>
    <s v="Hyderabad"/>
    <x v="1"/>
    <s v="data anaytics training"/>
    <d v="2024-11-12T00:00:00"/>
    <n v="3.1710079275198186E-2"/>
    <n v="1.7210714285714286"/>
    <n v="18.534615384615385"/>
    <n v="30.118749999999999"/>
    <n v="6.5532268105416067"/>
  </r>
  <r>
    <s v="A2882"/>
    <s v="Data Analytics Course"/>
    <n v="110"/>
    <n v="3931"/>
    <n v="193.32"/>
    <n v="20"/>
    <n v="4"/>
    <n v="4.5999999999999999E-2"/>
    <n v="1088"/>
    <d v="2024-11-14T00:00:00"/>
    <s v="Hyderabad"/>
    <x v="1"/>
    <s v="data anaytics training"/>
    <d v="2024-11-14T00:00:00"/>
    <n v="2.7982701602645637E-2"/>
    <n v="1.7574545454545454"/>
    <n v="9.6660000000000004"/>
    <n v="48.33"/>
    <n v="5.6279743430581419"/>
  </r>
  <r>
    <s v="A2883"/>
    <s v="Data Analytics Course"/>
    <n v="103"/>
    <n v="4409"/>
    <n v="246.87"/>
    <n v="18"/>
    <n v="8"/>
    <n v="7.8E-2"/>
    <n v="1136"/>
    <d v="2024-11-24T00:00:00"/>
    <s v="Hyderabad"/>
    <x v="0"/>
    <s v="online data analytic"/>
    <d v="2024-11-24T00:00:00"/>
    <n v="2.3361306418689044E-2"/>
    <n v="2.3967961165048544"/>
    <n v="13.715"/>
    <n v="30.858750000000001"/>
    <n v="4.6016121845505733"/>
  </r>
  <r>
    <s v="A2884"/>
    <s v="Data Analytics Course"/>
    <n v="127"/>
    <n v="5064"/>
    <n v="195.07"/>
    <n v="22"/>
    <n v="10"/>
    <n v="7.9000000000000001E-2"/>
    <n v="1521"/>
    <d v="2024-11-16T00:00:00"/>
    <s v="Hyderabad"/>
    <x v="1"/>
    <s v="learn data analytics"/>
    <d v="2024-11-16T00:00:00"/>
    <n v="2.5078988941548183E-2"/>
    <n v="1.5359842519685039"/>
    <n v="8.8668181818181822"/>
    <n v="19.506999999999998"/>
    <n v="7.79720100476752"/>
  </r>
  <r>
    <s v="A2885"/>
    <s v="Data Analytics Course"/>
    <n v="151"/>
    <n v="3905"/>
    <n v="191.4"/>
    <n v="20"/>
    <n v="10"/>
    <n v="4.8000000000000001E-2"/>
    <n v="1342"/>
    <d v="2024-11-30T00:00:00"/>
    <s v="Hyderabad"/>
    <x v="0"/>
    <s v="data analytics course"/>
    <d v="2024-11-30T00:00:00"/>
    <n v="3.8668373879641484E-2"/>
    <n v="1.2675496688741723"/>
    <n v="9.57"/>
    <n v="19.14"/>
    <n v="7.0114942528735629"/>
  </r>
  <r>
    <s v="A2886"/>
    <s v="Data Analytics Course"/>
    <n v="191"/>
    <n v="4710"/>
    <n v="214.24"/>
    <n v="15"/>
    <n v="6"/>
    <n v="4.2000000000000003E-2"/>
    <n v="1080"/>
    <d v="2024-05-11T00:00:00"/>
    <s v="Hyderabad"/>
    <x v="0"/>
    <s v="data analytics course"/>
    <d v="2024-05-11T00:00:00"/>
    <n v="4.0552016985138002E-2"/>
    <n v="1.121675392670157"/>
    <n v="14.282666666666668"/>
    <n v="35.706666666666671"/>
    <n v="5.0410754294249438"/>
  </r>
  <r>
    <s v="A2887"/>
    <s v="Data Analytics Course"/>
    <n v="177"/>
    <n v="3869"/>
    <n v="198.88"/>
    <n v="23"/>
    <n v="4"/>
    <n v="4.5999999999999999E-2"/>
    <n v="1909"/>
    <d v="2024-11-04T00:00:00"/>
    <s v="Hyderabad"/>
    <x v="0"/>
    <s v="data analytics course"/>
    <d v="2024-11-04T00:00:00"/>
    <n v="4.5748255363142934E-2"/>
    <n v="1.1236158192090395"/>
    <n v="8.6469565217391295"/>
    <n v="49.72"/>
    <n v="9.5987530168946105"/>
  </r>
  <r>
    <s v="A2888"/>
    <s v="Data Analytics Course"/>
    <n v="122"/>
    <n v="3760"/>
    <n v="233.47"/>
    <n v="22"/>
    <n v="7"/>
    <n v="5.7000000000000002E-2"/>
    <n v="1785"/>
    <d v="2024-11-16T00:00:00"/>
    <s v="Hyderabad"/>
    <x v="0"/>
    <s v="analytics for data"/>
    <d v="2024-11-16T00:00:00"/>
    <n v="3.2446808510638296E-2"/>
    <n v="1.913688524590164"/>
    <n v="10.612272727272726"/>
    <n v="33.35285714285714"/>
    <n v="7.6455219085963932"/>
  </r>
  <r>
    <s v="A2889"/>
    <s v="Data Analytics Course"/>
    <n v="99"/>
    <n v="3979"/>
    <n v="188.54"/>
    <n v="16"/>
    <n v="4"/>
    <n v="0.04"/>
    <n v="1244"/>
    <d v="2024-11-20T00:00:00"/>
    <s v="Hyderabad"/>
    <x v="2"/>
    <s v="data anaytics training"/>
    <d v="2024-11-20T00:00:00"/>
    <n v="2.488062327217894E-2"/>
    <n v="1.9044444444444444"/>
    <n v="11.78375"/>
    <n v="47.134999999999998"/>
    <n v="6.5980693751988975"/>
  </r>
  <r>
    <s v="A2890"/>
    <s v="Data Analytics Course"/>
    <n v="139"/>
    <n v="3027"/>
    <n v="205.67"/>
    <n v="20"/>
    <n v="7"/>
    <n v="4.5999999999999999E-2"/>
    <n v="1593"/>
    <d v="2024-11-07T00:00:00"/>
    <s v="Hyderabad"/>
    <x v="2"/>
    <s v="learn data analytics"/>
    <d v="2024-11-07T00:00:00"/>
    <n v="4.5920052857614801E-2"/>
    <n v="1.4796402877697841"/>
    <n v="10.2835"/>
    <n v="29.381428571428568"/>
    <n v="7.7454174162493317"/>
  </r>
  <r>
    <s v="A2891"/>
    <s v="Data Analytics Course"/>
    <n v="114"/>
    <n v="4540"/>
    <n v="185.04"/>
    <n v="10"/>
    <n v="4"/>
    <n v="3.5000000000000003E-2"/>
    <n v="1561"/>
    <d v="2024-11-28T00:00:00"/>
    <s v="Hyderabad"/>
    <x v="1"/>
    <s v="data analytics course"/>
    <d v="2024-11-28T00:00:00"/>
    <n v="2.5110132158590308E-2"/>
    <n v="1.6231578947368421"/>
    <n v="18.503999999999998"/>
    <n v="46.26"/>
    <n v="8.4360138348465199"/>
  </r>
  <r>
    <s v="A2892"/>
    <s v="Data Analytics Course"/>
    <n v="92"/>
    <n v="4466"/>
    <n v="244.46"/>
    <n v="18"/>
    <n v="6"/>
    <n v="3.9E-2"/>
    <n v="1912"/>
    <d v="2024-11-07T00:00:00"/>
    <s v="Hyderabad"/>
    <x v="0"/>
    <s v="learn data analytics"/>
    <d v="2024-11-07T00:00:00"/>
    <n v="2.0600089565606806E-2"/>
    <n v="2.6571739130434784"/>
    <n v="13.581111111111111"/>
    <n v="40.743333333333332"/>
    <n v="7.8213204614251817"/>
  </r>
  <r>
    <s v="A2893"/>
    <s v="Data Analytics Course"/>
    <n v="139"/>
    <n v="4865"/>
    <n v="206.18"/>
    <n v="25"/>
    <n v="9"/>
    <n v="4.5999999999999999E-2"/>
    <n v="1836"/>
    <d v="2024-08-11T00:00:00"/>
    <s v="Hyderabad"/>
    <x v="0"/>
    <s v="data analitics online"/>
    <d v="2024-08-11T00:00:00"/>
    <n v="2.8571428571428571E-2"/>
    <n v="1.4833093525179857"/>
    <n v="8.2471999999999994"/>
    <n v="22.908888888888889"/>
    <n v="8.9048404306916282"/>
  </r>
  <r>
    <s v="A2894"/>
    <s v="Data Analytics Course"/>
    <n v="157"/>
    <n v="5890"/>
    <n v="221.53"/>
    <n v="27"/>
    <n v="7"/>
    <n v="4.5999999999999999E-2"/>
    <n v="1122"/>
    <d v="2024-11-11T00:00:00"/>
    <s v="Hyderabad"/>
    <x v="1"/>
    <s v="data anaytics training"/>
    <d v="2024-11-11T00:00:00"/>
    <n v="2.6655348047538201E-2"/>
    <n v="1.4110191082802548"/>
    <n v="8.2048148148148154"/>
    <n v="31.647142857142857"/>
    <n v="5.0647767796686676"/>
  </r>
  <r>
    <s v="A2895"/>
    <s v="Data Analytics Course"/>
    <n v="91"/>
    <n v="4010"/>
    <n v="229.84"/>
    <n v="11"/>
    <n v="6"/>
    <n v="4.5999999999999999E-2"/>
    <n v="1634"/>
    <d v="2024-02-11T00:00:00"/>
    <s v="Hyderabad"/>
    <x v="1"/>
    <s v="analytics for data"/>
    <d v="2024-02-11T00:00:00"/>
    <n v="2.2693266832917707E-2"/>
    <n v="2.5257142857142858"/>
    <n v="20.894545454545455"/>
    <n v="38.306666666666665"/>
    <n v="7.1092934215106158"/>
  </r>
  <r>
    <s v="A2896"/>
    <s v="Data Analytics Course"/>
    <n v="91"/>
    <n v="4641"/>
    <n v="182.84"/>
    <n v="12"/>
    <n v="9"/>
    <n v="4.5999999999999999E-2"/>
    <n v="1235"/>
    <d v="2024-11-25T00:00:00"/>
    <s v="Hyderabad"/>
    <x v="1"/>
    <s v="data analitics online"/>
    <d v="2024-11-25T00:00:00"/>
    <n v="1.9607843137254902E-2"/>
    <n v="2.0092307692307694"/>
    <n v="15.236666666666666"/>
    <n v="20.315555555555555"/>
    <n v="6.7545394880770067"/>
  </r>
  <r>
    <s v="A2897"/>
    <s v="Data Analytics Course"/>
    <n v="99"/>
    <n v="5669"/>
    <n v="202.47"/>
    <n v="24"/>
    <n v="7"/>
    <n v="7.0999999999999994E-2"/>
    <n v="1862"/>
    <d v="2024-11-11T00:00:00"/>
    <s v="Hyderabad"/>
    <x v="0"/>
    <s v="online data analytic"/>
    <d v="2024-11-11T00:00:00"/>
    <n v="1.7463397424589876E-2"/>
    <n v="2.0451515151515149"/>
    <n v="8.4362499999999994"/>
    <n v="28.924285714285713"/>
    <n v="9.1964241616041882"/>
  </r>
  <r>
    <s v="A2898"/>
    <s v="Data Analytics Course"/>
    <n v="160"/>
    <n v="3000"/>
    <n v="201.69"/>
    <n v="28"/>
    <n v="9"/>
    <n v="5.6000000000000001E-2"/>
    <n v="1103"/>
    <d v="2024-11-16T00:00:00"/>
    <s v="Hyderabad"/>
    <x v="0"/>
    <s v="data analitics online"/>
    <d v="2024-11-16T00:00:00"/>
    <n v="5.3333333333333337E-2"/>
    <n v="1.2605625"/>
    <n v="7.203214285714286"/>
    <n v="22.41"/>
    <n v="5.4687887351876645"/>
  </r>
  <r>
    <s v="A2899"/>
    <s v="Data Analytics Course"/>
    <n v="139"/>
    <n v="3979"/>
    <n v="241.3"/>
    <n v="25"/>
    <n v="10"/>
    <n v="4.5999999999999999E-2"/>
    <n v="1488"/>
    <d v="2024-10-11T00:00:00"/>
    <s v="Hyderabad"/>
    <x v="0"/>
    <s v="data analytics course"/>
    <d v="2024-10-11T00:00:00"/>
    <n v="3.4933400351847201E-2"/>
    <n v="1.7359712230215829"/>
    <n v="9.652000000000001"/>
    <n v="24.130000000000003"/>
    <n v="6.1665975963530872"/>
  </r>
  <r>
    <s v="A2900"/>
    <s v="Data Analytics Course"/>
    <n v="185"/>
    <n v="4518.5"/>
    <n v="192.6"/>
    <n v="23"/>
    <n v="5"/>
    <n v="2.7E-2"/>
    <n v="1180"/>
    <d v="2024-11-01T00:00:00"/>
    <s v="Hyderabad"/>
    <x v="0"/>
    <s v="learn data analytics"/>
    <d v="2024-11-01T00:00:00"/>
    <n v="4.0942790749142415E-2"/>
    <n v="1.0410810810810811"/>
    <n v="8.3739130434782609"/>
    <n v="38.519999999999996"/>
    <n v="6.12668743509865"/>
  </r>
  <r>
    <s v="A2901"/>
    <s v="Data Analytics Course"/>
    <n v="137"/>
    <n v="5049"/>
    <n v="180.58"/>
    <n v="26"/>
    <n v="3"/>
    <n v="2.1999999999999999E-2"/>
    <n v="1808"/>
    <s v="18-11-2024"/>
    <s v="Hyderabad"/>
    <x v="0"/>
    <s v="data anaytics training"/>
    <d v="2024-11-18T00:00:00"/>
    <n v="2.7134085957615368E-2"/>
    <n v="1.3181021897810219"/>
    <n v="6.9453846153846159"/>
    <n v="60.193333333333335"/>
    <n v="10.012182965998448"/>
  </r>
  <r>
    <s v="A2902"/>
    <s v="Data Analytics Course"/>
    <n v="159"/>
    <n v="3662"/>
    <n v="203.93"/>
    <n v="20"/>
    <n v="4"/>
    <n v="2.5000000000000001E-2"/>
    <n v="1776"/>
    <d v="2024-11-10T00:00:00"/>
    <s v="Hyderabad"/>
    <x v="2"/>
    <s v="data analytics course"/>
    <d v="2024-11-10T00:00:00"/>
    <n v="4.3418896777717098E-2"/>
    <n v="1.2825786163522013"/>
    <n v="10.1965"/>
    <n v="50.982500000000002"/>
    <n v="8.7088706909233551"/>
  </r>
  <r>
    <s v="A2903"/>
    <s v="Data Analytics Course"/>
    <n v="155"/>
    <n v="5822"/>
    <n v="227.47"/>
    <n v="10"/>
    <n v="4"/>
    <n v="4.5999999999999999E-2"/>
    <n v="1373"/>
    <d v="2024-11-28T00:00:00"/>
    <s v="Hyderabad"/>
    <x v="1"/>
    <s v="data analitics online"/>
    <d v="2024-11-28T00:00:00"/>
    <n v="2.6623153555479218E-2"/>
    <n v="1.4675483870967743"/>
    <n v="22.747"/>
    <n v="56.8675"/>
    <n v="6.0359607860377196"/>
  </r>
  <r>
    <s v="A2904"/>
    <s v="Data Analytics Course"/>
    <n v="103"/>
    <n v="3762"/>
    <n v="187.11"/>
    <n v="12"/>
    <n v="9"/>
    <n v="4.5999999999999999E-2"/>
    <n v="1096"/>
    <d v="2024-11-24T00:00:00"/>
    <s v="Hyderabad"/>
    <x v="1"/>
    <s v="learn data analytics"/>
    <d v="2024-11-24T00:00:00"/>
    <n v="2.737905369484317E-2"/>
    <n v="1.8166019417475729"/>
    <n v="15.592500000000001"/>
    <n v="20.790000000000003"/>
    <n v="5.8575169686280795"/>
  </r>
  <r>
    <s v="A2905"/>
    <s v="Data Analytics Course"/>
    <n v="134"/>
    <n v="3647"/>
    <n v="209.89"/>
    <n v="21"/>
    <n v="7"/>
    <n v="3.2000000000000001E-2"/>
    <n v="1744"/>
    <d v="2024-11-03T00:00:00"/>
    <s v="Hyderabad"/>
    <x v="0"/>
    <s v="learn data analytics"/>
    <d v="2024-11-03T00:00:00"/>
    <n v="3.6742528105292022E-2"/>
    <n v="1.5663432835820894"/>
    <n v="9.994761904761905"/>
    <n v="29.984285714285711"/>
    <n v="8.3091142979656016"/>
  </r>
  <r>
    <s v="A2906"/>
    <s v="Data Analytics Course"/>
    <n v="128"/>
    <n v="3448"/>
    <n v="235.69"/>
    <n v="27"/>
    <n v="8"/>
    <n v="6.2E-2"/>
    <n v="1373"/>
    <s v="17-11-2024"/>
    <s v="Hyderabad"/>
    <x v="0"/>
    <s v="data analytics course"/>
    <d v="2024-11-17T00:00:00"/>
    <n v="3.7122969837587005E-2"/>
    <n v="1.841328125"/>
    <n v="8.7292592592592584"/>
    <n v="29.46125"/>
    <n v="5.8254486825915395"/>
  </r>
  <r>
    <s v="A2907"/>
    <s v="Data Analytics Course"/>
    <n v="156"/>
    <n v="3776"/>
    <n v="213.3"/>
    <n v="30"/>
    <n v="4"/>
    <n v="2.5999999999999999E-2"/>
    <n v="1013"/>
    <d v="2024-11-19T00:00:00"/>
    <s v="Hyderabad"/>
    <x v="2"/>
    <s v="online data analytic"/>
    <d v="2024-11-19T00:00:00"/>
    <n v="4.1313559322033899E-2"/>
    <n v="1.3673076923076923"/>
    <n v="7.11"/>
    <n v="53.325000000000003"/>
    <n v="4.7491795593061417"/>
  </r>
  <r>
    <s v="A2908"/>
    <s v="Data Analytics Course"/>
    <n v="154"/>
    <n v="5763"/>
    <n v="240.35"/>
    <n v="20"/>
    <n v="10"/>
    <n v="4.5999999999999999E-2"/>
    <n v="1816"/>
    <s v="25-11-2024"/>
    <s v="Hyderabad"/>
    <x v="1"/>
    <s v="data analitics online"/>
    <d v="2024-11-25T00:00:00"/>
    <n v="2.6722193302099601E-2"/>
    <n v="1.5607142857142857"/>
    <n v="12.0175"/>
    <n v="24.035"/>
    <n v="7.5556480133139177"/>
  </r>
  <r>
    <s v="A2909"/>
    <s v="Data Analytics Course"/>
    <n v="176"/>
    <n v="3835"/>
    <n v="210.11"/>
    <n v="10"/>
    <n v="3"/>
    <n v="4.5999999999999999E-2"/>
    <n v="1025"/>
    <d v="2024-05-11T00:00:00"/>
    <s v="Hyderabad"/>
    <x v="2"/>
    <s v="data analytics course"/>
    <d v="2024-05-11T00:00:00"/>
    <n v="4.589308996088657E-2"/>
    <n v="1.1938068181818182"/>
    <n v="21.011000000000003"/>
    <n v="70.036666666666676"/>
    <n v="4.8783970301270756"/>
  </r>
  <r>
    <s v="A2910"/>
    <s v="Data Analytics Course"/>
    <n v="139"/>
    <n v="4079"/>
    <n v="243.8"/>
    <n v="23"/>
    <n v="6"/>
    <n v="4.7E-2"/>
    <n v="1909"/>
    <d v="2024-11-29T00:00:00"/>
    <s v="Hyderabad"/>
    <x v="2"/>
    <s v="learn data analytics"/>
    <d v="2024-11-29T00:00:00"/>
    <n v="3.4076979651875457E-2"/>
    <n v="1.7539568345323742"/>
    <n v="10.6"/>
    <n v="40.633333333333333"/>
    <n v="7.8301886792452828"/>
  </r>
  <r>
    <s v="A2911"/>
    <s v="Data Analytics Course"/>
    <n v="182"/>
    <n v="4444"/>
    <n v="188.86"/>
    <n v="19"/>
    <n v="9"/>
    <n v="4.4999999999999998E-2"/>
    <n v="1555"/>
    <s v="25-11-2024"/>
    <s v="Hyderabad"/>
    <x v="0"/>
    <s v="data analytics course"/>
    <d v="2024-11-25T00:00:00"/>
    <n v="4.0954095409540953E-2"/>
    <n v="1.0376923076923077"/>
    <n v="9.9400000000000013"/>
    <n v="20.984444444444446"/>
    <n v="8.2336121995128657"/>
  </r>
  <r>
    <s v="A2912"/>
    <s v="Data Analytics Course"/>
    <n v="84"/>
    <n v="3859"/>
    <n v="182.85"/>
    <n v="17"/>
    <n v="8"/>
    <n v="9.5000000000000001E-2"/>
    <n v="1145"/>
    <d v="2024-11-09T00:00:00"/>
    <s v="Hyderabad"/>
    <x v="1"/>
    <s v="data anaytics training"/>
    <d v="2024-11-09T00:00:00"/>
    <n v="2.1767297227260948E-2"/>
    <n v="2.1767857142857143"/>
    <n v="10.755882352941176"/>
    <n v="22.856249999999999"/>
    <n v="6.26196335794367"/>
  </r>
  <r>
    <s v="A2913"/>
    <s v="Data Analytics Course"/>
    <n v="192"/>
    <n v="3752"/>
    <n v="240.61"/>
    <n v="23"/>
    <n v="8"/>
    <n v="4.2000000000000003E-2"/>
    <n v="1504"/>
    <d v="2024-11-13T00:00:00"/>
    <s v="Hyderabad"/>
    <x v="0"/>
    <s v="data analytics course"/>
    <d v="2024-11-13T00:00:00"/>
    <n v="5.1172707889125799E-2"/>
    <n v="1.2531770833333333"/>
    <n v="10.461304347826088"/>
    <n v="30.076250000000002"/>
    <n v="6.2507792693570501"/>
  </r>
  <r>
    <s v="A2914"/>
    <s v="Data Analytics Course"/>
    <n v="133"/>
    <n v="5487"/>
    <n v="243.45"/>
    <n v="22"/>
    <n v="7"/>
    <n v="5.2999999999999999E-2"/>
    <n v="1059"/>
    <d v="2024-11-18T00:00:00"/>
    <s v="Hyderabad"/>
    <x v="0"/>
    <s v="data analitics online"/>
    <d v="2024-11-18T00:00:00"/>
    <n v="2.4239110625113906E-2"/>
    <n v="1.8304511278195488"/>
    <n v="11.06590909090909"/>
    <n v="34.778571428571425"/>
    <n v="4.3499691928527424"/>
  </r>
  <r>
    <s v="A2915"/>
    <s v="Data Analytics Course"/>
    <n v="81"/>
    <n v="4864"/>
    <n v="238.27"/>
    <n v="15"/>
    <n v="7"/>
    <n v="8.5999999999999993E-2"/>
    <n v="1278"/>
    <d v="2024-01-11T00:00:00"/>
    <s v="Hyderabad"/>
    <x v="0"/>
    <s v="analytics for data"/>
    <d v="2024-01-11T00:00:00"/>
    <n v="1.6652960526315791E-2"/>
    <n v="2.9416049382716052"/>
    <n v="15.884666666666668"/>
    <n v="34.03857142857143"/>
    <n v="5.3636630713056617"/>
  </r>
  <r>
    <s v="A2916"/>
    <s v="Data Analytics Course"/>
    <n v="196"/>
    <n v="3834"/>
    <n v="216.22"/>
    <n v="10"/>
    <n v="3"/>
    <n v="4.5999999999999999E-2"/>
    <n v="1727"/>
    <d v="2024-11-03T00:00:00"/>
    <s v="Hyderabad"/>
    <x v="1"/>
    <s v="data analitics online"/>
    <d v="2024-11-03T00:00:00"/>
    <n v="5.1121544079290558E-2"/>
    <n v="1.1031632653061225"/>
    <n v="21.622"/>
    <n v="72.073333333333338"/>
    <n v="7.9872352233835908"/>
  </r>
  <r>
    <s v="A2917"/>
    <s v="Data Analytics Course"/>
    <n v="103"/>
    <n v="5859"/>
    <n v="210.86"/>
    <n v="15"/>
    <n v="7"/>
    <n v="6.8000000000000005E-2"/>
    <n v="1079"/>
    <s v="15-11-2024"/>
    <s v="Hyderabad"/>
    <x v="1"/>
    <s v="online data analytic"/>
    <d v="2024-11-15T00:00:00"/>
    <n v="1.757979177334016E-2"/>
    <n v="2.0471844660194174"/>
    <n v="14.057333333333334"/>
    <n v="30.122857142857146"/>
    <n v="5.1171393341553637"/>
  </r>
  <r>
    <s v="A2918"/>
    <s v="Data Analytics Course"/>
    <n v="107"/>
    <n v="4428"/>
    <n v="187.08"/>
    <n v="28"/>
    <n v="8"/>
    <n v="7.4999999999999997E-2"/>
    <n v="1764"/>
    <d v="2024-11-26T00:00:00"/>
    <s v="Hyderabad"/>
    <x v="2"/>
    <s v="data analytics course"/>
    <d v="2024-11-26T00:00:00"/>
    <n v="2.4164408310749775E-2"/>
    <n v="1.7484112149532711"/>
    <n v="6.6814285714285715"/>
    <n v="23.385000000000002"/>
    <n v="9.4291212315586908"/>
  </r>
  <r>
    <s v="A2919"/>
    <s v="Data Analytics Course"/>
    <n v="199"/>
    <n v="5649"/>
    <n v="223.62"/>
    <n v="11"/>
    <n v="4"/>
    <n v="0.02"/>
    <n v="1075"/>
    <d v="2024-11-22T00:00:00"/>
    <s v="Hyderabad"/>
    <x v="0"/>
    <s v="data analytics course"/>
    <d v="2024-11-22T00:00:00"/>
    <n v="3.5227473889183923E-2"/>
    <n v="1.1237185929648241"/>
    <n v="20.329090909090908"/>
    <n v="55.905000000000001"/>
    <n v="4.8072623200071547"/>
  </r>
  <r>
    <s v="A2920"/>
    <s v="Data Analytics Course"/>
    <n v="133"/>
    <n v="4116"/>
    <n v="248.26"/>
    <n v="14"/>
    <n v="3"/>
    <n v="3.3000000000000002E-2"/>
    <n v="1160"/>
    <d v="2024-11-20T00:00:00"/>
    <s v="Hyderabad"/>
    <x v="1"/>
    <s v="data analytics course"/>
    <d v="2024-11-20T00:00:00"/>
    <n v="3.2312925170068028E-2"/>
    <n v="1.8666165413533833"/>
    <n v="17.732857142857142"/>
    <n v="82.75333333333333"/>
    <n v="4.6725207443808916"/>
  </r>
  <r>
    <s v="A2921"/>
    <s v="Data Analytics Course"/>
    <n v="192"/>
    <n v="5026"/>
    <n v="209.89"/>
    <n v="25"/>
    <n v="9"/>
    <n v="4.5999999999999999E-2"/>
    <n v="1981"/>
    <d v="2024-11-30T00:00:00"/>
    <s v="Hyderabad"/>
    <x v="2"/>
    <s v="data analytics course"/>
    <d v="2024-11-30T00:00:00"/>
    <n v="3.8201352964584163E-2"/>
    <n v="1.0931770833333332"/>
    <n v="8.3956"/>
    <n v="23.321111111111108"/>
    <n v="9.4382771928152849"/>
  </r>
  <r>
    <s v="A2922"/>
    <s v="Data Analytics Course"/>
    <n v="189"/>
    <n v="4969"/>
    <n v="245.1"/>
    <n v="11"/>
    <n v="9"/>
    <n v="4.5999999999999999E-2"/>
    <n v="1993"/>
    <d v="2024-05-11T00:00:00"/>
    <s v="Hyderabad"/>
    <x v="2"/>
    <s v="online data analytic"/>
    <d v="2024-05-11T00:00:00"/>
    <n v="3.8035822097001411E-2"/>
    <n v="1.2968253968253969"/>
    <n v="22.281818181818181"/>
    <n v="27.233333333333334"/>
    <n v="8.1313749490004081"/>
  </r>
  <r>
    <s v="A2923"/>
    <s v="Data Analytics Course"/>
    <n v="197"/>
    <n v="4441"/>
    <n v="220.84"/>
    <n v="26"/>
    <n v="6"/>
    <n v="0.03"/>
    <n v="1505"/>
    <d v="2024-11-16T00:00:00"/>
    <s v="Hyderabad"/>
    <x v="0"/>
    <s v="online data analytic"/>
    <d v="2024-11-16T00:00:00"/>
    <n v="4.4359378518351721E-2"/>
    <n v="1.1210152284263959"/>
    <n v="8.4938461538461532"/>
    <n v="36.806666666666665"/>
    <n v="6.8148886071363881"/>
  </r>
  <r>
    <s v="A2924"/>
    <s v="Data Analytics Course"/>
    <n v="142"/>
    <n v="4854"/>
    <n v="220.73"/>
    <n v="25"/>
    <n v="9"/>
    <n v="6.3E-2"/>
    <n v="1891"/>
    <d v="2024-11-01T00:00:00"/>
    <s v="Hyderabad"/>
    <x v="0"/>
    <s v="data analitics online"/>
    <d v="2024-11-01T00:00:00"/>
    <n v="2.9254223320972394E-2"/>
    <n v="1.5544366197183097"/>
    <n v="8.8292000000000002"/>
    <n v="24.525555555555556"/>
    <n v="8.5670275902686548"/>
  </r>
  <r>
    <s v="A2925"/>
    <s v="Data Analytics Course"/>
    <n v="139"/>
    <n v="4010"/>
    <n v="238.31"/>
    <n v="12"/>
    <n v="3"/>
    <n v="4.5999999999999999E-2"/>
    <n v="1895"/>
    <d v="2024-11-05T00:00:00"/>
    <s v="Hyderabad"/>
    <x v="2"/>
    <s v="analytics for data"/>
    <d v="2024-11-05T00:00:00"/>
    <n v="3.466334164588529E-2"/>
    <n v="1.7144604316546763"/>
    <n v="19.859166666666667"/>
    <n v="79.436666666666667"/>
    <n v="7.9518274516386223"/>
  </r>
  <r>
    <s v="A2926"/>
    <s v="Data Analytics Course"/>
    <n v="134"/>
    <n v="4790"/>
    <n v="182.49"/>
    <n v="19"/>
    <n v="5"/>
    <n v="0.06"/>
    <n v="1082"/>
    <d v="2024-11-25T00:00:00"/>
    <s v="Hyderabad"/>
    <x v="0"/>
    <s v="analytics for data"/>
    <d v="2024-11-25T00:00:00"/>
    <n v="2.7974947807933193E-2"/>
    <n v="1.3618656716417912"/>
    <n v="9.6047368421052628"/>
    <n v="36.498000000000005"/>
    <n v="5.9290920050413716"/>
  </r>
  <r>
    <s v="A2927"/>
    <s v="Data Analytics Course"/>
    <n v="198"/>
    <n v="4953"/>
    <n v="201.7"/>
    <n v="22"/>
    <n v="8"/>
    <n v="4.5999999999999999E-2"/>
    <n v="1716"/>
    <d v="2024-11-29T00:00:00"/>
    <s v="Hyderabad"/>
    <x v="1"/>
    <s v="data anaytics training"/>
    <d v="2024-11-29T00:00:00"/>
    <n v="3.9975772259236826E-2"/>
    <n v="1.0186868686868686"/>
    <n v="9.168181818181818"/>
    <n v="25.212499999999999"/>
    <n v="8.5076846802181461"/>
  </r>
  <r>
    <s v="A2928"/>
    <s v="Data Analytics Course"/>
    <n v="142"/>
    <n v="4818"/>
    <n v="233.74"/>
    <n v="24"/>
    <n v="5"/>
    <n v="4.2999999999999997E-2"/>
    <n v="1575"/>
    <d v="2024-11-03T00:00:00"/>
    <s v="Hyderabad"/>
    <x v="0"/>
    <s v="analytics for data"/>
    <d v="2024-11-03T00:00:00"/>
    <n v="2.9472810294728102E-2"/>
    <n v="1.646056338028169"/>
    <n v="9.7391666666666676"/>
    <n v="46.748000000000005"/>
    <n v="6.7382561820826554"/>
  </r>
  <r>
    <s v="A2929"/>
    <s v="Data Analytics Course"/>
    <n v="91"/>
    <n v="4394"/>
    <n v="215.57"/>
    <n v="21"/>
    <n v="7"/>
    <n v="4.5999999999999999E-2"/>
    <n v="1926"/>
    <d v="2024-11-15T00:00:00"/>
    <s v="Hyderabad"/>
    <x v="2"/>
    <s v="online data analytic"/>
    <d v="2024-11-15T00:00:00"/>
    <n v="2.0710059171597635E-2"/>
    <n v="2.368901098901099"/>
    <n v="10.265238095238095"/>
    <n v="30.795714285714286"/>
    <n v="8.9344528459433139"/>
  </r>
  <r>
    <s v="A2930"/>
    <s v="Data Analytics Course"/>
    <n v="81"/>
    <n v="3855"/>
    <n v="185.69"/>
    <n v="21"/>
    <n v="9"/>
    <n v="5.0999999999999997E-2"/>
    <n v="1310"/>
    <s v="14-11-2024"/>
    <s v="Hyderabad"/>
    <x v="0"/>
    <s v="learn data analytics"/>
    <d v="2024-11-14T00:00:00"/>
    <n v="2.1011673151750974E-2"/>
    <n v="2.2924691358024689"/>
    <n v="8.8423809523809531"/>
    <n v="20.632222222222222"/>
    <n v="7.0547687005223763"/>
  </r>
  <r>
    <s v="A2931"/>
    <s v="Data Analytics Course"/>
    <n v="160"/>
    <n v="3781"/>
    <n v="241.99"/>
    <n v="23"/>
    <n v="3"/>
    <n v="1.9E-2"/>
    <n v="1772"/>
    <d v="2024-11-05T00:00:00"/>
    <s v="Hyderabad"/>
    <x v="2"/>
    <s v="data analitics online"/>
    <d v="2024-11-05T00:00:00"/>
    <n v="4.231684739486908E-2"/>
    <n v="1.5124375000000001"/>
    <n v="10.521304347826087"/>
    <n v="80.663333333333341"/>
    <n v="7.3226166370511176"/>
  </r>
  <r>
    <s v="A2932"/>
    <s v="Data Analytics Course"/>
    <n v="106"/>
    <n v="3309"/>
    <n v="217.2"/>
    <n v="25"/>
    <n v="4"/>
    <n v="5.7000000000000002E-2"/>
    <n v="1507"/>
    <d v="2024-11-03T00:00:00"/>
    <s v="Hyderabad"/>
    <x v="2"/>
    <s v="data analytics course"/>
    <d v="2024-11-03T00:00:00"/>
    <n v="3.2033847083711091E-2"/>
    <n v="2.0490566037735847"/>
    <n v="8.6879999999999988"/>
    <n v="54.3"/>
    <n v="6.9383057090239415"/>
  </r>
  <r>
    <s v="A2933"/>
    <s v="Data Analytics Course"/>
    <n v="148"/>
    <n v="4930"/>
    <n v="211.01"/>
    <n v="24"/>
    <n v="6"/>
    <n v="5.8000000000000003E-2"/>
    <n v="1378"/>
    <d v="2024-11-19T00:00:00"/>
    <s v="Hyderabad"/>
    <x v="1"/>
    <s v="data anaytics training"/>
    <d v="2024-11-19T00:00:00"/>
    <n v="3.0020283975659229E-2"/>
    <n v="1.4257432432432431"/>
    <n v="8.7920833333333324"/>
    <n v="35.168333333333329"/>
    <n v="6.5304961850149281"/>
  </r>
  <r>
    <s v="A2934"/>
    <s v="Data Analytics Course"/>
    <n v="83"/>
    <n v="4830"/>
    <n v="184.98"/>
    <n v="12"/>
    <n v="10"/>
    <n v="0.12"/>
    <n v="1041"/>
    <d v="2024-11-01T00:00:00"/>
    <s v="Hyderabad"/>
    <x v="0"/>
    <s v="learn data analytics"/>
    <d v="2024-11-01T00:00:00"/>
    <n v="1.7184265010351966E-2"/>
    <n v="2.2286746987951807"/>
    <n v="15.414999999999999"/>
    <n v="18.497999999999998"/>
    <n v="5.6276354200454106"/>
  </r>
  <r>
    <s v="A2935"/>
    <s v="Data Analytics Course"/>
    <n v="89"/>
    <n v="5422"/>
    <n v="199.91"/>
    <n v="12"/>
    <n v="6"/>
    <n v="6.7000000000000004E-2"/>
    <n v="1903"/>
    <d v="2024-11-09T00:00:00"/>
    <s v="Hyderabad"/>
    <x v="0"/>
    <s v="data anaytics training"/>
    <d v="2024-11-09T00:00:00"/>
    <n v="1.6414607156030984E-2"/>
    <n v="2.2461797752808987"/>
    <n v="16.659166666666668"/>
    <n v="33.318333333333335"/>
    <n v="9.5192836776549452"/>
  </r>
  <r>
    <s v="A2936"/>
    <s v="Data Analytics Course"/>
    <n v="123"/>
    <n v="4658"/>
    <n v="211.76"/>
    <n v="30"/>
    <n v="3"/>
    <n v="2.4E-2"/>
    <n v="1201"/>
    <d v="2024-11-15T00:00:00"/>
    <s v="Hyderabad"/>
    <x v="0"/>
    <s v="online data analytic"/>
    <d v="2024-11-15T00:00:00"/>
    <n v="2.6406182911120651E-2"/>
    <n v="1.7216260162601624"/>
    <n v="7.0586666666666664"/>
    <n v="70.586666666666659"/>
    <n v="5.6715149225538344"/>
  </r>
  <r>
    <s v="A2937"/>
    <s v="Data Analytics Course"/>
    <n v="103"/>
    <n v="3249"/>
    <n v="232.85"/>
    <n v="13"/>
    <n v="4"/>
    <n v="3.9E-2"/>
    <n v="1397"/>
    <d v="2024-11-04T00:00:00"/>
    <s v="Hyderabad"/>
    <x v="0"/>
    <s v="data analytics course"/>
    <d v="2024-11-04T00:00:00"/>
    <n v="3.1702062172976303E-2"/>
    <n v="2.2606796116504855"/>
    <n v="17.911538461538463"/>
    <n v="58.212499999999999"/>
    <n v="5.9995705389735887"/>
  </r>
  <r>
    <s v="A2938"/>
    <s v="Data Analytics Course"/>
    <n v="130"/>
    <n v="4393"/>
    <n v="198.66"/>
    <n v="19"/>
    <n v="7"/>
    <n v="5.3999999999999999E-2"/>
    <n v="1236"/>
    <d v="2024-11-11T00:00:00"/>
    <s v="Hyderabad"/>
    <x v="0"/>
    <s v="data analitics online"/>
    <d v="2024-11-11T00:00:00"/>
    <n v="2.9592533576143866E-2"/>
    <n v="1.5281538461538462"/>
    <n v="10.455789473684211"/>
    <n v="28.38"/>
    <n v="6.2216852914527339"/>
  </r>
  <r>
    <s v="A2939"/>
    <s v="Data Analytics Course"/>
    <n v="193"/>
    <n v="4953"/>
    <n v="243.75"/>
    <n v="14"/>
    <n v="3"/>
    <n v="1.6E-2"/>
    <n v="1118"/>
    <d v="2024-11-04T00:00:00"/>
    <s v="Hyderabad"/>
    <x v="1"/>
    <s v="analytics for data"/>
    <d v="2024-11-04T00:00:00"/>
    <n v="3.8966283060771247E-2"/>
    <n v="1.2629533678756477"/>
    <n v="17.410714285714285"/>
    <n v="81.25"/>
    <n v="4.5866666666666669"/>
  </r>
  <r>
    <s v="A2940"/>
    <s v="Data Analytics Course"/>
    <n v="185"/>
    <n v="5208"/>
    <n v="227.26"/>
    <n v="16"/>
    <n v="4"/>
    <n v="2.1999999999999999E-2"/>
    <n v="1953"/>
    <d v="2024-11-08T00:00:00"/>
    <s v="Hyderabad"/>
    <x v="1"/>
    <s v="data anaytics training"/>
    <d v="2024-11-08T00:00:00"/>
    <n v="3.5522273425499233E-2"/>
    <n v="1.2284324324324323"/>
    <n v="14.203749999999999"/>
    <n v="56.814999999999998"/>
    <n v="8.5936812461497851"/>
  </r>
  <r>
    <s v="A2941"/>
    <s v="Data Analytics Course"/>
    <n v="163"/>
    <n v="4114"/>
    <n v="224.8"/>
    <n v="18"/>
    <n v="8"/>
    <n v="4.5999999999999999E-2"/>
    <n v="1493"/>
    <d v="2024-11-24T00:00:00"/>
    <s v="Hyderabad"/>
    <x v="0"/>
    <s v="online data analytic"/>
    <d v="2024-11-24T00:00:00"/>
    <n v="3.9620807000486147E-2"/>
    <n v="1.3791411042944786"/>
    <n v="12.488888888888889"/>
    <n v="28.1"/>
    <n v="6.6414590747330955"/>
  </r>
  <r>
    <s v="A2942"/>
    <s v="Data Analytics Course"/>
    <n v="197"/>
    <n v="3508"/>
    <n v="181.04"/>
    <n v="20"/>
    <n v="4"/>
    <n v="0.02"/>
    <n v="1824"/>
    <d v="2024-11-16T00:00:00"/>
    <s v="Hyderabad"/>
    <x v="1"/>
    <s v="data anaytics training"/>
    <d v="2024-11-16T00:00:00"/>
    <n v="5.6157354618015964E-2"/>
    <n v="0.91898477157360403"/>
    <n v="9.0519999999999996"/>
    <n v="45.26"/>
    <n v="10.075121520106054"/>
  </r>
  <r>
    <s v="A2943"/>
    <s v="Data Analytics Course"/>
    <n v="89"/>
    <n v="5733"/>
    <n v="215.33"/>
    <n v="22"/>
    <n v="9"/>
    <n v="0.10100000000000001"/>
    <n v="1323"/>
    <d v="2024-11-15T00:00:00"/>
    <s v="Hyderabad"/>
    <x v="2"/>
    <s v="data analitics online"/>
    <d v="2024-11-15T00:00:00"/>
    <n v="1.5524158381301239E-2"/>
    <n v="2.419438202247191"/>
    <n v="9.7877272727272739"/>
    <n v="23.925555555555558"/>
    <n v="6.1440579575535219"/>
  </r>
  <r>
    <s v="A2944"/>
    <s v="Data Analytics Course"/>
    <n v="99"/>
    <n v="3948"/>
    <n v="198.65"/>
    <n v="22"/>
    <n v="4"/>
    <n v="0.04"/>
    <n v="1444"/>
    <d v="2024-11-19T00:00:00"/>
    <s v="Hyderabad"/>
    <x v="1"/>
    <s v="data anaytics training"/>
    <d v="2024-11-19T00:00:00"/>
    <n v="2.5075987841945289E-2"/>
    <n v="2.0065656565656567"/>
    <n v="9.0295454545454543"/>
    <n v="49.662500000000001"/>
    <n v="7.269066196828593"/>
  </r>
  <r>
    <s v="A2945"/>
    <s v="Data Analytics Course"/>
    <n v="110"/>
    <n v="4488"/>
    <n v="210.69"/>
    <n v="27"/>
    <n v="10"/>
    <n v="4.5999999999999999E-2"/>
    <n v="1872"/>
    <d v="2024-11-12T00:00:00"/>
    <s v="Hyderabad"/>
    <x v="1"/>
    <s v="data anaytics training"/>
    <d v="2024-11-12T00:00:00"/>
    <n v="2.4509803921568627E-2"/>
    <n v="1.9153636363636364"/>
    <n v="7.8033333333333337"/>
    <n v="21.068999999999999"/>
    <n v="8.8850918410935495"/>
  </r>
  <r>
    <s v="A2946"/>
    <s v="Data Analytics Course"/>
    <n v="124"/>
    <n v="4747"/>
    <n v="234.97"/>
    <n v="24"/>
    <n v="10"/>
    <n v="8.1000000000000003E-2"/>
    <n v="1505"/>
    <d v="2024-11-17T00:00:00"/>
    <s v="Hyderabad"/>
    <x v="0"/>
    <s v="online data analytic"/>
    <d v="2024-11-17T00:00:00"/>
    <n v="2.6121761112281441E-2"/>
    <n v="1.8949193548387098"/>
    <n v="9.7904166666666672"/>
    <n v="23.497"/>
    <n v="6.4050729880410264"/>
  </r>
  <r>
    <s v="A2947"/>
    <s v="Data Analytics Course"/>
    <n v="120"/>
    <n v="5363"/>
    <n v="221.17"/>
    <n v="17"/>
    <n v="4"/>
    <n v="3.3000000000000002E-2"/>
    <n v="1345"/>
    <d v="2024-11-08T00:00:00"/>
    <s v="Hyderabad"/>
    <x v="2"/>
    <s v="analytics for data"/>
    <d v="2024-11-08T00:00:00"/>
    <n v="2.2375536080551931E-2"/>
    <n v="1.8430833333333332"/>
    <n v="13.01"/>
    <n v="55.292499999999997"/>
    <n v="6.0812949315006559"/>
  </r>
  <r>
    <s v="A2948"/>
    <s v="Data Analytics Course"/>
    <n v="97"/>
    <n v="4518.5"/>
    <n v="184.76"/>
    <n v="25"/>
    <n v="10"/>
    <n v="0.10299999999999999"/>
    <n v="1505"/>
    <s v="14-11-2024"/>
    <s v="Hyderabad"/>
    <x v="2"/>
    <s v="data analitics online"/>
    <d v="2024-11-14T00:00:00"/>
    <n v="2.1467301095496293E-2"/>
    <n v="1.9047422680412369"/>
    <n v="7.3903999999999996"/>
    <n v="18.475999999999999"/>
    <n v="8.1457025330158039"/>
  </r>
  <r>
    <s v="A2949"/>
    <s v="Data Analytics Course"/>
    <n v="108"/>
    <n v="5611"/>
    <n v="224.38"/>
    <n v="29"/>
    <n v="8"/>
    <n v="7.3999999999999996E-2"/>
    <n v="1886"/>
    <d v="2024-11-11T00:00:00"/>
    <s v="Hyderabad"/>
    <x v="1"/>
    <s v="analytics for data"/>
    <d v="2024-11-11T00:00:00"/>
    <n v="1.9247905899126717E-2"/>
    <n v="2.0775925925925924"/>
    <n v="7.7372413793103449"/>
    <n v="28.047499999999999"/>
    <n v="8.4053837240395755"/>
  </r>
  <r>
    <s v="A2950"/>
    <s v="Data Analytics Course"/>
    <n v="143"/>
    <n v="4788"/>
    <n v="213.2"/>
    <n v="24"/>
    <n v="7"/>
    <n v="4.9000000000000002E-2"/>
    <n v="1359"/>
    <d v="2024-01-11T00:00:00"/>
    <s v="Hyderabad"/>
    <x v="0"/>
    <s v="analytics for data"/>
    <d v="2024-01-11T00:00:00"/>
    <n v="2.9866332497911444E-2"/>
    <n v="1.4909090909090907"/>
    <n v="8.8833333333333329"/>
    <n v="30.457142857142856"/>
    <n v="6.3742964352720453"/>
  </r>
  <r>
    <s v="A2951"/>
    <s v="Data Analytics Course"/>
    <n v="129"/>
    <n v="5899"/>
    <n v="216.85"/>
    <n v="15"/>
    <n v="9"/>
    <n v="4.5999999999999999E-2"/>
    <n v="1574"/>
    <d v="2024-11-30T00:00:00"/>
    <s v="Hyderabad"/>
    <x v="0"/>
    <s v="data analytics course"/>
    <d v="2024-11-30T00:00:00"/>
    <n v="2.1868113239532125E-2"/>
    <n v="1.6810077519379845"/>
    <n v="14.456666666666667"/>
    <n v="24.094444444444445"/>
    <n v="7.258473599262163"/>
  </r>
  <r>
    <s v="A2952"/>
    <s v="Data Analytics Course"/>
    <n v="165"/>
    <n v="4121"/>
    <n v="224.59"/>
    <n v="30"/>
    <n v="7"/>
    <n v="4.2000000000000003E-2"/>
    <n v="1569"/>
    <d v="2024-11-03T00:00:00"/>
    <s v="Hyderabad"/>
    <x v="1"/>
    <s v="data analytics course"/>
    <d v="2024-11-03T00:00:00"/>
    <n v="4.0038825527784518E-2"/>
    <n v="1.3611515151515152"/>
    <n v="7.4863333333333335"/>
    <n v="32.084285714285713"/>
    <n v="6.9860634934770021"/>
  </r>
  <r>
    <s v="A2953"/>
    <s v="Data Analytics Course"/>
    <n v="155"/>
    <n v="5030"/>
    <n v="234.41"/>
    <n v="13"/>
    <n v="5"/>
    <n v="3.2000000000000001E-2"/>
    <n v="1113"/>
    <d v="2024-08-11T00:00:00"/>
    <s v="Hyderabad"/>
    <x v="1"/>
    <s v="online data analytic"/>
    <d v="2024-08-11T00:00:00"/>
    <n v="3.0815109343936383E-2"/>
    <n v="1.5123225806451612"/>
    <n v="18.03153846153846"/>
    <n v="46.881999999999998"/>
    <n v="4.7480909517512053"/>
  </r>
  <r>
    <s v="A2954"/>
    <s v="Data Analytics Course"/>
    <n v="156"/>
    <n v="3533"/>
    <n v="211.7"/>
    <n v="22"/>
    <n v="9"/>
    <n v="5.8000000000000003E-2"/>
    <n v="1399"/>
    <d v="2024-11-10T00:00:00"/>
    <s v="Hyderabad"/>
    <x v="1"/>
    <s v="data analytics course"/>
    <d v="2024-11-10T00:00:00"/>
    <n v="4.4155108972544578E-2"/>
    <n v="1.3570512820512819"/>
    <n v="9.622727272727273"/>
    <n v="23.522222222222222"/>
    <n v="6.6084081247047717"/>
  </r>
  <r>
    <s v="A2955"/>
    <s v="Data Analytics Course"/>
    <n v="94"/>
    <n v="5751"/>
    <n v="205.37"/>
    <n v="10"/>
    <n v="9"/>
    <n v="9.6000000000000002E-2"/>
    <n v="1155"/>
    <d v="2024-11-19T00:00:00"/>
    <s v="Hyderabad"/>
    <x v="2"/>
    <s v="data analytics course"/>
    <d v="2024-11-19T00:00:00"/>
    <n v="1.6344983481133717E-2"/>
    <n v="2.1847872340425534"/>
    <n v="20.536999999999999"/>
    <n v="22.818888888888889"/>
    <n v="5.6239957150508832"/>
  </r>
  <r>
    <s v="A2956"/>
    <s v="Data Analytics Course"/>
    <n v="170"/>
    <n v="5484"/>
    <n v="210.28"/>
    <n v="20"/>
    <n v="9"/>
    <n v="5.2999999999999999E-2"/>
    <n v="1319"/>
    <s v="23-11-2024"/>
    <s v="Hyderabad"/>
    <x v="2"/>
    <s v="data anaytics training"/>
    <d v="2024-11-23T00:00:00"/>
    <n v="3.0999270605397519E-2"/>
    <n v="1.2369411764705882"/>
    <n v="10.513999999999999"/>
    <n v="23.364444444444445"/>
    <n v="6.272588929046985"/>
  </r>
  <r>
    <s v="A2957"/>
    <s v="Data Analytics Course"/>
    <n v="90"/>
    <n v="5457"/>
    <n v="233.5"/>
    <n v="17"/>
    <n v="9"/>
    <n v="0.1"/>
    <n v="1159"/>
    <s v="19-11-2024"/>
    <s v="Hyderabad"/>
    <x v="0"/>
    <s v="data analytics course"/>
    <d v="2024-11-19T00:00:00"/>
    <n v="1.6492578339747113E-2"/>
    <n v="2.5944444444444446"/>
    <n v="13.735294117647058"/>
    <n v="25.944444444444443"/>
    <n v="4.9635974304068524"/>
  </r>
  <r>
    <s v="A2958"/>
    <s v="Data Analytics Course"/>
    <n v="139"/>
    <n v="3314"/>
    <n v="215.57"/>
    <n v="26"/>
    <n v="10"/>
    <n v="4.5999999999999999E-2"/>
    <n v="1731"/>
    <s v="27-11-2024"/>
    <s v="Hyderabad"/>
    <x v="0"/>
    <s v="analytics for data"/>
    <d v="2024-11-27T00:00:00"/>
    <n v="4.1943270971635485E-2"/>
    <n v="1.5508633093525179"/>
    <n v="8.2911538461538452"/>
    <n v="21.556999999999999"/>
    <n v="8.0298742867745982"/>
  </r>
  <r>
    <s v="A2959"/>
    <s v="Data Analytics Course"/>
    <n v="80"/>
    <n v="5808"/>
    <n v="240.44"/>
    <n v="12"/>
    <n v="4"/>
    <n v="3.5999999999999997E-2"/>
    <n v="1542"/>
    <d v="2024-11-16T00:00:00"/>
    <s v="Hyderabad"/>
    <x v="0"/>
    <s v="data analitics online"/>
    <d v="2024-11-16T00:00:00"/>
    <n v="1.3774104683195593E-2"/>
    <n v="3.0055000000000001"/>
    <n v="20.036666666666665"/>
    <n v="60.11"/>
    <n v="6.4132423889535852"/>
  </r>
  <r>
    <s v="A2960"/>
    <s v="Data Analytics Course"/>
    <n v="166"/>
    <n v="5567"/>
    <n v="199.13"/>
    <n v="29"/>
    <n v="5"/>
    <n v="0.03"/>
    <n v="1474"/>
    <d v="2024-11-08T00:00:00"/>
    <s v="Hyderabad"/>
    <x v="1"/>
    <s v="learn data analytics"/>
    <d v="2024-11-08T00:00:00"/>
    <n v="2.9818573738099517E-2"/>
    <n v="1.199578313253012"/>
    <n v="6.8665517241379312"/>
    <n v="39.826000000000001"/>
    <n v="7.4021995681213282"/>
  </r>
  <r>
    <s v="A2961"/>
    <s v="Data Analytics Course"/>
    <n v="149"/>
    <n v="5936"/>
    <n v="246.58"/>
    <n v="14"/>
    <n v="6"/>
    <n v="4.5999999999999999E-2"/>
    <n v="1396"/>
    <d v="2024-11-01T00:00:00"/>
    <s v="Hyderabad"/>
    <x v="0"/>
    <s v="learn data analytics"/>
    <d v="2024-11-01T00:00:00"/>
    <n v="2.5101078167115903E-2"/>
    <n v="1.6548993288590605"/>
    <n v="17.612857142857145"/>
    <n v="41.096666666666671"/>
    <n v="5.6614486170816773"/>
  </r>
  <r>
    <s v="A2962"/>
    <s v="Data Analytics Course"/>
    <n v="151"/>
    <n v="4966"/>
    <n v="223.67"/>
    <n v="15"/>
    <n v="3"/>
    <n v="4.5999999999999999E-2"/>
    <n v="1411"/>
    <d v="2024-11-09T00:00:00"/>
    <s v="Hyderabad"/>
    <x v="2"/>
    <s v="analytics for data"/>
    <d v="2024-11-09T00:00:00"/>
    <n v="3.0406766008860251E-2"/>
    <n v="1.4812582781456953"/>
    <n v="14.911333333333333"/>
    <n v="74.556666666666658"/>
    <n v="6.3084007689900305"/>
  </r>
  <r>
    <s v="A2963"/>
    <s v="Data Analytics Course"/>
    <n v="186"/>
    <n v="4790"/>
    <n v="233.42"/>
    <n v="10"/>
    <n v="3"/>
    <n v="4.5999999999999999E-2"/>
    <n v="1201"/>
    <d v="2024-11-25T00:00:00"/>
    <s v="Hyderabad"/>
    <x v="0"/>
    <s v="data anaytics training"/>
    <d v="2024-11-25T00:00:00"/>
    <n v="3.8830897703549062E-2"/>
    <n v="1.2549462365591397"/>
    <n v="23.341999999999999"/>
    <n v="77.806666666666658"/>
    <n v="5.1452317710564648"/>
  </r>
  <r>
    <s v="A2964"/>
    <s v="Data Analytics Course"/>
    <n v="143"/>
    <n v="4932"/>
    <n v="206.35"/>
    <n v="20"/>
    <n v="9"/>
    <n v="6.3E-2"/>
    <n v="1132"/>
    <s v="22-11-2024"/>
    <s v="Hyderabad"/>
    <x v="0"/>
    <s v="data analytics course"/>
    <d v="2024-11-22T00:00:00"/>
    <n v="2.8994322789943228E-2"/>
    <n v="1.4430069930069929"/>
    <n v="10.317499999999999"/>
    <n v="22.927777777777777"/>
    <n v="5.4858250545190215"/>
  </r>
  <r>
    <s v="A2965"/>
    <s v="Data Analytics Course"/>
    <n v="180"/>
    <n v="3991"/>
    <n v="200.43"/>
    <n v="10"/>
    <n v="10"/>
    <n v="5.6000000000000001E-2"/>
    <n v="1427"/>
    <s v="21-11-2024"/>
    <s v="Hyderabad"/>
    <x v="2"/>
    <s v="online data analytic"/>
    <d v="2024-11-21T00:00:00"/>
    <n v="4.5101478326234026E-2"/>
    <n v="1.1134999999999999"/>
    <n v="20.042999999999999"/>
    <n v="20.042999999999999"/>
    <n v="7.1196926607793243"/>
  </r>
  <r>
    <s v="A2966"/>
    <s v="Data Analytics Course"/>
    <n v="141"/>
    <n v="3306"/>
    <n v="188.29"/>
    <n v="30"/>
    <n v="9"/>
    <n v="4.1000000000000002E-2"/>
    <n v="1561"/>
    <d v="2024-11-18T00:00:00"/>
    <s v="Hyderabad"/>
    <x v="2"/>
    <s v="analytics for data"/>
    <d v="2024-11-18T00:00:00"/>
    <n v="4.26497277676951E-2"/>
    <n v="1.3353900709219857"/>
    <n v="6.2763333333333327"/>
    <n v="20.921111111111109"/>
    <n v="8.2904031015985975"/>
  </r>
  <r>
    <s v="A2967"/>
    <s v="Data Analytics Course"/>
    <n v="80"/>
    <n v="3432"/>
    <n v="226.03"/>
    <n v="20"/>
    <n v="9"/>
    <n v="0.113"/>
    <n v="1254"/>
    <d v="2024-11-07T00:00:00"/>
    <s v="Hyderabad"/>
    <x v="0"/>
    <s v="learn data analytics"/>
    <d v="2024-11-07T00:00:00"/>
    <n v="2.3310023310023312E-2"/>
    <n v="2.8253750000000002"/>
    <n v="11.301500000000001"/>
    <n v="25.114444444444445"/>
    <n v="5.5479361146750428"/>
  </r>
  <r>
    <s v="A2968"/>
    <s v="Data Analytics Course"/>
    <n v="152"/>
    <n v="4683"/>
    <n v="223.33"/>
    <n v="12"/>
    <n v="7"/>
    <n v="4.5999999999999999E-2"/>
    <n v="1697"/>
    <d v="2024-11-18T00:00:00"/>
    <s v="Hyderabad"/>
    <x v="2"/>
    <s v="data analytics course"/>
    <d v="2024-11-18T00:00:00"/>
    <n v="3.2457826179799275E-2"/>
    <n v="1.4692763157894737"/>
    <n v="18.610833333333336"/>
    <n v="31.904285714285717"/>
    <n v="7.5986208749384314"/>
  </r>
  <r>
    <s v="A2969"/>
    <s v="Data Analytics Course"/>
    <n v="189"/>
    <n v="3635"/>
    <n v="229.08"/>
    <n v="17"/>
    <n v="9"/>
    <n v="4.8000000000000001E-2"/>
    <n v="1225"/>
    <s v="13-11-2024"/>
    <s v="Hyderabad"/>
    <x v="2"/>
    <s v="online data analytic"/>
    <d v="2024-11-13T00:00:00"/>
    <n v="5.1994497936726274E-2"/>
    <n v="1.2120634920634921"/>
    <n v="13.47529411764706"/>
    <n v="25.453333333333333"/>
    <n v="5.3474768639776498"/>
  </r>
  <r>
    <s v="A2970"/>
    <s v="Data Analytics Course"/>
    <n v="121"/>
    <n v="4638"/>
    <n v="198.88"/>
    <n v="14"/>
    <n v="6"/>
    <n v="4.5999999999999999E-2"/>
    <n v="1964"/>
    <d v="2024-11-08T00:00:00"/>
    <s v="Hyderabad"/>
    <x v="0"/>
    <s v="learn data analytics"/>
    <d v="2024-11-08T00:00:00"/>
    <n v="2.6088831392841742E-2"/>
    <n v="1.6436363636363636"/>
    <n v="14.205714285714285"/>
    <n v="33.146666666666668"/>
    <n v="9.8753016894609811"/>
  </r>
  <r>
    <s v="A2971"/>
    <s v="Data Analytics Course"/>
    <n v="140"/>
    <n v="5095"/>
    <n v="223.77"/>
    <n v="28"/>
    <n v="7"/>
    <n v="0.05"/>
    <n v="1233"/>
    <s v="14-11-2024"/>
    <s v="Hyderabad"/>
    <x v="2"/>
    <s v="learn data analytics"/>
    <d v="2024-11-14T00:00:00"/>
    <n v="2.747791952894995E-2"/>
    <n v="1.598357142857143"/>
    <n v="7.9917857142857143"/>
    <n v="31.967142857142857"/>
    <n v="5.5101220002681321"/>
  </r>
  <r>
    <s v="A2972"/>
    <s v="Data Analytics Course"/>
    <n v="183"/>
    <n v="5749"/>
    <n v="213.66"/>
    <n v="23"/>
    <n v="7"/>
    <n v="4.5999999999999999E-2"/>
    <n v="1187"/>
    <d v="2024-11-22T00:00:00"/>
    <s v="Hyderabad"/>
    <x v="1"/>
    <s v="online data analytic"/>
    <d v="2024-11-22T00:00:00"/>
    <n v="3.1831622890937557E-2"/>
    <n v="1.1675409836065573"/>
    <n v="9.2895652173913046"/>
    <n v="30.522857142857141"/>
    <n v="5.5555555555555554"/>
  </r>
  <r>
    <s v="A2973"/>
    <s v="Data Analytics Course"/>
    <n v="156"/>
    <n v="3964"/>
    <n v="184.42"/>
    <n v="22"/>
    <n v="6"/>
    <n v="3.7999999999999999E-2"/>
    <n v="1893"/>
    <d v="2024-11-30T00:00:00"/>
    <s v="Hyderabad"/>
    <x v="2"/>
    <s v="online data analytic"/>
    <d v="2024-11-30T00:00:00"/>
    <n v="3.9354187689202826E-2"/>
    <n v="1.1821794871794871"/>
    <n v="8.3827272727272728"/>
    <n v="30.736666666666665"/>
    <n v="10.264613382496476"/>
  </r>
  <r>
    <s v="A2974"/>
    <s v="Data Analytics Course"/>
    <n v="136"/>
    <n v="5645"/>
    <n v="195.55"/>
    <n v="26"/>
    <n v="4"/>
    <n v="2.9000000000000001E-2"/>
    <n v="1773"/>
    <d v="2024-01-11T00:00:00"/>
    <s v="Hyderabad"/>
    <x v="2"/>
    <s v="learn data analytics"/>
    <d v="2024-01-11T00:00:00"/>
    <n v="2.4092116917626218E-2"/>
    <n v="1.4378676470588236"/>
    <n v="7.5211538461538465"/>
    <n v="48.887500000000003"/>
    <n v="9.0667348504218861"/>
  </r>
  <r>
    <s v="A2975"/>
    <s v="Data Analytics Course"/>
    <n v="107"/>
    <n v="5272"/>
    <n v="223.18"/>
    <n v="16"/>
    <n v="8"/>
    <n v="7.4999999999999997E-2"/>
    <n v="1110"/>
    <s v="28-11-2024"/>
    <s v="Hyderabad"/>
    <x v="0"/>
    <s v="learn data analytics"/>
    <d v="2024-11-28T00:00:00"/>
    <n v="2.0295902883156296E-2"/>
    <n v="2.0857943925233644"/>
    <n v="13.94875"/>
    <n v="27.897500000000001"/>
    <n v="4.9735639394210951"/>
  </r>
  <r>
    <s v="A2976"/>
    <s v="Data Analytics Course"/>
    <n v="86"/>
    <n v="4824"/>
    <n v="231.61"/>
    <n v="20"/>
    <n v="7"/>
    <n v="4.5999999999999999E-2"/>
    <n v="1390"/>
    <d v="2024-11-10T00:00:00"/>
    <s v="Hyderabad"/>
    <x v="2"/>
    <s v="data analitics online"/>
    <d v="2024-11-10T00:00:00"/>
    <n v="1.7827529021558871E-2"/>
    <n v="2.6931395348837213"/>
    <n v="11.580500000000001"/>
    <n v="33.087142857142858"/>
    <n v="6.0014679849747417"/>
  </r>
  <r>
    <s v="A2977"/>
    <s v="Data Analytics Course"/>
    <n v="165"/>
    <n v="5455"/>
    <n v="191.75"/>
    <n v="30"/>
    <n v="5"/>
    <n v="0.03"/>
    <n v="1145"/>
    <d v="2024-11-02T00:00:00"/>
    <s v="Hyderabad"/>
    <x v="0"/>
    <s v="data anaytics training"/>
    <d v="2024-11-02T00:00:00"/>
    <n v="3.0247479376718608E-2"/>
    <n v="1.1621212121212121"/>
    <n v="6.3916666666666666"/>
    <n v="38.35"/>
    <n v="5.9713168187744463"/>
  </r>
  <r>
    <s v="A2978"/>
    <s v="Data Analytics Course"/>
    <n v="145"/>
    <n v="3779"/>
    <n v="182.65"/>
    <n v="27"/>
    <n v="4"/>
    <n v="4.5999999999999999E-2"/>
    <n v="1364"/>
    <d v="2024-11-24T00:00:00"/>
    <s v="Hyderabad"/>
    <x v="2"/>
    <s v="analytics for data"/>
    <d v="2024-11-24T00:00:00"/>
    <n v="3.8369939137337918E-2"/>
    <n v="1.2596551724137932"/>
    <n v="6.7648148148148151"/>
    <n v="45.662500000000001"/>
    <n v="7.4678346564467555"/>
  </r>
  <r>
    <s v="A2979"/>
    <s v="Data Analytics Course"/>
    <n v="99"/>
    <n v="5981"/>
    <n v="243.89"/>
    <n v="16"/>
    <n v="9"/>
    <n v="9.0999999999999998E-2"/>
    <n v="1876"/>
    <d v="2024-11-11T00:00:00"/>
    <s v="Hyderabad"/>
    <x v="0"/>
    <s v="data analitics online"/>
    <d v="2024-11-11T00:00:00"/>
    <n v="1.6552415983949173E-2"/>
    <n v="2.4635353535353532"/>
    <n v="15.243124999999999"/>
    <n v="27.098888888888887"/>
    <n v="7.6919922916068728"/>
  </r>
  <r>
    <s v="A2980"/>
    <s v="Data Analytics Course"/>
    <n v="139"/>
    <n v="5954"/>
    <n v="216.02"/>
    <n v="27"/>
    <n v="10"/>
    <n v="4.5999999999999999E-2"/>
    <n v="1880"/>
    <d v="2024-11-28T00:00:00"/>
    <s v="Hyderabad"/>
    <x v="0"/>
    <s v="data anaytics training"/>
    <d v="2024-11-28T00:00:00"/>
    <n v="2.3345649983204569E-2"/>
    <n v="1.5541007194244605"/>
    <n v="8.0007407407407403"/>
    <n v="21.602"/>
    <n v="8.702897879825942"/>
  </r>
  <r>
    <s v="A2981"/>
    <s v="Data Analytics Course"/>
    <n v="139"/>
    <n v="5055"/>
    <n v="215.57"/>
    <n v="19"/>
    <n v="8"/>
    <n v="5.8000000000000003E-2"/>
    <n v="1696"/>
    <s v="29-11-2024"/>
    <s v="Hyderabad"/>
    <x v="2"/>
    <s v="online data analytic"/>
    <d v="2024-11-29T00:00:00"/>
    <n v="2.7497527200791294E-2"/>
    <n v="1.5508633093525179"/>
    <n v="11.34578947368421"/>
    <n v="26.946249999999999"/>
    <n v="7.8675140325648281"/>
  </r>
  <r>
    <s v="A2982"/>
    <s v="Data Analytics Course"/>
    <n v="153"/>
    <n v="4524"/>
    <n v="224.15"/>
    <n v="20"/>
    <n v="4"/>
    <n v="2.5999999999999999E-2"/>
    <n v="1083"/>
    <d v="2024-11-05T00:00:00"/>
    <s v="Hyderabad"/>
    <x v="2"/>
    <s v="learn data analytics"/>
    <d v="2024-11-05T00:00:00"/>
    <n v="3.3819628647214856E-2"/>
    <n v="1.4650326797385622"/>
    <n v="11.2075"/>
    <n v="56.037500000000001"/>
    <n v="4.8315859915235331"/>
  </r>
  <r>
    <s v="A2983"/>
    <s v="Data Analytics Course"/>
    <n v="184"/>
    <n v="5903"/>
    <n v="182.5"/>
    <n v="15"/>
    <n v="10"/>
    <n v="0.05"/>
    <n v="1230"/>
    <d v="2024-11-25T00:00:00"/>
    <s v="Hyderabad"/>
    <x v="1"/>
    <s v="learn data analytics"/>
    <d v="2024-11-25T00:00:00"/>
    <n v="3.117059122480095E-2"/>
    <n v="0.99184782608695654"/>
    <n v="12.166666666666666"/>
    <n v="18.25"/>
    <n v="6.7397260273972606"/>
  </r>
  <r>
    <s v="A2984"/>
    <s v="Data Analytics Course"/>
    <n v="119"/>
    <n v="5050"/>
    <n v="180.57"/>
    <n v="12"/>
    <n v="8"/>
    <n v="6.7000000000000004E-2"/>
    <n v="1243"/>
    <d v="2024-11-04T00:00:00"/>
    <s v="Hyderabad"/>
    <x v="1"/>
    <s v="analytics for data"/>
    <d v="2024-11-04T00:00:00"/>
    <n v="2.3564356435643564E-2"/>
    <n v="1.5173949579831931"/>
    <n v="15.047499999999999"/>
    <n v="22.571249999999999"/>
    <n v="6.8837569917483528"/>
  </r>
  <r>
    <s v="A2985"/>
    <s v="Data Analytics Course"/>
    <n v="109"/>
    <n v="4816"/>
    <n v="182.9"/>
    <n v="27"/>
    <n v="8"/>
    <n v="4.5999999999999999E-2"/>
    <n v="1123"/>
    <s v="21-11-2024"/>
    <s v="Hyderabad"/>
    <x v="0"/>
    <s v="data anaytics training"/>
    <d v="2024-11-21T00:00:00"/>
    <n v="2.2632890365448504E-2"/>
    <n v="1.6779816513761467"/>
    <n v="6.7740740740740746"/>
    <n v="22.862500000000001"/>
    <n v="6.1399671951886274"/>
  </r>
  <r>
    <s v="A2986"/>
    <s v="Data Analytics Course"/>
    <n v="168"/>
    <n v="4070"/>
    <n v="222.99"/>
    <n v="29"/>
    <n v="7"/>
    <n v="4.5999999999999999E-2"/>
    <n v="1733"/>
    <d v="2024-11-12T00:00:00"/>
    <s v="Hyderabad"/>
    <x v="1"/>
    <s v="data anaytics training"/>
    <d v="2024-11-12T00:00:00"/>
    <n v="4.1277641277641275E-2"/>
    <n v="1.3273214285714285"/>
    <n v="7.6893103448275868"/>
    <n v="31.855714285714289"/>
    <n v="7.7716489528678414"/>
  </r>
  <r>
    <s v="A2987"/>
    <s v="Data Analytics Course"/>
    <n v="139"/>
    <n v="5827"/>
    <n v="190.93"/>
    <n v="14"/>
    <n v="3"/>
    <n v="4.5999999999999999E-2"/>
    <n v="1731"/>
    <d v="2024-11-30T00:00:00"/>
    <s v="Hyderabad"/>
    <x v="0"/>
    <s v="data analytics course"/>
    <d v="2024-11-30T00:00:00"/>
    <n v="2.3854470568045308E-2"/>
    <n v="1.3735971223021584"/>
    <n v="13.637857142857143"/>
    <n v="63.643333333333338"/>
    <n v="9.0661498978683284"/>
  </r>
  <r>
    <s v="A2988"/>
    <s v="Data Analytics Course"/>
    <n v="82"/>
    <n v="4922"/>
    <n v="234.82"/>
    <n v="27"/>
    <n v="10"/>
    <n v="3.3000000000000002E-2"/>
    <n v="1556"/>
    <d v="2024-11-17T00:00:00"/>
    <s v="Hyderabad"/>
    <x v="0"/>
    <s v="data anaytics training"/>
    <d v="2024-11-17T00:00:00"/>
    <n v="1.6659894351889477E-2"/>
    <n v="2.863658536585366"/>
    <n v="8.6970370370370365"/>
    <n v="23.481999999999999"/>
    <n v="6.626352099480453"/>
  </r>
  <r>
    <s v="A2989"/>
    <s v="Data Analytics Course"/>
    <n v="112"/>
    <n v="4277"/>
    <n v="249.65"/>
    <n v="27"/>
    <n v="3"/>
    <n v="4.5999999999999999E-2"/>
    <n v="1953"/>
    <d v="2024-11-26T00:00:00"/>
    <s v="Hyderabad"/>
    <x v="2"/>
    <s v="data analitics online"/>
    <d v="2024-11-26T00:00:00"/>
    <n v="2.6186579378068741E-2"/>
    <n v="2.2290178571428574"/>
    <n v="9.2462962962962969"/>
    <n v="83.216666666666669"/>
    <n v="7.8229521329861802"/>
  </r>
  <r>
    <s v="A2990"/>
    <s v="Data Analytics Course"/>
    <n v="99"/>
    <n v="3418"/>
    <n v="195.91"/>
    <n v="19"/>
    <n v="10"/>
    <n v="0.10100000000000001"/>
    <n v="1242"/>
    <d v="2024-04-11T00:00:00"/>
    <s v="Hyderabad"/>
    <x v="0"/>
    <s v="data anaytics training"/>
    <d v="2024-04-11T00:00:00"/>
    <n v="2.8964306612053833E-2"/>
    <n v="1.9788888888888889"/>
    <n v="10.311052631578947"/>
    <n v="19.591000000000001"/>
    <n v="6.3396457557041499"/>
  </r>
  <r>
    <s v="A2991"/>
    <s v="Data Analytics Course"/>
    <n v="89"/>
    <n v="3363"/>
    <n v="220.07"/>
    <n v="26"/>
    <n v="7"/>
    <n v="4.5999999999999999E-2"/>
    <n v="1939"/>
    <d v="2024-11-09T00:00:00"/>
    <s v="Hyderabad"/>
    <x v="0"/>
    <s v="data analytics course"/>
    <d v="2024-11-09T00:00:00"/>
    <n v="2.6464466250371691E-2"/>
    <n v="2.4726966292134831"/>
    <n v="8.4642307692307686"/>
    <n v="31.438571428571429"/>
    <n v="8.8108329167991997"/>
  </r>
  <r>
    <s v="A2992"/>
    <s v="Data Analytics Course"/>
    <n v="154"/>
    <n v="4828"/>
    <n v="233.39"/>
    <n v="24"/>
    <n v="6"/>
    <n v="4.5999999999999999E-2"/>
    <n v="1661"/>
    <d v="2024-02-11T00:00:00"/>
    <s v="Hyderabad"/>
    <x v="2"/>
    <s v="learn data analytics"/>
    <d v="2024-02-11T00:00:00"/>
    <n v="3.1897265948632972E-2"/>
    <n v="1.5155194805194805"/>
    <n v="9.7245833333333334"/>
    <n v="38.898333333333333"/>
    <n v="7.1168430524015598"/>
  </r>
  <r>
    <s v="A2993"/>
    <s v="Data Analytics Course"/>
    <n v="155"/>
    <n v="4135"/>
    <n v="226.66"/>
    <n v="26"/>
    <n v="7"/>
    <n v="5.7000000000000002E-2"/>
    <n v="1442"/>
    <d v="2024-11-22T00:00:00"/>
    <s v="Hyderabad"/>
    <x v="2"/>
    <s v="analytics for data"/>
    <d v="2024-11-22T00:00:00"/>
    <n v="3.7484885126964934E-2"/>
    <n v="1.4623225806451612"/>
    <n v="8.7176923076923067"/>
    <n v="32.380000000000003"/>
    <n v="6.3619518221124149"/>
  </r>
  <r>
    <s v="A2994"/>
    <s v="Data Analytics Course"/>
    <n v="188"/>
    <n v="5254"/>
    <n v="190.43"/>
    <n v="27"/>
    <n v="7"/>
    <n v="3.6999999999999998E-2"/>
    <n v="1821"/>
    <s v="16-11-2024"/>
    <s v="Hyderabad"/>
    <x v="0"/>
    <s v="online data analytic"/>
    <d v="2024-11-16T00:00:00"/>
    <n v="3.5782261134373813E-2"/>
    <n v="1.0129255319148938"/>
    <n v="7.0529629629629635"/>
    <n v="27.204285714285714"/>
    <n v="9.562568922963818"/>
  </r>
  <r>
    <s v="A2995"/>
    <s v="Data Analytics Course"/>
    <n v="83"/>
    <n v="4439"/>
    <n v="232.13"/>
    <n v="28"/>
    <n v="7"/>
    <n v="8.4000000000000005E-2"/>
    <n v="1570"/>
    <s v="19-11-2024"/>
    <s v="Hyderabad"/>
    <x v="1"/>
    <s v="data anaytics training"/>
    <d v="2024-11-19T00:00:00"/>
    <n v="1.8697904933543591E-2"/>
    <n v="2.7967469879518072"/>
    <n v="8.2903571428571432"/>
    <n v="33.161428571428573"/>
    <n v="6.7634515142377118"/>
  </r>
  <r>
    <s v="A2996"/>
    <s v="Data Analytics Course"/>
    <n v="127"/>
    <n v="3053"/>
    <n v="183.57"/>
    <n v="10"/>
    <n v="8"/>
    <n v="6.3E-2"/>
    <n v="1669"/>
    <d v="2024-11-13T00:00:00"/>
    <s v="Hyderabad"/>
    <x v="2"/>
    <s v="data analytics course"/>
    <d v="2024-11-13T00:00:00"/>
    <n v="4.1598427775958076E-2"/>
    <n v="1.4454330708661416"/>
    <n v="18.356999999999999"/>
    <n v="22.946249999999999"/>
    <n v="9.0918995478564035"/>
  </r>
  <r>
    <s v="A2997"/>
    <s v="Data Analytics Course"/>
    <n v="141"/>
    <n v="5550"/>
    <n v="213.82"/>
    <n v="20"/>
    <n v="10"/>
    <n v="4.5999999999999999E-2"/>
    <n v="1545"/>
    <d v="2024-11-15T00:00:00"/>
    <s v="Hyderabad"/>
    <x v="2"/>
    <s v="data analitics online"/>
    <d v="2024-11-15T00:00:00"/>
    <n v="2.5405405405405406E-2"/>
    <n v="1.5164539007092197"/>
    <n v="10.690999999999999"/>
    <n v="21.381999999999998"/>
    <n v="7.2257038630623889"/>
  </r>
  <r>
    <s v="A2998"/>
    <s v="Data Analytics Course"/>
    <n v="149"/>
    <n v="4678"/>
    <n v="241.41"/>
    <n v="11"/>
    <n v="6"/>
    <n v="4.5999999999999999E-2"/>
    <n v="1106"/>
    <d v="2024-04-11T00:00:00"/>
    <s v="Hyderabad"/>
    <x v="0"/>
    <s v="analytics for data"/>
    <d v="2024-04-11T00:00:00"/>
    <n v="3.1851218469431383E-2"/>
    <n v="1.6202013422818791"/>
    <n v="21.946363636363635"/>
    <n v="40.234999999999999"/>
    <n v="4.5814175054885879"/>
  </r>
  <r>
    <s v="A2999"/>
    <s v="Data Analytics Course"/>
    <n v="152"/>
    <n v="3036"/>
    <n v="210.78"/>
    <n v="12"/>
    <n v="6"/>
    <n v="4.5999999999999999E-2"/>
    <n v="1074"/>
    <d v="2024-11-10T00:00:00"/>
    <s v="Hyderabad"/>
    <x v="2"/>
    <s v="data analitics online"/>
    <d v="2024-11-10T00:00:00"/>
    <n v="5.0065876152832672E-2"/>
    <n v="1.3867105263157895"/>
    <n v="17.565000000000001"/>
    <n v="35.130000000000003"/>
    <n v="5.0953600910902361"/>
  </r>
  <r>
    <s v="A3000"/>
    <s v="Data Analytics Course"/>
    <n v="123"/>
    <n v="5050"/>
    <n v="247.93"/>
    <n v="11"/>
    <n v="8"/>
    <n v="6.5000000000000002E-2"/>
    <n v="1755"/>
    <s v="29-11-2024"/>
    <s v="Hyderabad"/>
    <x v="2"/>
    <s v="analytics for data"/>
    <d v="2024-11-29T00:00:00"/>
    <n v="2.4356435643564357E-2"/>
    <n v="2.015691056910569"/>
    <n v="22.539090909090909"/>
    <n v="30.991250000000001"/>
    <n v="7.0786108982374056"/>
  </r>
  <r>
    <s v="A3001"/>
    <s v="Data Analytics Course"/>
    <n v="137"/>
    <n v="5057"/>
    <n v="194.11"/>
    <n v="11"/>
    <n v="6"/>
    <n v="4.3999999999999997E-2"/>
    <n v="1206"/>
    <d v="2024-11-09T00:00:00"/>
    <s v="Hyderabad"/>
    <x v="0"/>
    <s v="data analytics course"/>
    <d v="2024-11-09T00:00:00"/>
    <n v="2.7091160767253313E-2"/>
    <n v="1.4168613138686132"/>
    <n v="17.646363636363638"/>
    <n v="32.351666666666667"/>
    <n v="6.2129720261707275"/>
  </r>
  <r>
    <s v="A3002"/>
    <s v="Data Analytics Course"/>
    <n v="93"/>
    <n v="5346"/>
    <n v="197.78"/>
    <n v="15"/>
    <n v="8"/>
    <n v="8.5999999999999993E-2"/>
    <n v="1036"/>
    <d v="2024-11-15T00:00:00"/>
    <s v="Hyderabad"/>
    <x v="2"/>
    <s v="data analitics online"/>
    <d v="2024-11-15T00:00:00"/>
    <n v="1.739618406285073E-2"/>
    <n v="2.1266666666666665"/>
    <n v="13.185333333333334"/>
    <n v="24.7225"/>
    <n v="5.2381433916472853"/>
  </r>
  <r>
    <s v="A3003"/>
    <s v="Data Analytics Course"/>
    <n v="150"/>
    <n v="5580"/>
    <n v="204.73"/>
    <n v="24"/>
    <n v="10"/>
    <n v="6.7000000000000004E-2"/>
    <n v="1505"/>
    <s v="17-11-2024"/>
    <s v="Hyderabad"/>
    <x v="2"/>
    <s v="data analytics course"/>
    <d v="2024-11-17T00:00:00"/>
    <n v="2.6881720430107527E-2"/>
    <n v="1.3648666666666667"/>
    <n v="8.5304166666666656"/>
    <n v="20.472999999999999"/>
    <n v="7.3511454110291607"/>
  </r>
  <r>
    <s v="A3004"/>
    <s v="Data Analytics Course"/>
    <n v="122"/>
    <n v="3351"/>
    <n v="196.49"/>
    <n v="13"/>
    <n v="3"/>
    <n v="2.5000000000000001E-2"/>
    <n v="1362"/>
    <s v="30-11-2024"/>
    <s v="Hyderabad"/>
    <x v="0"/>
    <s v="data analytics course"/>
    <d v="2024-11-30T00:00:00"/>
    <n v="3.6407042673828709E-2"/>
    <n v="1.6105737704918033"/>
    <n v="15.114615384615385"/>
    <n v="65.49666666666667"/>
    <n v="6.9316504656725533"/>
  </r>
  <r>
    <s v="A3005"/>
    <s v="Data Analytics Course"/>
    <n v="168"/>
    <n v="3128"/>
    <n v="184.27"/>
    <n v="30"/>
    <n v="7"/>
    <n v="4.5999999999999999E-2"/>
    <n v="1957"/>
    <d v="2024-01-11T00:00:00"/>
    <s v="Hyderabad"/>
    <x v="2"/>
    <s v="data analytics course"/>
    <d v="2024-01-11T00:00:00"/>
    <n v="5.3708439897698211E-2"/>
    <n v="1.0968452380952383"/>
    <n v="6.1423333333333341"/>
    <n v="26.324285714285715"/>
    <n v="10.620285450697345"/>
  </r>
  <r>
    <s v="A3006"/>
    <s v="Data Analytics Course"/>
    <n v="113"/>
    <n v="4518.5"/>
    <n v="215.57"/>
    <n v="26"/>
    <n v="8"/>
    <n v="7.0999999999999994E-2"/>
    <n v="1285"/>
    <d v="2024-12-11T00:00:00"/>
    <s v="Hyderabad"/>
    <x v="1"/>
    <s v="data analytics course"/>
    <d v="2024-12-11T00:00:00"/>
    <n v="2.5008299214341043E-2"/>
    <n v="1.9076991150442477"/>
    <n v="8.2911538461538452"/>
    <n v="26.946249999999999"/>
    <n v="5.9609407617015355"/>
  </r>
  <r>
    <s v="A3007"/>
    <s v="Data Analytics Course"/>
    <n v="124"/>
    <n v="5402"/>
    <n v="222.16"/>
    <n v="21"/>
    <n v="7"/>
    <n v="5.8999999999999997E-2"/>
    <n v="1091"/>
    <d v="2024-11-27T00:00:00"/>
    <s v="Hyderabad"/>
    <x v="0"/>
    <s v="data anaytics training"/>
    <d v="2024-11-27T00:00:00"/>
    <n v="2.2954461310625694E-2"/>
    <n v="1.7916129032258064"/>
    <n v="10.579047619047619"/>
    <n v="31.737142857142857"/>
    <n v="4.9108750450126033"/>
  </r>
  <r>
    <s v="A3008"/>
    <s v="Data Analytics Course"/>
    <n v="95"/>
    <n v="4653"/>
    <n v="193.63"/>
    <n v="17"/>
    <n v="4"/>
    <n v="4.2000000000000003E-2"/>
    <n v="1688"/>
    <s v="27-11-2024"/>
    <s v="Hyderabad"/>
    <x v="0"/>
    <s v="data analytics course"/>
    <d v="2024-11-27T00:00:00"/>
    <n v="2.0416935310552331E-2"/>
    <n v="2.0382105263157895"/>
    <n v="11.39"/>
    <n v="48.407499999999999"/>
    <n v="8.7176573878014771"/>
  </r>
  <r>
    <s v="A3009"/>
    <s v="Data Analytics Course"/>
    <n v="185"/>
    <n v="4599"/>
    <n v="248.28"/>
    <n v="15"/>
    <n v="5"/>
    <n v="2.7E-2"/>
    <n v="1673"/>
    <d v="2024-06-11T00:00:00"/>
    <s v="Hyderabad"/>
    <x v="0"/>
    <s v="data analitics online"/>
    <d v="2024-06-11T00:00:00"/>
    <n v="4.0226136116547073E-2"/>
    <n v="1.342054054054054"/>
    <n v="16.552"/>
    <n v="49.655999999999999"/>
    <n v="6.7383599162236187"/>
  </r>
  <r>
    <s v="A3010"/>
    <s v="Data Analytics Course"/>
    <n v="144"/>
    <n v="3120"/>
    <n v="221.66"/>
    <n v="24"/>
    <n v="7"/>
    <n v="4.5999999999999999E-2"/>
    <n v="1061"/>
    <d v="2024-11-13T00:00:00"/>
    <s v="Hyderabad"/>
    <x v="1"/>
    <s v="data anaytics training"/>
    <d v="2024-11-13T00:00:00"/>
    <n v="4.6153846153846156E-2"/>
    <n v="1.5393055555555555"/>
    <n v="9.2358333333333338"/>
    <n v="31.665714285714284"/>
    <n v="4.7866101236127401"/>
  </r>
  <r>
    <s v="A3011"/>
    <s v="Data Analytics Course"/>
    <n v="175"/>
    <n v="3521"/>
    <n v="210.11"/>
    <n v="14"/>
    <n v="9"/>
    <n v="5.0999999999999997E-2"/>
    <n v="1140"/>
    <d v="2024-11-28T00:00:00"/>
    <s v="Hyderabad"/>
    <x v="1"/>
    <s v="analytics for data"/>
    <d v="2024-11-28T00:00:00"/>
    <n v="4.9701789264413522E-2"/>
    <n v="1.2006285714285716"/>
    <n v="15.007857142857144"/>
    <n v="23.345555555555556"/>
    <n v="5.4257293798486508"/>
  </r>
  <r>
    <s v="A3012"/>
    <s v="Data Analytics Course"/>
    <n v="88"/>
    <n v="5823"/>
    <n v="246.67"/>
    <n v="12"/>
    <n v="9"/>
    <n v="0.10199999999999999"/>
    <n v="1514"/>
    <d v="2024-01-11T00:00:00"/>
    <s v="Hyderabad"/>
    <x v="1"/>
    <s v="data analytics course"/>
    <d v="2024-01-11T00:00:00"/>
    <n v="1.5112484973381418E-2"/>
    <n v="2.8030681818181815"/>
    <n v="20.555833333333332"/>
    <n v="27.407777777777778"/>
    <n v="6.137754895204119"/>
  </r>
  <r>
    <s v="A3013"/>
    <s v="Data Analytics Course"/>
    <n v="90"/>
    <n v="5569"/>
    <n v="196.6"/>
    <n v="27"/>
    <n v="4"/>
    <n v="5.2999999999999999E-2"/>
    <n v="1516"/>
    <s v="20-11-2024"/>
    <s v="Hyderabad"/>
    <x v="0"/>
    <s v="data analitics online"/>
    <d v="2024-11-20T00:00:00"/>
    <n v="1.6160890644639971E-2"/>
    <n v="2.1844444444444444"/>
    <n v="7.2814814814814817"/>
    <n v="49.15"/>
    <n v="7.7110885045778232"/>
  </r>
  <r>
    <s v="A3014"/>
    <s v="Data Analytics Course"/>
    <n v="94"/>
    <n v="4255"/>
    <n v="221.06"/>
    <n v="13"/>
    <n v="5"/>
    <n v="5.2999999999999999E-2"/>
    <n v="1623"/>
    <d v="2024-11-20T00:00:00"/>
    <s v="Hyderabad"/>
    <x v="0"/>
    <s v="learn data analytics"/>
    <d v="2024-11-20T00:00:00"/>
    <n v="2.2091656874265571E-2"/>
    <n v="2.3517021276595744"/>
    <n v="17.004615384615384"/>
    <n v="44.212000000000003"/>
    <n v="7.3418981272052832"/>
  </r>
  <r>
    <s v="A3015"/>
    <s v="Data Analytics Course"/>
    <n v="191"/>
    <n v="4910"/>
    <n v="232.7"/>
    <n v="14"/>
    <n v="10"/>
    <n v="5.1999999999999998E-2"/>
    <n v="1080"/>
    <d v="2024-11-03T00:00:00"/>
    <s v="Hyderabad"/>
    <x v="2"/>
    <s v="analytics for data"/>
    <d v="2024-11-03T00:00:00"/>
    <n v="3.890020366598778E-2"/>
    <n v="1.2183246073298428"/>
    <n v="16.62142857142857"/>
    <n v="23.27"/>
    <n v="4.6411688869789431"/>
  </r>
  <r>
    <s v="A3016"/>
    <s v="Data Analytics Course"/>
    <n v="167"/>
    <n v="5675"/>
    <n v="222.56"/>
    <n v="15"/>
    <n v="4"/>
    <n v="2.4E-2"/>
    <n v="1862"/>
    <d v="2024-11-17T00:00:00"/>
    <s v="Hyderabad"/>
    <x v="2"/>
    <s v="analytics for data"/>
    <d v="2024-11-17T00:00:00"/>
    <n v="2.9427312775330398E-2"/>
    <n v="1.3326946107784432"/>
    <n v="14.837333333333333"/>
    <n v="55.64"/>
    <n v="8.3662832494608192"/>
  </r>
  <r>
    <s v="A3017"/>
    <s v="Data Analytics Course"/>
    <n v="136"/>
    <n v="3777"/>
    <n v="186.5"/>
    <n v="11"/>
    <n v="4"/>
    <n v="2.9000000000000001E-2"/>
    <n v="1027"/>
    <d v="2024-11-05T00:00:00"/>
    <s v="Hyderabad"/>
    <x v="1"/>
    <s v="learn data analytics"/>
    <d v="2024-11-05T00:00:00"/>
    <n v="3.6007413290971672E-2"/>
    <n v="1.3713235294117647"/>
    <n v="16.954545454545453"/>
    <n v="46.625"/>
    <n v="5.5067024128686324"/>
  </r>
  <r>
    <s v="A3018"/>
    <s v="Data Analytics Course"/>
    <n v="110"/>
    <n v="5790"/>
    <n v="215.57"/>
    <n v="23"/>
    <n v="9"/>
    <n v="4.5999999999999999E-2"/>
    <n v="1463"/>
    <d v="2024-08-11T00:00:00"/>
    <s v="Hyderabad"/>
    <x v="2"/>
    <s v="data analitics online"/>
    <d v="2024-08-11T00:00:00"/>
    <n v="1.8998272884283247E-2"/>
    <n v="1.9597272727272728"/>
    <n v="9.3726086956521737"/>
    <n v="23.952222222222222"/>
    <n v="6.7866586259683634"/>
  </r>
  <r>
    <s v="A3019"/>
    <s v="Data Analytics Course"/>
    <n v="171"/>
    <n v="3055"/>
    <n v="215.57"/>
    <n v="26"/>
    <n v="5"/>
    <n v="2.9000000000000001E-2"/>
    <n v="1701"/>
    <d v="2024-11-18T00:00:00"/>
    <s v="Hyderabad"/>
    <x v="1"/>
    <s v="data anaytics training"/>
    <d v="2024-11-18T00:00:00"/>
    <n v="5.597381342062193E-2"/>
    <n v="1.2606432748538012"/>
    <n v="8.2911538461538452"/>
    <n v="43.113999999999997"/>
    <n v="7.8907083545947954"/>
  </r>
  <r>
    <s v="A3020"/>
    <s v="Data Analytics Course"/>
    <n v="134"/>
    <n v="5620"/>
    <n v="231.4"/>
    <n v="28"/>
    <n v="7"/>
    <n v="5.1999999999999998E-2"/>
    <n v="1499"/>
    <d v="2024-11-29T00:00:00"/>
    <s v="Hyderabad"/>
    <x v="0"/>
    <s v="data anaytics training"/>
    <d v="2024-11-29T00:00:00"/>
    <n v="2.384341637010676E-2"/>
    <n v="1.7268656716417912"/>
    <n v="8.2642857142857142"/>
    <n v="33.057142857142857"/>
    <n v="6.4779602420051861"/>
  </r>
  <r>
    <s v="A3021"/>
    <s v="Data Analytics Course"/>
    <n v="170"/>
    <n v="4594"/>
    <n v="193.2"/>
    <n v="27"/>
    <n v="9"/>
    <n v="5.2999999999999999E-2"/>
    <n v="1319"/>
    <s v="27-11-2024"/>
    <s v="Hyderabad"/>
    <x v="1"/>
    <s v="analytics for data"/>
    <d v="2024-11-27T00:00:00"/>
    <n v="3.7004788855028295E-2"/>
    <n v="1.1364705882352941"/>
    <n v="7.155555555555555"/>
    <n v="21.466666666666665"/>
    <n v="6.8271221532091104"/>
  </r>
  <r>
    <s v="A3022"/>
    <s v="Data Analytics Course"/>
    <n v="151"/>
    <n v="4907"/>
    <n v="248.32"/>
    <n v="10"/>
    <n v="4"/>
    <n v="2.5999999999999999E-2"/>
    <n v="1948"/>
    <s v="23-11-2024"/>
    <s v="Hyderabad"/>
    <x v="0"/>
    <s v="data analytics course"/>
    <d v="2024-11-23T00:00:00"/>
    <n v="3.077236600774404E-2"/>
    <n v="1.6445033112582781"/>
    <n v="24.832000000000001"/>
    <n v="62.08"/>
    <n v="7.8447164948453612"/>
  </r>
  <r>
    <s v="A3023"/>
    <s v="Data Analytics Course"/>
    <n v="124"/>
    <n v="5437"/>
    <n v="180.54"/>
    <n v="29"/>
    <n v="7"/>
    <n v="4.5999999999999999E-2"/>
    <n v="1564"/>
    <d v="2024-09-11T00:00:00"/>
    <s v="Hyderabad"/>
    <x v="0"/>
    <s v="analytics for data"/>
    <d v="2024-09-11T00:00:00"/>
    <n v="2.2806694868493654E-2"/>
    <n v="1.4559677419354837"/>
    <n v="6.2255172413793103"/>
    <n v="25.791428571428572"/>
    <n v="8.662900188323917"/>
  </r>
  <r>
    <s v="A3024"/>
    <s v="Data Analytics Course"/>
    <n v="88"/>
    <n v="4794"/>
    <n v="242.28"/>
    <n v="11"/>
    <n v="3"/>
    <n v="3.4000000000000002E-2"/>
    <n v="1210"/>
    <d v="2024-11-07T00:00:00"/>
    <s v="Hyderabad"/>
    <x v="1"/>
    <s v="data anaytics training"/>
    <d v="2024-11-07T00:00:00"/>
    <n v="1.8356278681685441E-2"/>
    <n v="2.7531818181818184"/>
    <n v="22.025454545454547"/>
    <n v="80.760000000000005"/>
    <n v="4.9942215618292884"/>
  </r>
  <r>
    <s v="A3025"/>
    <s v="Data Analytics Course"/>
    <n v="118"/>
    <n v="5326"/>
    <n v="199.76"/>
    <n v="19"/>
    <n v="8"/>
    <n v="6.8000000000000005E-2"/>
    <n v="1195"/>
    <d v="2024-11-24T00:00:00"/>
    <s v="Hyderabad"/>
    <x v="2"/>
    <s v="analytics for data"/>
    <d v="2024-11-24T00:00:00"/>
    <n v="2.2155463762673678E-2"/>
    <n v="1.6928813559322033"/>
    <n v="10.513684210526316"/>
    <n v="24.97"/>
    <n v="5.9821786143372053"/>
  </r>
  <r>
    <s v="A3026"/>
    <s v="Data Analytics Course"/>
    <n v="160"/>
    <n v="5642"/>
    <n v="200.82"/>
    <n v="25"/>
    <n v="7"/>
    <n v="4.5999999999999999E-2"/>
    <n v="1505"/>
    <s v="29-11-2024"/>
    <s v="Hyderabad"/>
    <x v="1"/>
    <s v="learn data analytics"/>
    <d v="2024-11-29T00:00:00"/>
    <n v="2.8358738036157391E-2"/>
    <n v="1.255125"/>
    <n v="8.0327999999999999"/>
    <n v="28.688571428571429"/>
    <n v="7.4942734787371776"/>
  </r>
  <r>
    <s v="A3027"/>
    <s v="Data Analytics Course"/>
    <n v="112"/>
    <n v="4594"/>
    <n v="236.12"/>
    <n v="29"/>
    <n v="8"/>
    <n v="7.0999999999999994E-2"/>
    <n v="1569"/>
    <s v="23-11-2024"/>
    <s v="Hyderabad"/>
    <x v="1"/>
    <s v="data anaytics training"/>
    <d v="2024-11-23T00:00:00"/>
    <n v="2.4379625598606878E-2"/>
    <n v="2.1082142857142858"/>
    <n v="8.1420689655172414"/>
    <n v="29.515000000000001"/>
    <n v="6.6449263086566148"/>
  </r>
  <r>
    <s v="A3028"/>
    <s v="Data Analytics Course"/>
    <n v="186"/>
    <n v="4352"/>
    <n v="223.95"/>
    <n v="29"/>
    <n v="3"/>
    <n v="1.6E-2"/>
    <n v="1290"/>
    <d v="2024-06-11T00:00:00"/>
    <s v="Hyderabad"/>
    <x v="1"/>
    <s v="data anaytics training"/>
    <d v="2024-06-11T00:00:00"/>
    <n v="4.2738970588235295E-2"/>
    <n v="1.204032258064516"/>
    <n v="7.7224137931034482"/>
    <n v="74.649999999999991"/>
    <n v="5.7602143335565978"/>
  </r>
  <r>
    <s v="A3029"/>
    <s v="Data Analytics Course"/>
    <n v="139"/>
    <n v="4220"/>
    <n v="206.02"/>
    <n v="21"/>
    <n v="5"/>
    <n v="3.5999999999999997E-2"/>
    <n v="1671"/>
    <d v="2024-11-21T00:00:00"/>
    <s v="Hyderabad"/>
    <x v="0"/>
    <s v="learn data analytics"/>
    <d v="2024-11-21T00:00:00"/>
    <n v="3.2938388625592417E-2"/>
    <n v="1.482158273381295"/>
    <n v="9.8104761904761908"/>
    <n v="41.204000000000001"/>
    <n v="8.1108630230074752"/>
  </r>
  <r>
    <s v="A3030"/>
    <s v="Data Analytics Course"/>
    <n v="164"/>
    <n v="4909"/>
    <n v="245.06"/>
    <n v="13"/>
    <n v="3"/>
    <n v="4.4999999999999998E-2"/>
    <n v="1601"/>
    <d v="2024-04-11T00:00:00"/>
    <s v="Hyderabad"/>
    <x v="1"/>
    <s v="learn data analytics"/>
    <d v="2024-04-11T00:00:00"/>
    <n v="3.3408026074556937E-2"/>
    <n v="1.4942682926829269"/>
    <n v="18.850769230769231"/>
    <n v="81.686666666666667"/>
    <n v="6.5330939361788953"/>
  </r>
  <r>
    <s v="A3031"/>
    <s v="Data Analytics Course"/>
    <n v="89"/>
    <n v="3148"/>
    <n v="219.25"/>
    <n v="13"/>
    <n v="4"/>
    <n v="4.4999999999999998E-2"/>
    <n v="1533"/>
    <d v="2024-11-06T00:00:00"/>
    <s v="Hyderabad"/>
    <x v="0"/>
    <s v="data analitics online"/>
    <d v="2024-11-06T00:00:00"/>
    <n v="2.8271918678526048E-2"/>
    <n v="2.4634831460674156"/>
    <n v="16.865384615384617"/>
    <n v="54.8125"/>
    <n v="6.9920182440136829"/>
  </r>
  <r>
    <s v="A3032"/>
    <s v="Data Analytics Course"/>
    <n v="107"/>
    <n v="3105"/>
    <n v="195.46"/>
    <n v="20"/>
    <n v="10"/>
    <n v="3.6999999999999998E-2"/>
    <n v="1455"/>
    <d v="2024-11-19T00:00:00"/>
    <s v="Hyderabad"/>
    <x v="1"/>
    <s v="data analitics online"/>
    <d v="2024-11-19T00:00:00"/>
    <n v="3.4460547504025767E-2"/>
    <n v="1.826728971962617"/>
    <n v="9.7729999999999997"/>
    <n v="19.545999999999999"/>
    <n v="7.443978307582114"/>
  </r>
  <r>
    <s v="A3033"/>
    <s v="Data Analytics Course"/>
    <n v="179"/>
    <n v="5062"/>
    <n v="214.66"/>
    <n v="18"/>
    <n v="4"/>
    <n v="0.05"/>
    <n v="1815"/>
    <s v="24-11-2024"/>
    <s v="Hyderabad"/>
    <x v="1"/>
    <s v="data analytics course"/>
    <d v="2024-11-24T00:00:00"/>
    <n v="3.5361517186882657E-2"/>
    <n v="1.199217877094972"/>
    <n v="11.925555555555555"/>
    <n v="53.664999999999999"/>
    <n v="8.4552315289294704"/>
  </r>
  <r>
    <s v="A3034"/>
    <s v="Data Analytics Course"/>
    <n v="136"/>
    <n v="4096"/>
    <n v="228.79"/>
    <n v="19"/>
    <n v="10"/>
    <n v="3.9E-2"/>
    <n v="1054"/>
    <d v="2024-11-26T00:00:00"/>
    <s v="Hyderabad"/>
    <x v="0"/>
    <s v="data anaytics training"/>
    <d v="2024-11-26T00:00:00"/>
    <n v="3.3203125E-2"/>
    <n v="1.6822794117647057"/>
    <n v="12.041578947368421"/>
    <n v="22.878999999999998"/>
    <n v="4.6068447047510821"/>
  </r>
  <r>
    <s v="A3035"/>
    <s v="Data Analytics Course"/>
    <n v="140"/>
    <n v="4283"/>
    <n v="205.02"/>
    <n v="22"/>
    <n v="7"/>
    <n v="4.5999999999999999E-2"/>
    <n v="1674"/>
    <d v="2024-11-11T00:00:00"/>
    <s v="Hyderabad"/>
    <x v="1"/>
    <s v="data analytics course"/>
    <d v="2024-11-11T00:00:00"/>
    <n v="3.2687368666822321E-2"/>
    <n v="1.4644285714285714"/>
    <n v="9.3190909090909102"/>
    <n v="29.28857142857143"/>
    <n v="8.1650570676031595"/>
  </r>
  <r>
    <s v="A3036"/>
    <s v="Data Analytics Course"/>
    <n v="137"/>
    <n v="4189"/>
    <n v="208.84"/>
    <n v="17"/>
    <n v="7"/>
    <n v="4.5999999999999999E-2"/>
    <n v="1211"/>
    <d v="2024-11-09T00:00:00"/>
    <s v="Hyderabad"/>
    <x v="1"/>
    <s v="online data analytic"/>
    <d v="2024-11-09T00:00:00"/>
    <n v="3.270470279302936E-2"/>
    <n v="1.5243795620437957"/>
    <n v="12.284705882352942"/>
    <n v="29.834285714285716"/>
    <n v="5.7986975675158012"/>
  </r>
  <r>
    <s v="A3037"/>
    <s v="Data Analytics Course"/>
    <n v="199"/>
    <n v="4818"/>
    <n v="230.19"/>
    <n v="11"/>
    <n v="7"/>
    <n v="3.7999999999999999E-2"/>
    <n v="1714"/>
    <d v="2024-11-08T00:00:00"/>
    <s v="Hyderabad"/>
    <x v="0"/>
    <s v="online data analytic"/>
    <d v="2024-11-08T00:00:00"/>
    <n v="4.1303445413034455E-2"/>
    <n v="1.1567336683417084"/>
    <n v="20.926363636363636"/>
    <n v="32.884285714285717"/>
    <n v="7.4460228506885615"/>
  </r>
  <r>
    <s v="A3038"/>
    <s v="Data Analytics Course"/>
    <n v="95"/>
    <n v="5256"/>
    <n v="235.84"/>
    <n v="12"/>
    <n v="8"/>
    <n v="5.1999999999999998E-2"/>
    <n v="1324"/>
    <d v="2024-11-24T00:00:00"/>
    <s v="Hyderabad"/>
    <x v="1"/>
    <s v="data anaytics training"/>
    <d v="2024-11-24T00:00:00"/>
    <n v="1.8074581430745813E-2"/>
    <n v="2.4825263157894737"/>
    <n v="19.653333333333332"/>
    <n v="29.48"/>
    <n v="5.6139755766621438"/>
  </r>
  <r>
    <s v="A3039"/>
    <s v="Data Analytics Course"/>
    <n v="182"/>
    <n v="3980"/>
    <n v="191.75"/>
    <n v="16"/>
    <n v="5"/>
    <n v="2.7E-2"/>
    <n v="1050"/>
    <d v="2024-11-08T00:00:00"/>
    <s v="Hyderabad"/>
    <x v="2"/>
    <s v="online data analytic"/>
    <d v="2024-11-08T00:00:00"/>
    <n v="4.5728643216080403E-2"/>
    <n v="1.0535714285714286"/>
    <n v="11.984375"/>
    <n v="38.35"/>
    <n v="5.475880052151239"/>
  </r>
  <r>
    <s v="A3040"/>
    <s v="Data Analytics Course"/>
    <n v="132"/>
    <n v="4359"/>
    <n v="237.12"/>
    <n v="29"/>
    <n v="3"/>
    <n v="4.5999999999999999E-2"/>
    <n v="1872"/>
    <d v="2024-01-11T00:00:00"/>
    <s v="Hyderabad"/>
    <x v="1"/>
    <s v="online data analytic"/>
    <d v="2024-01-11T00:00:00"/>
    <n v="3.0282174810736407E-2"/>
    <n v="1.7963636363636364"/>
    <n v="8.1765517241379317"/>
    <n v="79.040000000000006"/>
    <n v="7.8947368421052628"/>
  </r>
  <r>
    <s v="A3041"/>
    <s v="Data Analytics Course"/>
    <n v="139"/>
    <n v="5326"/>
    <n v="241.7"/>
    <n v="29"/>
    <n v="5"/>
    <n v="3.5999999999999997E-2"/>
    <n v="1423"/>
    <d v="2024-08-11T00:00:00"/>
    <s v="Hyderabad"/>
    <x v="1"/>
    <s v="analytics for data"/>
    <d v="2024-08-11T00:00:00"/>
    <n v="2.6098385279759669E-2"/>
    <n v="1.7388489208633093"/>
    <n v="8.3344827586206893"/>
    <n v="48.339999999999996"/>
    <n v="5.8874637980968147"/>
  </r>
  <r>
    <s v="A3042"/>
    <s v="Data Analytics Course"/>
    <n v="134"/>
    <n v="5614"/>
    <n v="220.52"/>
    <n v="14"/>
    <n v="6"/>
    <n v="3.5999999999999997E-2"/>
    <n v="1505"/>
    <s v="15-11-2024"/>
    <s v="Hyderabad"/>
    <x v="0"/>
    <s v="data analitics online"/>
    <d v="2024-11-15T00:00:00"/>
    <n v="2.3868899180619879E-2"/>
    <n v="1.6456716417910449"/>
    <n v="15.751428571428573"/>
    <n v="36.753333333333337"/>
    <n v="6.8247777979321604"/>
  </r>
  <r>
    <s v="A3043"/>
    <s v="Data Analytics Course"/>
    <n v="166"/>
    <n v="3746"/>
    <n v="213.81"/>
    <n v="16"/>
    <n v="5"/>
    <n v="0.03"/>
    <n v="1750"/>
    <d v="2024-11-08T00:00:00"/>
    <s v="Hyderabad"/>
    <x v="1"/>
    <s v="data analitics online"/>
    <d v="2024-11-08T00:00:00"/>
    <n v="4.4313934863854779E-2"/>
    <n v="1.288012048192771"/>
    <n v="13.363125"/>
    <n v="42.762"/>
    <n v="8.1848370048173607"/>
  </r>
  <r>
    <s v="A3044"/>
    <s v="Data Analytics Course"/>
    <n v="121"/>
    <n v="5608"/>
    <n v="219.92"/>
    <n v="19"/>
    <n v="4"/>
    <n v="4.9000000000000002E-2"/>
    <n v="1209"/>
    <d v="2024-11-14T00:00:00"/>
    <s v="Hyderabad"/>
    <x v="2"/>
    <s v="data anaytics training"/>
    <d v="2024-11-14T00:00:00"/>
    <n v="2.1576319543509272E-2"/>
    <n v="1.8175206611570247"/>
    <n v="11.574736842105262"/>
    <n v="54.98"/>
    <n v="5.4974536194979997"/>
  </r>
  <r>
    <s v="A3045"/>
    <s v="Data Analytics Course"/>
    <n v="173"/>
    <n v="4582"/>
    <n v="204.99"/>
    <n v="17"/>
    <n v="5"/>
    <n v="2.9000000000000001E-2"/>
    <n v="1703"/>
    <d v="2024-11-21T00:00:00"/>
    <s v="Hyderabad"/>
    <x v="0"/>
    <s v="data anaytics training"/>
    <d v="2024-11-21T00:00:00"/>
    <n v="3.7756438236577913E-2"/>
    <n v="1.1849132947976879"/>
    <n v="12.058235294117647"/>
    <n v="40.998000000000005"/>
    <n v="8.3077223279184338"/>
  </r>
  <r>
    <s v="A3046"/>
    <s v="Data Analytics Course"/>
    <n v="132"/>
    <n v="4438"/>
    <n v="232.68"/>
    <n v="24"/>
    <n v="7"/>
    <n v="4.5999999999999999E-2"/>
    <n v="1959"/>
    <d v="2024-11-09T00:00:00"/>
    <s v="Hyderabad"/>
    <x v="0"/>
    <s v="analytics for data"/>
    <d v="2024-11-09T00:00:00"/>
    <n v="2.9743127534925643E-2"/>
    <n v="1.7627272727272727"/>
    <n v="9.6950000000000003"/>
    <n v="33.24"/>
    <n v="8.4192882929345014"/>
  </r>
  <r>
    <s v="A3047"/>
    <s v="Data Analytics Course"/>
    <n v="136"/>
    <n v="5011"/>
    <n v="236.62"/>
    <n v="25"/>
    <n v="5"/>
    <n v="3.6999999999999998E-2"/>
    <n v="1582"/>
    <d v="2024-11-03T00:00:00"/>
    <s v="Hyderabad"/>
    <x v="1"/>
    <s v="data analytics course"/>
    <d v="2024-11-03T00:00:00"/>
    <n v="2.7140291359010176E-2"/>
    <n v="1.7398529411764707"/>
    <n v="9.4648000000000003"/>
    <n v="47.323999999999998"/>
    <n v="6.6858253740174121"/>
  </r>
  <r>
    <s v="A3048"/>
    <s v="Data Analytics Course"/>
    <n v="174"/>
    <n v="5864"/>
    <n v="190.45"/>
    <n v="26"/>
    <n v="5"/>
    <n v="4.4999999999999998E-2"/>
    <n v="1508"/>
    <d v="2024-11-27T00:00:00"/>
    <s v="Hyderabad"/>
    <x v="1"/>
    <s v="data anaytics training"/>
    <d v="2024-11-27T00:00:00"/>
    <n v="2.9672578444747612E-2"/>
    <n v="1.0945402298850575"/>
    <n v="7.3249999999999993"/>
    <n v="38.089999999999996"/>
    <n v="7.9180887372013657"/>
  </r>
  <r>
    <s v="A3049"/>
    <s v="Data Analytics Course"/>
    <n v="168"/>
    <n v="5114"/>
    <n v="186.75"/>
    <n v="10"/>
    <n v="3"/>
    <n v="1.7999999999999999E-2"/>
    <n v="1530"/>
    <d v="2024-11-18T00:00:00"/>
    <s v="Hyderabad"/>
    <x v="0"/>
    <s v="online data analytic"/>
    <d v="2024-11-18T00:00:00"/>
    <n v="3.2850997262416894E-2"/>
    <n v="1.1116071428571428"/>
    <n v="18.675000000000001"/>
    <n v="62.25"/>
    <n v="8.19277108433735"/>
  </r>
  <r>
    <s v="A3050"/>
    <s v="Data Analytics Course"/>
    <n v="117"/>
    <n v="5658"/>
    <n v="191.48"/>
    <n v="13"/>
    <n v="3"/>
    <n v="3.2000000000000001E-2"/>
    <n v="1779"/>
    <d v="2024-11-25T00:00:00"/>
    <s v="Hyderabad"/>
    <x v="1"/>
    <s v="learn data analytics"/>
    <d v="2024-11-25T00:00:00"/>
    <n v="2.0678685047720042E-2"/>
    <n v="1.6365811965811965"/>
    <n v="14.729230769230769"/>
    <n v="63.826666666666661"/>
    <n v="9.2907875496135368"/>
  </r>
  <r>
    <s v="A3051"/>
    <s v="Data Analytics Course"/>
    <n v="187"/>
    <n v="4876"/>
    <n v="192.2"/>
    <n v="16"/>
    <n v="5"/>
    <n v="2.7E-2"/>
    <n v="1396"/>
    <d v="2024-11-09T00:00:00"/>
    <s v="Hyderabad"/>
    <x v="2"/>
    <s v="analytics for data"/>
    <d v="2024-11-09T00:00:00"/>
    <n v="3.8351107465135356E-2"/>
    <n v="1.0278074866310161"/>
    <n v="12.012499999999999"/>
    <n v="38.44"/>
    <n v="7.2632674297606661"/>
  </r>
  <r>
    <s v="A3052"/>
    <s v="Data Analytics Course"/>
    <n v="139"/>
    <n v="5139"/>
    <n v="212.2"/>
    <n v="20"/>
    <n v="10"/>
    <n v="4.5999999999999999E-2"/>
    <n v="1613"/>
    <d v="2024-11-18T00:00:00"/>
    <s v="Hyderabad"/>
    <x v="2"/>
    <s v="online data analytic"/>
    <d v="2024-11-18T00:00:00"/>
    <n v="2.7048063825647013E-2"/>
    <n v="1.5266187050359712"/>
    <n v="10.61"/>
    <n v="21.22"/>
    <n v="7.6013195098963244"/>
  </r>
  <r>
    <s v="A3053"/>
    <s v="Data Analytics Course"/>
    <n v="139"/>
    <n v="5470"/>
    <n v="210.97"/>
    <n v="20"/>
    <n v="7"/>
    <n v="4.5999999999999999E-2"/>
    <n v="1928"/>
    <d v="2024-11-21T00:00:00"/>
    <s v="Hyderabad"/>
    <x v="0"/>
    <s v="data analitics online"/>
    <d v="2024-11-21T00:00:00"/>
    <n v="2.5411334552102375E-2"/>
    <n v="1.5177697841726618"/>
    <n v="10.548500000000001"/>
    <n v="30.138571428571428"/>
    <n v="9.1387401052282318"/>
  </r>
  <r>
    <s v="A3054"/>
    <s v="Data Analytics Course"/>
    <n v="112"/>
    <n v="5143"/>
    <n v="242.96"/>
    <n v="18"/>
    <n v="3"/>
    <n v="2.7E-2"/>
    <n v="1029"/>
    <d v="2024-07-11T00:00:00"/>
    <s v="Hyderabad"/>
    <x v="1"/>
    <s v="data anaytics training"/>
    <d v="2024-07-11T00:00:00"/>
    <n v="2.1777172856309548E-2"/>
    <n v="2.1692857142857145"/>
    <n v="13.497777777777777"/>
    <n v="80.986666666666665"/>
    <n v="4.2352650642081002"/>
  </r>
  <r>
    <s v="A3055"/>
    <s v="Data Analytics Course"/>
    <n v="124"/>
    <n v="4518.5"/>
    <n v="209.92"/>
    <n v="15"/>
    <n v="4"/>
    <n v="3.2000000000000001E-2"/>
    <n v="1505"/>
    <d v="2024-11-25T00:00:00"/>
    <s v="Hyderabad"/>
    <x v="0"/>
    <s v="data analitics online"/>
    <d v="2024-11-25T00:00:00"/>
    <n v="2.7442735421046808E-2"/>
    <n v="1.6929032258064516"/>
    <n v="13.994666666666665"/>
    <n v="52.48"/>
    <n v="7.169397865853659"/>
  </r>
  <r>
    <s v="A3056"/>
    <s v="Data Analytics Course"/>
    <n v="132"/>
    <n v="4769"/>
    <n v="236.41"/>
    <n v="15"/>
    <n v="4"/>
    <n v="0.03"/>
    <n v="1505"/>
    <s v="26-11-2024"/>
    <s v="Hyderabad"/>
    <x v="2"/>
    <s v="analytics for data"/>
    <d v="2024-11-26T00:00:00"/>
    <n v="2.7678758649612077E-2"/>
    <n v="1.7909848484848485"/>
    <n v="15.760666666666667"/>
    <n v="59.102499999999999"/>
    <n v="6.3660589653567952"/>
  </r>
  <r>
    <s v="A3057"/>
    <s v="Data Analytics Course"/>
    <n v="167"/>
    <n v="3366"/>
    <n v="213.02"/>
    <n v="28"/>
    <n v="4"/>
    <n v="5.8999999999999997E-2"/>
    <n v="1159"/>
    <d v="2024-11-14T00:00:00"/>
    <s v="Hyderabad"/>
    <x v="1"/>
    <s v="data analytics course"/>
    <d v="2024-11-14T00:00:00"/>
    <n v="4.9613784907902553E-2"/>
    <n v="1.2755688622754491"/>
    <n v="7.6078571428571431"/>
    <n v="53.255000000000003"/>
    <n v="5.4408036804055957"/>
  </r>
  <r>
    <s v="A3058"/>
    <s v="Data Analytics Course"/>
    <n v="165"/>
    <n v="5228"/>
    <n v="199.73"/>
    <n v="27"/>
    <n v="3"/>
    <n v="0.04"/>
    <n v="1829"/>
    <d v="2024-05-11T00:00:00"/>
    <s v="Hyderabad"/>
    <x v="1"/>
    <s v="analytics for data"/>
    <d v="2024-05-11T00:00:00"/>
    <n v="3.1560826319816375E-2"/>
    <n v="1.2104848484848485"/>
    <n v="7.3974074074074068"/>
    <n v="66.576666666666668"/>
    <n v="9.1573624392930455"/>
  </r>
  <r>
    <s v="A3059"/>
    <s v="Data Analytics Course"/>
    <n v="108"/>
    <n v="4266"/>
    <n v="220.02"/>
    <n v="24"/>
    <n v="5"/>
    <n v="4.5999999999999999E-2"/>
    <n v="1282"/>
    <s v="23-11-2024"/>
    <s v="Hyderabad"/>
    <x v="1"/>
    <s v="data anaytics training"/>
    <d v="2024-11-23T00:00:00"/>
    <n v="2.5316455696202531E-2"/>
    <n v="2.0372222222222223"/>
    <n v="9.1675000000000004"/>
    <n v="44.004000000000005"/>
    <n v="5.8267430233615123"/>
  </r>
  <r>
    <s v="A3060"/>
    <s v="Data Analytics Course"/>
    <n v="182"/>
    <n v="5102"/>
    <n v="226.22"/>
    <n v="16"/>
    <n v="10"/>
    <n v="0.06"/>
    <n v="1600"/>
    <d v="2024-11-07T00:00:00"/>
    <s v="Hyderabad"/>
    <x v="1"/>
    <s v="data analytics course"/>
    <d v="2024-11-07T00:00:00"/>
    <n v="3.5672285378283028E-2"/>
    <n v="1.242967032967033"/>
    <n v="14.13875"/>
    <n v="22.622"/>
    <n v="7.0727610290867302"/>
  </r>
  <r>
    <s v="A3061"/>
    <s v="Data Analytics Course"/>
    <n v="91"/>
    <n v="3787"/>
    <n v="226.17"/>
    <n v="26"/>
    <n v="8"/>
    <n v="8.7999999999999995E-2"/>
    <n v="1493"/>
    <d v="2024-10-11T00:00:00"/>
    <s v="Hyderabad"/>
    <x v="2"/>
    <s v="data analytics course"/>
    <d v="2024-10-11T00:00:00"/>
    <n v="2.4029574861367836E-2"/>
    <n v="2.4853846153846151"/>
    <n v="8.6988461538461532"/>
    <n v="28.271249999999998"/>
    <n v="6.601229163903259"/>
  </r>
  <r>
    <s v="A3062"/>
    <s v="Data Analytics Course"/>
    <n v="194"/>
    <n v="4598"/>
    <n v="233.86"/>
    <n v="25"/>
    <n v="4"/>
    <n v="4.5999999999999999E-2"/>
    <n v="1565"/>
    <d v="2024-05-11T00:00:00"/>
    <s v="Hyderabad"/>
    <x v="2"/>
    <s v="data analitics online"/>
    <d v="2024-05-11T00:00:00"/>
    <n v="4.219225750326229E-2"/>
    <n v="1.2054639175257733"/>
    <n v="9.3544"/>
    <n v="58.465000000000003"/>
    <n v="6.6920379714359015"/>
  </r>
  <r>
    <s v="A3063"/>
    <s v="Data Analytics Course"/>
    <n v="189"/>
    <n v="5404"/>
    <n v="218.41"/>
    <n v="17"/>
    <n v="10"/>
    <n v="5.2999999999999999E-2"/>
    <n v="1418"/>
    <d v="2024-11-24T00:00:00"/>
    <s v="Hyderabad"/>
    <x v="1"/>
    <s v="learn data analytics"/>
    <d v="2024-11-24T00:00:00"/>
    <n v="3.4974093264248704E-2"/>
    <n v="1.1556084656084655"/>
    <n v="12.847647058823529"/>
    <n v="21.841000000000001"/>
    <n v="6.4923767226775331"/>
  </r>
  <r>
    <s v="A3064"/>
    <s v="Data Analytics Course"/>
    <n v="85"/>
    <n v="4432"/>
    <n v="214.79"/>
    <n v="22"/>
    <n v="7"/>
    <n v="8.2000000000000003E-2"/>
    <n v="1262"/>
    <s v="23-11-2024"/>
    <s v="Hyderabad"/>
    <x v="2"/>
    <s v="data analitics online"/>
    <d v="2024-11-23T00:00:00"/>
    <n v="1.9178700361010829E-2"/>
    <n v="2.5269411764705882"/>
    <n v="9.7631818181818186"/>
    <n v="30.684285714285714"/>
    <n v="5.8755063084873598"/>
  </r>
  <r>
    <s v="A3065"/>
    <s v="Data Analytics Course"/>
    <n v="162"/>
    <n v="4016"/>
    <n v="224.48"/>
    <n v="28"/>
    <n v="10"/>
    <n v="4.1000000000000002E-2"/>
    <n v="1060"/>
    <d v="2024-11-19T00:00:00"/>
    <s v="Hyderabad"/>
    <x v="1"/>
    <s v="data anaytics training"/>
    <d v="2024-11-19T00:00:00"/>
    <n v="4.0338645418326692E-2"/>
    <n v="1.385679012345679"/>
    <n v="8.017142857142856"/>
    <n v="22.448"/>
    <n v="4.7220242337847473"/>
  </r>
  <r>
    <s v="A3066"/>
    <s v="Data Analytics Course"/>
    <n v="139"/>
    <n v="5379"/>
    <n v="248.46"/>
    <n v="28"/>
    <n v="5"/>
    <n v="4.5999999999999999E-2"/>
    <n v="1881"/>
    <s v="27-11-2024"/>
    <s v="Hyderabad"/>
    <x v="0"/>
    <s v="online data analytic"/>
    <d v="2024-11-27T00:00:00"/>
    <n v="2.5841234430191484E-2"/>
    <n v="1.7874820143884893"/>
    <n v="8.8735714285714291"/>
    <n v="49.692"/>
    <n v="7.5706351122917166"/>
  </r>
  <r>
    <s v="A3067"/>
    <s v="Data Analytics Course"/>
    <n v="88"/>
    <n v="5093"/>
    <n v="222.28"/>
    <n v="13"/>
    <n v="9"/>
    <n v="0.05"/>
    <n v="1185"/>
    <d v="2024-09-11T00:00:00"/>
    <s v="Hyderabad"/>
    <x v="0"/>
    <s v="online data analytic"/>
    <d v="2024-09-11T00:00:00"/>
    <n v="1.7278617710583154E-2"/>
    <n v="2.5259090909090909"/>
    <n v="17.098461538461539"/>
    <n v="24.697777777777777"/>
    <n v="5.3311139103833005"/>
  </r>
  <r>
    <s v="A3068"/>
    <s v="Data Analytics Course"/>
    <n v="121"/>
    <n v="5092"/>
    <n v="219.15"/>
    <n v="21"/>
    <n v="6"/>
    <n v="0.05"/>
    <n v="1864"/>
    <d v="2024-11-04T00:00:00"/>
    <s v="Hyderabad"/>
    <x v="0"/>
    <s v="analytics for data"/>
    <d v="2024-11-04T00:00:00"/>
    <n v="2.3762765121759621E-2"/>
    <n v="1.8111570247933886"/>
    <n v="10.435714285714287"/>
    <n v="36.524999999999999"/>
    <n v="8.5055897786903945"/>
  </r>
  <r>
    <s v="A3069"/>
    <s v="Data Analytics Course"/>
    <n v="81"/>
    <n v="3015"/>
    <n v="218.69"/>
    <n v="10"/>
    <n v="7"/>
    <n v="8.5999999999999993E-2"/>
    <n v="1550"/>
    <d v="2024-11-27T00:00:00"/>
    <s v="Hyderabad"/>
    <x v="0"/>
    <s v="learn data analytics"/>
    <d v="2024-11-27T00:00:00"/>
    <n v="2.6865671641791045E-2"/>
    <n v="2.6998765432098764"/>
    <n v="21.869"/>
    <n v="31.241428571428571"/>
    <n v="7.0876583291417079"/>
  </r>
  <r>
    <s v="A3070"/>
    <s v="Data Analytics Course"/>
    <n v="125"/>
    <n v="3745"/>
    <n v="206.93"/>
    <n v="24"/>
    <n v="3"/>
    <n v="2.4E-2"/>
    <n v="1619"/>
    <d v="2024-11-08T00:00:00"/>
    <s v="Hyderabad"/>
    <x v="2"/>
    <s v="data analytics course"/>
    <d v="2024-11-08T00:00:00"/>
    <n v="3.3377837116154871E-2"/>
    <n v="1.65544"/>
    <n v="8.6220833333333342"/>
    <n v="68.976666666666674"/>
    <n v="7.823901802541922"/>
  </r>
  <r>
    <s v="A3071"/>
    <s v="Data Analytics Course"/>
    <n v="188"/>
    <n v="5046"/>
    <n v="202.52"/>
    <n v="18"/>
    <n v="10"/>
    <n v="0.06"/>
    <n v="1625"/>
    <d v="2024-11-05T00:00:00"/>
    <s v="Hyderabad"/>
    <x v="2"/>
    <s v="online data analytic"/>
    <d v="2024-11-05T00:00:00"/>
    <n v="3.7257233452239399E-2"/>
    <n v="1.0772340425531914"/>
    <n v="11.251111111111111"/>
    <n v="20.252000000000002"/>
    <n v="8.0238988741852655"/>
  </r>
  <r>
    <s v="A3072"/>
    <s v="Data Analytics Course"/>
    <n v="99"/>
    <n v="4032"/>
    <n v="186.45"/>
    <n v="19"/>
    <n v="5"/>
    <n v="4.5999999999999999E-2"/>
    <n v="1074"/>
    <d v="2024-11-03T00:00:00"/>
    <s v="Hyderabad"/>
    <x v="0"/>
    <s v="data analytics course"/>
    <d v="2024-11-03T00:00:00"/>
    <n v="2.4553571428571428E-2"/>
    <n v="1.8833333333333333"/>
    <n v="9.8131578947368414"/>
    <n v="37.29"/>
    <n v="5.7602574416733709"/>
  </r>
  <r>
    <s v="A3073"/>
    <s v="Data Analytics Course"/>
    <n v="170"/>
    <n v="3879"/>
    <n v="245"/>
    <n v="29"/>
    <n v="7"/>
    <n v="4.5999999999999999E-2"/>
    <n v="1202"/>
    <d v="2024-11-26T00:00:00"/>
    <s v="Hyderabad"/>
    <x v="2"/>
    <s v="data analytics course"/>
    <d v="2024-11-26T00:00:00"/>
    <n v="4.3825728280484658E-2"/>
    <n v="1.4411764705882353"/>
    <n v="8.4482758620689662"/>
    <n v="35"/>
    <n v="4.906122448979592"/>
  </r>
  <r>
    <s v="A3074"/>
    <s v="Data Analytics Course"/>
    <n v="105"/>
    <n v="4968"/>
    <n v="188.38"/>
    <n v="14"/>
    <n v="5"/>
    <n v="4.5999999999999999E-2"/>
    <n v="1135"/>
    <d v="2024-11-21T00:00:00"/>
    <s v="Hyderabad"/>
    <x v="2"/>
    <s v="learn data analytics"/>
    <d v="2024-11-21T00:00:00"/>
    <n v="2.1135265700483092E-2"/>
    <n v="1.794095238095238"/>
    <n v="13.455714285714285"/>
    <n v="37.676000000000002"/>
    <n v="6.0250557384011039"/>
  </r>
  <r>
    <s v="A3075"/>
    <s v="Data Analytics Course"/>
    <n v="173"/>
    <n v="5872"/>
    <n v="190.3"/>
    <n v="24"/>
    <n v="5"/>
    <n v="2.9000000000000001E-2"/>
    <n v="1953"/>
    <s v="26-11-2024"/>
    <s v="Hyderabad"/>
    <x v="2"/>
    <s v="data analitics online"/>
    <d v="2024-11-26T00:00:00"/>
    <n v="2.9461852861035424E-2"/>
    <n v="1.1000000000000001"/>
    <n v="7.9291666666666671"/>
    <n v="38.06"/>
    <n v="10.262743037309511"/>
  </r>
  <r>
    <s v="A3076"/>
    <s v="Data Analytics Course"/>
    <n v="186"/>
    <n v="3058"/>
    <n v="230.71"/>
    <n v="27"/>
    <n v="7"/>
    <n v="3.7999999999999999E-2"/>
    <n v="1505"/>
    <s v="23-11-2024"/>
    <s v="Hyderabad"/>
    <x v="1"/>
    <s v="analytics for data"/>
    <d v="2024-11-23T00:00:00"/>
    <n v="6.0824068018312624E-2"/>
    <n v="1.2403763440860216"/>
    <n v="8.5448148148148153"/>
    <n v="32.958571428571432"/>
    <n v="6.5233409908543187"/>
  </r>
  <r>
    <s v="A3077"/>
    <s v="Data Analytics Course"/>
    <n v="143"/>
    <n v="3109"/>
    <n v="246.92"/>
    <n v="22"/>
    <n v="5"/>
    <n v="3.5000000000000003E-2"/>
    <n v="1589"/>
    <s v="13-11-2024"/>
    <s v="Hyderabad"/>
    <x v="2"/>
    <s v="learn data analytics"/>
    <d v="2024-11-13T00:00:00"/>
    <n v="4.5995496944355098E-2"/>
    <n v="1.7267132867132866"/>
    <n v="11.223636363636363"/>
    <n v="49.384"/>
    <n v="6.4352826826502518"/>
  </r>
  <r>
    <s v="A3078"/>
    <s v="Data Analytics Course"/>
    <n v="124"/>
    <n v="5415"/>
    <n v="217.55"/>
    <n v="20"/>
    <n v="4"/>
    <n v="3.2000000000000001E-2"/>
    <n v="1258"/>
    <s v="27-11-2024"/>
    <s v="Hyderabad"/>
    <x v="0"/>
    <s v="data analitics online"/>
    <d v="2024-11-27T00:00:00"/>
    <n v="2.2899353647276084E-2"/>
    <n v="1.7544354838709679"/>
    <n v="10.877500000000001"/>
    <n v="54.387500000000003"/>
    <n v="5.7825787175361985"/>
  </r>
  <r>
    <s v="A3079"/>
    <s v="Data Analytics Course"/>
    <n v="154"/>
    <n v="5633"/>
    <n v="245.95"/>
    <n v="29"/>
    <n v="7"/>
    <n v="3.5000000000000003E-2"/>
    <n v="1604"/>
    <d v="2024-11-03T00:00:00"/>
    <s v="Hyderabad"/>
    <x v="2"/>
    <s v="learn data analytics"/>
    <d v="2024-11-03T00:00:00"/>
    <n v="2.7338895792650454E-2"/>
    <n v="1.5970779220779221"/>
    <n v="8.4810344827586199"/>
    <n v="35.135714285714286"/>
    <n v="6.5216507420207366"/>
  </r>
  <r>
    <s v="A3080"/>
    <s v="Data Analytics Course"/>
    <n v="85"/>
    <n v="5402"/>
    <n v="191.95"/>
    <n v="18"/>
    <n v="7"/>
    <n v="8.2000000000000003E-2"/>
    <n v="1002"/>
    <s v="26-11-2024"/>
    <s v="Hyderabad"/>
    <x v="0"/>
    <s v="data anaytics training"/>
    <d v="2024-11-26T00:00:00"/>
    <n v="1.5734912995186968E-2"/>
    <n v="2.2582352941176471"/>
    <n v="10.663888888888888"/>
    <n v="27.421428571428571"/>
    <n v="5.2201094034904925"/>
  </r>
  <r>
    <s v="A3081"/>
    <s v="Data Analytics Course"/>
    <n v="167"/>
    <n v="4059"/>
    <n v="209.18"/>
    <n v="17"/>
    <n v="4"/>
    <n v="2.4E-2"/>
    <n v="1742"/>
    <s v="16-11-2024"/>
    <s v="Hyderabad"/>
    <x v="2"/>
    <s v="learn data analytics"/>
    <d v="2024-11-16T00:00:00"/>
    <n v="4.1143138704114311E-2"/>
    <n v="1.2525748502994012"/>
    <n v="12.304705882352941"/>
    <n v="52.295000000000002"/>
    <n v="8.3277559996175547"/>
  </r>
  <r>
    <s v="A3082"/>
    <s v="Data Analytics Course"/>
    <n v="139"/>
    <n v="3172"/>
    <n v="227.83"/>
    <n v="20"/>
    <n v="10"/>
    <n v="7.1999999999999995E-2"/>
    <n v="1130"/>
    <s v="28-11-2024"/>
    <s v="Hyderabad"/>
    <x v="2"/>
    <s v="analytics for data"/>
    <d v="2024-11-28T00:00:00"/>
    <n v="4.3820933165195461E-2"/>
    <n v="1.6390647482014389"/>
    <n v="11.391500000000001"/>
    <n v="22.783000000000001"/>
    <n v="4.9598384760567082"/>
  </r>
  <r>
    <s v="A3083"/>
    <s v="Data Analytics Course"/>
    <n v="193"/>
    <n v="5716"/>
    <n v="224.53"/>
    <n v="19"/>
    <n v="9"/>
    <n v="4.7E-2"/>
    <n v="1167"/>
    <d v="2024-11-13T00:00:00"/>
    <s v="Hyderabad"/>
    <x v="0"/>
    <s v="online data analytic"/>
    <d v="2024-11-13T00:00:00"/>
    <n v="3.3764870538838351E-2"/>
    <n v="1.1633678756476684"/>
    <n v="11.817368421052631"/>
    <n v="24.947777777777777"/>
    <n v="5.1975237162071881"/>
  </r>
  <r>
    <s v="A3084"/>
    <s v="Data Analytics Course"/>
    <n v="127"/>
    <n v="4816"/>
    <n v="245.25"/>
    <n v="23"/>
    <n v="3"/>
    <n v="4.9000000000000002E-2"/>
    <n v="1985"/>
    <d v="2024-07-11T00:00:00"/>
    <s v="Hyderabad"/>
    <x v="2"/>
    <s v="learn data analytics"/>
    <d v="2024-07-11T00:00:00"/>
    <n v="2.6370431893687707E-2"/>
    <n v="1.9311023622047243"/>
    <n v="10.663043478260869"/>
    <n v="81.75"/>
    <n v="8.0937818552497447"/>
  </r>
  <r>
    <s v="A3085"/>
    <s v="Data Analytics Course"/>
    <n v="80"/>
    <n v="3742"/>
    <n v="247.16"/>
    <n v="20"/>
    <n v="10"/>
    <n v="5.5E-2"/>
    <n v="1686"/>
    <d v="2024-11-08T00:00:00"/>
    <s v="Hyderabad"/>
    <x v="2"/>
    <s v="analytics for data"/>
    <d v="2024-11-08T00:00:00"/>
    <n v="2.1378941742383754E-2"/>
    <n v="3.0895000000000001"/>
    <n v="12.358000000000001"/>
    <n v="24.716000000000001"/>
    <n v="6.8214921508334685"/>
  </r>
  <r>
    <s v="A3086"/>
    <s v="Data Analytics Course"/>
    <n v="174"/>
    <n v="4469"/>
    <n v="215.98"/>
    <n v="14"/>
    <n v="8"/>
    <n v="4.5999999999999999E-2"/>
    <n v="1619"/>
    <d v="2024-11-07T00:00:00"/>
    <s v="Hyderabad"/>
    <x v="0"/>
    <s v="online data analytic"/>
    <d v="2024-11-07T00:00:00"/>
    <n v="3.893488476169165E-2"/>
    <n v="1.241264367816092"/>
    <n v="15.427142857142856"/>
    <n v="26.997499999999999"/>
    <n v="7.4960644504120753"/>
  </r>
  <r>
    <s v="A3087"/>
    <s v="Data Analytics Course"/>
    <n v="127"/>
    <n v="3454"/>
    <n v="209.19"/>
    <n v="19"/>
    <n v="10"/>
    <n v="5.8000000000000003E-2"/>
    <n v="1937"/>
    <d v="2024-11-05T00:00:00"/>
    <s v="Hyderabad"/>
    <x v="0"/>
    <s v="data anaytics training"/>
    <d v="2024-11-05T00:00:00"/>
    <n v="3.6768963520555878E-2"/>
    <n v="1.6471653543307085"/>
    <n v="11.01"/>
    <n v="20.919"/>
    <n v="9.2595248338830736"/>
  </r>
  <r>
    <s v="A3088"/>
    <s v="Data Analytics Course"/>
    <n v="151"/>
    <n v="3702"/>
    <n v="245.02"/>
    <n v="22"/>
    <n v="9"/>
    <n v="0.06"/>
    <n v="1983"/>
    <d v="2024-04-11T00:00:00"/>
    <s v="Hyderabad"/>
    <x v="2"/>
    <s v="learn data analytics"/>
    <d v="2024-04-11T00:00:00"/>
    <n v="4.0788762830902214E-2"/>
    <n v="1.6226490066225165"/>
    <n v="11.137272727272729"/>
    <n v="27.224444444444444"/>
    <n v="8.0932168802546727"/>
  </r>
  <r>
    <s v="A3089"/>
    <s v="Data Analytics Course"/>
    <n v="113"/>
    <n v="4258"/>
    <n v="232.25"/>
    <n v="16"/>
    <n v="10"/>
    <n v="8.7999999999999995E-2"/>
    <n v="1374"/>
    <d v="2024-11-24T00:00:00"/>
    <s v="Hyderabad"/>
    <x v="1"/>
    <s v="online data analytic"/>
    <d v="2024-11-24T00:00:00"/>
    <n v="2.6538280883043684E-2"/>
    <n v="2.0553097345132745"/>
    <n v="14.515625"/>
    <n v="23.225000000000001"/>
    <n v="5.9160387513455328"/>
  </r>
  <r>
    <s v="A3090"/>
    <s v="Data Analytics Course"/>
    <n v="159"/>
    <n v="4047"/>
    <n v="205.62"/>
    <n v="24"/>
    <n v="3"/>
    <n v="0.05"/>
    <n v="1177"/>
    <d v="2024-09-11T00:00:00"/>
    <s v="Hyderabad"/>
    <x v="2"/>
    <s v="analytics for data"/>
    <d v="2024-09-11T00:00:00"/>
    <n v="3.9288361749444035E-2"/>
    <n v="1.2932075471698115"/>
    <n v="8.5675000000000008"/>
    <n v="68.540000000000006"/>
    <n v="5.7241513471452192"/>
  </r>
  <r>
    <s v="A3091"/>
    <s v="Data Analytics Course"/>
    <n v="197"/>
    <n v="3319"/>
    <n v="215.83"/>
    <n v="26"/>
    <n v="10"/>
    <n v="5.0999999999999997E-2"/>
    <n v="1342"/>
    <s v="18-11-2024"/>
    <s v="Hyderabad"/>
    <x v="0"/>
    <s v="analytics for data"/>
    <d v="2024-11-18T00:00:00"/>
    <n v="5.9355227478156074E-2"/>
    <n v="1.0955837563451778"/>
    <n v="8.3011538461538468"/>
    <n v="21.583000000000002"/>
    <n v="6.2178566464346936"/>
  </r>
  <r>
    <s v="A3092"/>
    <s v="Data Analytics Course"/>
    <n v="106"/>
    <n v="5661"/>
    <n v="181.96"/>
    <n v="17"/>
    <n v="3"/>
    <n v="2.8000000000000001E-2"/>
    <n v="1250"/>
    <d v="2024-11-11T00:00:00"/>
    <s v="Hyderabad"/>
    <x v="0"/>
    <s v="data analitics online"/>
    <d v="2024-11-11T00:00:00"/>
    <n v="1.8724606959901077E-2"/>
    <n v="1.7166037735849058"/>
    <n v="10.703529411764706"/>
    <n v="60.653333333333336"/>
    <n v="6.8696416794899973"/>
  </r>
  <r>
    <s v="A3093"/>
    <s v="Data Analytics Course"/>
    <n v="143"/>
    <n v="4914"/>
    <n v="222.69"/>
    <n v="12"/>
    <n v="7"/>
    <n v="0.05"/>
    <n v="1280"/>
    <d v="2024-12-11T00:00:00"/>
    <s v="Hyderabad"/>
    <x v="0"/>
    <s v="analytics for data"/>
    <d v="2024-12-11T00:00:00"/>
    <n v="2.9100529100529099E-2"/>
    <n v="1.5572727272727274"/>
    <n v="18.557500000000001"/>
    <n v="31.812857142857144"/>
    <n v="5.7479006690915622"/>
  </r>
  <r>
    <s v="A3094"/>
    <s v="Data Analytics Course"/>
    <n v="111"/>
    <n v="5382"/>
    <n v="219.59"/>
    <n v="29"/>
    <n v="5"/>
    <n v="3.2000000000000001E-2"/>
    <n v="1464"/>
    <d v="2024-11-25T00:00:00"/>
    <s v="Hyderabad"/>
    <x v="0"/>
    <s v="analytics for data"/>
    <d v="2024-11-25T00:00:00"/>
    <n v="2.0624303232998884E-2"/>
    <n v="1.9782882882882884"/>
    <n v="7.5720689655172411"/>
    <n v="43.917999999999999"/>
    <n v="6.6669702627624208"/>
  </r>
  <r>
    <s v="A3095"/>
    <s v="Data Analytics Course"/>
    <n v="98"/>
    <n v="5898"/>
    <n v="186.46"/>
    <n v="20"/>
    <n v="6"/>
    <n v="3.7999999999999999E-2"/>
    <n v="1505"/>
    <d v="2024-11-09T00:00:00"/>
    <s v="Hyderabad"/>
    <x v="1"/>
    <s v="data analitics online"/>
    <d v="2024-11-09T00:00:00"/>
    <n v="1.6615801966768397E-2"/>
    <n v="1.9026530612244898"/>
    <n v="9.3230000000000004"/>
    <n v="31.076666666666668"/>
    <n v="8.0714362329722196"/>
  </r>
  <r>
    <s v="A3096"/>
    <s v="Data Analytics Course"/>
    <n v="98"/>
    <n v="3967"/>
    <n v="214.51"/>
    <n v="12"/>
    <n v="5"/>
    <n v="5.0999999999999997E-2"/>
    <n v="1180"/>
    <d v="2024-11-08T00:00:00"/>
    <s v="Hyderabad"/>
    <x v="0"/>
    <s v="analytics for data"/>
    <d v="2024-11-08T00:00:00"/>
    <n v="2.4703806402823294E-2"/>
    <n v="2.1888775510204082"/>
    <n v="17.875833333333333"/>
    <n v="42.902000000000001"/>
    <n v="5.5009090485292065"/>
  </r>
  <r>
    <s v="A3097"/>
    <s v="Data Analytics Course"/>
    <n v="109"/>
    <n v="3089"/>
    <n v="190"/>
    <n v="20"/>
    <n v="7"/>
    <n v="3.7999999999999999E-2"/>
    <n v="1779"/>
    <d v="2024-11-01T00:00:00"/>
    <s v="Hyderabad"/>
    <x v="2"/>
    <s v="data analitics online"/>
    <d v="2024-11-01T00:00:00"/>
    <n v="3.5286500485594043E-2"/>
    <n v="1.7431192660550459"/>
    <n v="9.5"/>
    <n v="27.142857142857142"/>
    <n v="9.3631578947368421"/>
  </r>
  <r>
    <s v="A3098"/>
    <s v="Data Analytics Course"/>
    <n v="168"/>
    <n v="3219"/>
    <n v="193.16"/>
    <n v="12"/>
    <n v="7"/>
    <n v="3.6999999999999998E-2"/>
    <n v="1395"/>
    <d v="2024-11-23T00:00:00"/>
    <s v="Hyderabad"/>
    <x v="1"/>
    <s v="online data analytic"/>
    <d v="2024-11-23T00:00:00"/>
    <n v="5.2190121155638397E-2"/>
    <n v="1.1497619047619048"/>
    <n v="16.096666666666668"/>
    <n v="27.594285714285714"/>
    <n v="7.2219921308759583"/>
  </r>
  <r>
    <s v="A3099"/>
    <s v="Data Analytics Course"/>
    <n v="127"/>
    <n v="4039"/>
    <n v="247.92"/>
    <n v="20"/>
    <n v="8"/>
    <n v="6.3E-2"/>
    <n v="1505"/>
    <d v="2024-11-27T00:00:00"/>
    <s v="Hyderabad"/>
    <x v="1"/>
    <s v="learn data analytics"/>
    <d v="2024-11-27T00:00:00"/>
    <n v="3.144342659074028E-2"/>
    <n v="1.9521259842519685"/>
    <n v="12.395999999999999"/>
    <n v="30.99"/>
    <n v="6.0705066150371092"/>
  </r>
  <r>
    <s v="A3100"/>
    <s v="Data Analytics Course"/>
    <n v="136"/>
    <n v="4051"/>
    <n v="194.29"/>
    <n v="25"/>
    <n v="5"/>
    <n v="4.5999999999999999E-2"/>
    <n v="1505"/>
    <d v="2024-11-28T00:00:00"/>
    <s v="Hyderabad"/>
    <x v="2"/>
    <s v="learn data analytics"/>
    <d v="2024-11-28T00:00:00"/>
    <n v="3.3571957541347813E-2"/>
    <n v="1.4286029411764705"/>
    <n v="7.7715999999999994"/>
    <n v="38.857999999999997"/>
    <n v="7.746152658397242"/>
  </r>
  <r>
    <s v="A3101"/>
    <s v="Data Analytics Course"/>
    <n v="173"/>
    <n v="5270"/>
    <n v="233.33"/>
    <n v="11"/>
    <n v="7"/>
    <n v="0.04"/>
    <n v="1783"/>
    <s v="16-11-2024"/>
    <s v="Hyderabad"/>
    <x v="0"/>
    <s v="analytics for data"/>
    <d v="2024-11-16T00:00:00"/>
    <n v="3.282732447817837E-2"/>
    <n v="1.3487283236994221"/>
    <n v="21.211818181818185"/>
    <n v="33.332857142857144"/>
    <n v="7.6415377362533743"/>
  </r>
  <r>
    <s v="A3102"/>
    <s v="Data Analytics Course"/>
    <n v="184"/>
    <n v="3239"/>
    <n v="221.33"/>
    <n v="25"/>
    <n v="10"/>
    <n v="5.3999999999999999E-2"/>
    <n v="1557"/>
    <d v="2024-11-04T00:00:00"/>
    <s v="Hyderabad"/>
    <x v="0"/>
    <s v="online data analytic"/>
    <d v="2024-11-04T00:00:00"/>
    <n v="5.6807656684161781E-2"/>
    <n v="1.2028804347826088"/>
    <n v="8.8532000000000011"/>
    <n v="22.133000000000003"/>
    <n v="7.0347444991641437"/>
  </r>
  <r>
    <s v="A3103"/>
    <s v="Data Analytics Course"/>
    <n v="174"/>
    <n v="4054"/>
    <n v="201.25"/>
    <n v="15"/>
    <n v="7"/>
    <n v="4.5999999999999999E-2"/>
    <n v="1514"/>
    <s v="23-11-2024"/>
    <s v="Hyderabad"/>
    <x v="1"/>
    <s v="learn data analytics"/>
    <d v="2024-11-23T00:00:00"/>
    <n v="4.2920572274296992E-2"/>
    <n v="1.1566091954022988"/>
    <n v="13.416666666666666"/>
    <n v="28.75"/>
    <n v="7.5229813664596277"/>
  </r>
  <r>
    <s v="A3104"/>
    <s v="Data Analytics Course"/>
    <n v="196"/>
    <n v="5448"/>
    <n v="232.55"/>
    <n v="30"/>
    <n v="8"/>
    <n v="4.1000000000000002E-2"/>
    <n v="1694"/>
    <d v="2024-11-14T00:00:00"/>
    <s v="Hyderabad"/>
    <x v="0"/>
    <s v="learn data analytics"/>
    <d v="2024-11-14T00:00:00"/>
    <n v="3.5976505139500736E-2"/>
    <n v="1.1864795918367348"/>
    <n v="7.7516666666666669"/>
    <n v="29.068750000000001"/>
    <n v="7.284454955923457"/>
  </r>
  <r>
    <s v="A3105"/>
    <s v="Data Analytics Course"/>
    <n v="193"/>
    <n v="4518.5"/>
    <n v="238.8"/>
    <n v="20"/>
    <n v="5"/>
    <n v="0.04"/>
    <n v="1327"/>
    <d v="2024-11-02T00:00:00"/>
    <s v="Hyderabad"/>
    <x v="1"/>
    <s v="data anaytics training"/>
    <d v="2024-11-02T00:00:00"/>
    <n v="4.2713289808564786E-2"/>
    <n v="1.2373056994818654"/>
    <n v="11.940000000000001"/>
    <n v="47.760000000000005"/>
    <n v="5.5569514237855948"/>
  </r>
  <r>
    <s v="A3106"/>
    <s v="Data Analytics Course"/>
    <n v="97"/>
    <n v="3937"/>
    <n v="197.37"/>
    <n v="14"/>
    <n v="10"/>
    <n v="0.10299999999999999"/>
    <n v="1160"/>
    <d v="2024-11-22T00:00:00"/>
    <s v="Hyderabad"/>
    <x v="2"/>
    <s v="learn data analytics"/>
    <d v="2024-11-22T00:00:00"/>
    <n v="2.4638049276098552E-2"/>
    <n v="2.0347422680412373"/>
    <n v="14.097857142857142"/>
    <n v="19.737000000000002"/>
    <n v="5.877286315042813"/>
  </r>
  <r>
    <s v="A3107"/>
    <s v="Data Analytics Course"/>
    <n v="128"/>
    <n v="4175"/>
    <n v="200.11"/>
    <n v="12"/>
    <n v="10"/>
    <n v="5.8999999999999997E-2"/>
    <n v="1599"/>
    <d v="2024-11-20T00:00:00"/>
    <s v="Hyderabad"/>
    <x v="0"/>
    <s v="data analitics online"/>
    <d v="2024-11-20T00:00:00"/>
    <n v="3.0658682634730539E-2"/>
    <n v="1.5633593750000001"/>
    <n v="16.675833333333333"/>
    <n v="20.011000000000003"/>
    <n v="7.9906051671580629"/>
  </r>
  <r>
    <s v="A3108"/>
    <s v="Data Analytics Course"/>
    <n v="143"/>
    <n v="5780"/>
    <n v="237.51"/>
    <n v="24"/>
    <n v="4"/>
    <n v="5.3999999999999999E-2"/>
    <n v="1440"/>
    <s v="15-11-2024"/>
    <s v="Hyderabad"/>
    <x v="1"/>
    <s v="data analitics online"/>
    <d v="2024-11-15T00:00:00"/>
    <n v="2.4740484429065745E-2"/>
    <n v="1.6609090909090909"/>
    <n v="9.8962500000000002"/>
    <n v="59.377499999999998"/>
    <n v="6.0629026146267524"/>
  </r>
  <r>
    <s v="A3109"/>
    <s v="Data Analytics Course"/>
    <n v="139"/>
    <n v="3809"/>
    <n v="202.28"/>
    <n v="17"/>
    <n v="9"/>
    <n v="5.8999999999999997E-2"/>
    <n v="1031"/>
    <d v="2024-11-17T00:00:00"/>
    <s v="Hyderabad"/>
    <x v="0"/>
    <s v="data analytics course"/>
    <d v="2024-11-17T00:00:00"/>
    <n v="3.6492517721186661E-2"/>
    <n v="1.4552517985611511"/>
    <n v="11.898823529411764"/>
    <n v="22.475555555555555"/>
    <n v="5.0968953925252123"/>
  </r>
  <r>
    <s v="A3110"/>
    <s v="Data Analytics Course"/>
    <n v="83"/>
    <n v="3684"/>
    <n v="203.47"/>
    <n v="20"/>
    <n v="7"/>
    <n v="4.5999999999999999E-2"/>
    <n v="1805"/>
    <s v="17-11-2024"/>
    <s v="Hyderabad"/>
    <x v="2"/>
    <s v="data analytics course"/>
    <d v="2024-11-17T00:00:00"/>
    <n v="2.252985884907709E-2"/>
    <n v="2.45144578313253"/>
    <n v="10.173500000000001"/>
    <n v="29.067142857142859"/>
    <n v="8.8710866466800997"/>
  </r>
  <r>
    <s v="A3111"/>
    <s v="Data Analytics Course"/>
    <n v="189"/>
    <n v="3226"/>
    <n v="236.68"/>
    <n v="14"/>
    <n v="6"/>
    <n v="3.2000000000000001E-2"/>
    <n v="1364"/>
    <d v="2024-11-06T00:00:00"/>
    <s v="Hyderabad"/>
    <x v="2"/>
    <s v="analytics for data"/>
    <d v="2024-11-06T00:00:00"/>
    <n v="5.8586484810911346E-2"/>
    <n v="1.2522751322751322"/>
    <n v="16.905714285714286"/>
    <n v="39.446666666666665"/>
    <n v="5.7630556025012671"/>
  </r>
  <r>
    <s v="A3112"/>
    <s v="Data Analytics Course"/>
    <n v="165"/>
    <n v="4978"/>
    <n v="180.25"/>
    <n v="12"/>
    <n v="4"/>
    <n v="5.8000000000000003E-2"/>
    <n v="1123"/>
    <s v="14-11-2024"/>
    <s v="Hyderabad"/>
    <x v="2"/>
    <s v="online data analytic"/>
    <d v="2024-11-14T00:00:00"/>
    <n v="3.3145841703495382E-2"/>
    <n v="1.0924242424242425"/>
    <n v="15.020833333333334"/>
    <n v="45.0625"/>
    <n v="6.2302357836338418"/>
  </r>
  <r>
    <s v="A3113"/>
    <s v="Data Analytics Course"/>
    <n v="172"/>
    <n v="5041"/>
    <n v="189.31"/>
    <n v="22"/>
    <n v="10"/>
    <n v="4.5999999999999999E-2"/>
    <n v="1645"/>
    <d v="2024-11-07T00:00:00"/>
    <s v="Hyderabad"/>
    <x v="1"/>
    <s v="data anaytics training"/>
    <d v="2024-11-07T00:00:00"/>
    <n v="3.4120214243205715E-2"/>
    <n v="1.100639534883721"/>
    <n v="8.6050000000000004"/>
    <n v="18.931000000000001"/>
    <n v="8.6894511647562194"/>
  </r>
  <r>
    <s v="A3114"/>
    <s v="Data Analytics Course"/>
    <n v="183"/>
    <n v="4124"/>
    <n v="186.66"/>
    <n v="24"/>
    <n v="6"/>
    <n v="3.3000000000000002E-2"/>
    <n v="1183"/>
    <d v="2024-11-28T00:00:00"/>
    <s v="Hyderabad"/>
    <x v="2"/>
    <s v="data analytics course"/>
    <d v="2024-11-28T00:00:00"/>
    <n v="4.4374393792434533E-2"/>
    <n v="1.02"/>
    <n v="7.7774999999999999"/>
    <n v="31.11"/>
    <n v="6.3377263473695491"/>
  </r>
  <r>
    <s v="A3115"/>
    <s v="Data Analytics Course"/>
    <n v="196"/>
    <n v="3143"/>
    <n v="238.22"/>
    <n v="28"/>
    <n v="7"/>
    <n v="3.5999999999999997E-2"/>
    <n v="1234"/>
    <d v="2024-11-08T00:00:00"/>
    <s v="Hyderabad"/>
    <x v="1"/>
    <s v="data analitics online"/>
    <d v="2024-11-08T00:00:00"/>
    <n v="6.2360801781737196E-2"/>
    <n v="1.2154081632653062"/>
    <n v="8.5078571428571426"/>
    <n v="34.03142857142857"/>
    <n v="5.1800856351271936"/>
  </r>
  <r>
    <s v="A3116"/>
    <s v="Data Analytics Course"/>
    <n v="98"/>
    <n v="4505"/>
    <n v="209.36"/>
    <n v="27"/>
    <n v="5"/>
    <n v="4.5999999999999999E-2"/>
    <n v="1186"/>
    <s v="29-11-2024"/>
    <s v="Hyderabad"/>
    <x v="2"/>
    <s v="learn data analytics"/>
    <d v="2024-11-29T00:00:00"/>
    <n v="2.1753607103218647E-2"/>
    <n v="2.1363265306122452"/>
    <n v="7.754074074074075"/>
    <n v="41.872"/>
    <n v="5.6648834543370263"/>
  </r>
  <r>
    <s v="A3117"/>
    <s v="Data Analytics Course"/>
    <n v="158"/>
    <n v="3736"/>
    <n v="226.99"/>
    <n v="11"/>
    <n v="8"/>
    <n v="4.5999999999999999E-2"/>
    <n v="1606"/>
    <d v="2024-11-29T00:00:00"/>
    <s v="Hyderabad"/>
    <x v="2"/>
    <s v="data anaytics training"/>
    <d v="2024-11-29T00:00:00"/>
    <n v="4.2291220556745182E-2"/>
    <n v="1.4366455696202531"/>
    <n v="20.635454545454547"/>
    <n v="28.373750000000001"/>
    <n v="7.0752015507291066"/>
  </r>
  <r>
    <s v="A3118"/>
    <s v="Data Analytics Course"/>
    <n v="104"/>
    <n v="5949"/>
    <n v="216.6"/>
    <n v="28"/>
    <n v="4"/>
    <n v="3.7999999999999999E-2"/>
    <n v="1102"/>
    <d v="2024-10-11T00:00:00"/>
    <s v="Hyderabad"/>
    <x v="1"/>
    <s v="analytics for data"/>
    <d v="2024-10-11T00:00:00"/>
    <n v="1.7481929736090099E-2"/>
    <n v="2.0826923076923078"/>
    <n v="7.7357142857142858"/>
    <n v="54.15"/>
    <n v="5.0877192982456139"/>
  </r>
  <r>
    <s v="A3119"/>
    <s v="Data Analytics Course"/>
    <n v="84"/>
    <n v="4625"/>
    <n v="226.02"/>
    <n v="13"/>
    <n v="5"/>
    <n v="4.5999999999999999E-2"/>
    <n v="1969"/>
    <s v="14-11-2024"/>
    <s v="Hyderabad"/>
    <x v="0"/>
    <s v="online data analytic"/>
    <d v="2024-11-14T00:00:00"/>
    <n v="1.8162162162162161E-2"/>
    <n v="2.6907142857142858"/>
    <n v="17.386153846153846"/>
    <n v="45.204000000000001"/>
    <n v="8.7116184408459425"/>
  </r>
  <r>
    <s v="A3120"/>
    <s v="Data Analytics Course"/>
    <n v="128"/>
    <n v="5022"/>
    <n v="188.96"/>
    <n v="26"/>
    <n v="6"/>
    <n v="4.7E-2"/>
    <n v="1108"/>
    <d v="2024-11-02T00:00:00"/>
    <s v="Hyderabad"/>
    <x v="1"/>
    <s v="data anaytics training"/>
    <d v="2024-11-02T00:00:00"/>
    <n v="2.5487853444842692E-2"/>
    <n v="1.4762500000000001"/>
    <n v="7.2676923076923083"/>
    <n v="31.493333333333336"/>
    <n v="5.8636748518204911"/>
  </r>
  <r>
    <s v="A3121"/>
    <s v="Data Analytics Course"/>
    <n v="99"/>
    <n v="5483"/>
    <n v="180.04"/>
    <n v="20"/>
    <n v="5"/>
    <n v="0.05"/>
    <n v="1687"/>
    <d v="2024-04-11T00:00:00"/>
    <s v="Hyderabad"/>
    <x v="0"/>
    <s v="analytics for data"/>
    <d v="2024-04-11T00:00:00"/>
    <n v="1.8055808863760715E-2"/>
    <n v="1.8185858585858585"/>
    <n v="9.0019999999999989"/>
    <n v="36.007999999999996"/>
    <n v="9.3701399688958009"/>
  </r>
  <r>
    <s v="A3122"/>
    <s v="Data Analytics Course"/>
    <n v="107"/>
    <n v="5491"/>
    <n v="217.98"/>
    <n v="17"/>
    <n v="10"/>
    <n v="9.2999999999999999E-2"/>
    <n v="1480"/>
    <d v="2024-11-11T00:00:00"/>
    <s v="Hyderabad"/>
    <x v="1"/>
    <s v="online data analytic"/>
    <d v="2024-11-11T00:00:00"/>
    <n v="1.9486432343835368E-2"/>
    <n v="2.0371962616822428"/>
    <n v="12.822352941176471"/>
    <n v="21.797999999999998"/>
    <n v="6.789613726029911"/>
  </r>
  <r>
    <s v="A3123"/>
    <s v="Data Analytics Course"/>
    <n v="86"/>
    <n v="4078"/>
    <n v="208.92"/>
    <n v="26"/>
    <n v="3"/>
    <n v="3.5000000000000003E-2"/>
    <n v="1698"/>
    <d v="2024-11-06T00:00:00"/>
    <s v="Hyderabad"/>
    <x v="1"/>
    <s v="data analytics course"/>
    <d v="2024-11-06T00:00:00"/>
    <n v="2.1088769004413928E-2"/>
    <n v="2.429302325581395"/>
    <n v="8.0353846153846149"/>
    <n v="69.64"/>
    <n v="8.1275129236071226"/>
  </r>
  <r>
    <s v="A3124"/>
    <s v="Data Analytics Course"/>
    <n v="139"/>
    <n v="3052"/>
    <n v="245.45"/>
    <n v="24"/>
    <n v="6"/>
    <n v="4.5999999999999999E-2"/>
    <n v="1769"/>
    <d v="2024-11-28T00:00:00"/>
    <s v="Hyderabad"/>
    <x v="0"/>
    <s v="data analitics online"/>
    <d v="2024-11-28T00:00:00"/>
    <n v="4.5543905635648751E-2"/>
    <n v="1.7658273381294962"/>
    <n v="10.227083333333333"/>
    <n v="40.908333333333331"/>
    <n v="7.2071705031574664"/>
  </r>
  <r>
    <s v="A3125"/>
    <s v="Data Analytics Course"/>
    <n v="88"/>
    <n v="3708"/>
    <n v="225.76"/>
    <n v="10"/>
    <n v="5"/>
    <n v="3.5999999999999997E-2"/>
    <n v="1667"/>
    <d v="2024-12-11T00:00:00"/>
    <s v="Hyderabad"/>
    <x v="2"/>
    <s v="data anaytics training"/>
    <d v="2024-12-11T00:00:00"/>
    <n v="2.3732470334412083E-2"/>
    <n v="2.5654545454545454"/>
    <n v="22.576000000000001"/>
    <n v="45.152000000000001"/>
    <n v="7.3839475549255846"/>
  </r>
  <r>
    <s v="A3126"/>
    <s v="Data Analytics Course"/>
    <n v="141"/>
    <n v="5314"/>
    <n v="184.34"/>
    <n v="29"/>
    <n v="10"/>
    <n v="7.0999999999999994E-2"/>
    <n v="1271"/>
    <d v="2024-11-19T00:00:00"/>
    <s v="Hyderabad"/>
    <x v="1"/>
    <s v="online data analytic"/>
    <d v="2024-11-19T00:00:00"/>
    <n v="2.6533684606699286E-2"/>
    <n v="1.3073758865248226"/>
    <n v="6.3565517241379315"/>
    <n v="18.434000000000001"/>
    <n v="6.8948681783660621"/>
  </r>
  <r>
    <s v="A3127"/>
    <s v="Data Analytics Course"/>
    <n v="193"/>
    <n v="3566"/>
    <n v="212.73"/>
    <n v="19"/>
    <n v="7"/>
    <n v="3.5999999999999997E-2"/>
    <n v="1311"/>
    <d v="2024-11-04T00:00:00"/>
    <s v="Hyderabad"/>
    <x v="0"/>
    <s v="data analitics online"/>
    <d v="2024-11-04T00:00:00"/>
    <n v="5.4122265844083008E-2"/>
    <n v="1.1022279792746112"/>
    <n v="11.196315789473683"/>
    <n v="30.389999999999997"/>
    <n v="6.1627415033140602"/>
  </r>
  <r>
    <s v="A3128"/>
    <s v="Data Analytics Course"/>
    <n v="185"/>
    <n v="4839"/>
    <n v="193.99"/>
    <n v="26"/>
    <n v="6"/>
    <n v="3.2000000000000001E-2"/>
    <n v="1492"/>
    <d v="2024-04-11T00:00:00"/>
    <s v="Hyderabad"/>
    <x v="0"/>
    <s v="data anaytics training"/>
    <d v="2024-04-11T00:00:00"/>
    <n v="3.8231039470965074E-2"/>
    <n v="1.0485945945945947"/>
    <n v="7.4611538461538469"/>
    <n v="32.331666666666671"/>
    <n v="7.6911180988710752"/>
  </r>
  <r>
    <s v="A3129"/>
    <s v="Data Analytics Course"/>
    <n v="117"/>
    <n v="5145"/>
    <n v="244.44"/>
    <n v="12"/>
    <n v="8"/>
    <n v="6.8000000000000005E-2"/>
    <n v="1505"/>
    <d v="2024-10-11T00:00:00"/>
    <s v="Hyderabad"/>
    <x v="1"/>
    <s v="data analitics online"/>
    <d v="2024-10-11T00:00:00"/>
    <n v="2.2740524781341108E-2"/>
    <n v="2.089230769230769"/>
    <n v="20.37"/>
    <n v="30.555"/>
    <n v="6.1569301260022913"/>
  </r>
  <r>
    <s v="A3130"/>
    <s v="Data Analytics Course"/>
    <n v="147"/>
    <n v="4371"/>
    <n v="243.04"/>
    <n v="26"/>
    <n v="9"/>
    <n v="6.0999999999999999E-2"/>
    <n v="1776"/>
    <d v="2024-11-18T00:00:00"/>
    <s v="Hyderabad"/>
    <x v="0"/>
    <s v="online data analytic"/>
    <d v="2024-11-18T00:00:00"/>
    <n v="3.3630748112560054E-2"/>
    <n v="1.6533333333333333"/>
    <n v="9.3476923076923075"/>
    <n v="27.004444444444445"/>
    <n v="7.3074391046741276"/>
  </r>
  <r>
    <s v="A3131"/>
    <s v="Data Analytics Course"/>
    <n v="197"/>
    <n v="5697"/>
    <n v="243.72"/>
    <n v="13"/>
    <n v="3"/>
    <n v="4.5999999999999999E-2"/>
    <n v="1154"/>
    <d v="2024-06-11T00:00:00"/>
    <s v="Hyderabad"/>
    <x v="1"/>
    <s v="learn data analytics"/>
    <d v="2024-06-11T00:00:00"/>
    <n v="3.4579603299982449E-2"/>
    <n v="1.2371573604060913"/>
    <n v="18.747692307692308"/>
    <n v="81.239999999999995"/>
    <n v="4.7349417364188415"/>
  </r>
  <r>
    <s v="A3132"/>
    <s v="Data Analytics Course"/>
    <n v="81"/>
    <n v="3096"/>
    <n v="228.47"/>
    <n v="22"/>
    <n v="3"/>
    <n v="3.6999999999999998E-2"/>
    <n v="1386"/>
    <d v="2024-11-22T00:00:00"/>
    <s v="Hyderabad"/>
    <x v="2"/>
    <s v="analytics for data"/>
    <d v="2024-11-22T00:00:00"/>
    <n v="2.616279069767442E-2"/>
    <n v="2.8206172839506172"/>
    <n v="10.385"/>
    <n v="76.156666666666666"/>
    <n v="6.0664419836302361"/>
  </r>
  <r>
    <s v="A3133"/>
    <s v="Data Analytics Course"/>
    <n v="198"/>
    <n v="4163"/>
    <n v="218.64"/>
    <n v="11"/>
    <n v="6"/>
    <n v="0.03"/>
    <n v="1904"/>
    <s v="30-11-2024"/>
    <s v="Hyderabad"/>
    <x v="2"/>
    <s v="learn data analytics"/>
    <d v="2024-11-30T00:00:00"/>
    <n v="4.7561854431900072E-2"/>
    <n v="1.1042424242424242"/>
    <n v="19.876363636363635"/>
    <n v="36.44"/>
    <n v="8.7083790706183688"/>
  </r>
  <r>
    <s v="A3134"/>
    <s v="Data Analytics Course"/>
    <n v="155"/>
    <n v="5150"/>
    <n v="224.6"/>
    <n v="24"/>
    <n v="7"/>
    <n v="3.9E-2"/>
    <n v="1146"/>
    <d v="2024-11-04T00:00:00"/>
    <s v="Hyderabad"/>
    <x v="2"/>
    <s v="data analytics course"/>
    <d v="2024-11-04T00:00:00"/>
    <n v="3.0097087378640777E-2"/>
    <n v="1.4490322580645161"/>
    <n v="9.3583333333333325"/>
    <n v="32.085714285714282"/>
    <n v="5.1024042742653606"/>
  </r>
  <r>
    <s v="A3135"/>
    <s v="Data Analytics Course"/>
    <n v="181"/>
    <n v="3948"/>
    <n v="223.51"/>
    <n v="17"/>
    <n v="4"/>
    <n v="5.7000000000000002E-2"/>
    <n v="1075"/>
    <d v="2024-10-11T00:00:00"/>
    <s v="Hyderabad"/>
    <x v="1"/>
    <s v="analytics for data"/>
    <d v="2024-10-11T00:00:00"/>
    <n v="4.584599797365755E-2"/>
    <n v="1.2348618784530385"/>
    <n v="13.147647058823528"/>
    <n v="55.877499999999998"/>
    <n v="4.8096282045546062"/>
  </r>
  <r>
    <s v="A3136"/>
    <s v="Data Analytics Course"/>
    <n v="108"/>
    <n v="3126"/>
    <n v="248.94"/>
    <n v="12"/>
    <n v="3"/>
    <n v="2.8000000000000001E-2"/>
    <n v="1942"/>
    <d v="2024-11-16T00:00:00"/>
    <s v="Hyderabad"/>
    <x v="2"/>
    <s v="analytics for data"/>
    <d v="2024-11-16T00:00:00"/>
    <n v="3.4548944337811902E-2"/>
    <n v="2.3050000000000002"/>
    <n v="20.745000000000001"/>
    <n v="82.98"/>
    <n v="7.8010765646340481"/>
  </r>
  <r>
    <s v="A3137"/>
    <s v="Data Analytics Course"/>
    <n v="114"/>
    <n v="5551"/>
    <n v="195.44"/>
    <n v="30"/>
    <n v="5"/>
    <n v="4.3999999999999997E-2"/>
    <n v="1255"/>
    <d v="2024-11-15T00:00:00"/>
    <s v="Hyderabad"/>
    <x v="2"/>
    <s v="analytics for data"/>
    <d v="2024-11-15T00:00:00"/>
    <n v="2.0536840208971358E-2"/>
    <n v="1.7143859649122808"/>
    <n v="6.5146666666666668"/>
    <n v="39.088000000000001"/>
    <n v="6.4214081047891938"/>
  </r>
  <r>
    <s v="A3138"/>
    <s v="Data Analytics Course"/>
    <n v="146"/>
    <n v="5712"/>
    <n v="221.73"/>
    <n v="26"/>
    <n v="5"/>
    <n v="4.5999999999999999E-2"/>
    <n v="1201"/>
    <d v="2024-11-12T00:00:00"/>
    <s v="Hyderabad"/>
    <x v="1"/>
    <s v="analytics for data"/>
    <d v="2024-11-12T00:00:00"/>
    <n v="2.5560224089635854E-2"/>
    <n v="1.5186986301369862"/>
    <n v="8.528076923076922"/>
    <n v="44.345999999999997"/>
    <n v="5.4164975420556534"/>
  </r>
  <r>
    <s v="A3139"/>
    <s v="Data Analytics Course"/>
    <n v="89"/>
    <n v="4175"/>
    <n v="194.22"/>
    <n v="11"/>
    <n v="3"/>
    <n v="5.5E-2"/>
    <n v="1370"/>
    <d v="2024-11-22T00:00:00"/>
    <s v="Hyderabad"/>
    <x v="0"/>
    <s v="data anaytics training"/>
    <d v="2024-11-22T00:00:00"/>
    <n v="2.1317365269461076E-2"/>
    <n v="2.182247191011236"/>
    <n v="17.656363636363636"/>
    <n v="64.739999999999995"/>
    <n v="7.0538564514468129"/>
  </r>
  <r>
    <s v="A3140"/>
    <s v="Data Analytics Course"/>
    <n v="82"/>
    <n v="4518.5"/>
    <n v="215.57"/>
    <n v="30"/>
    <n v="8"/>
    <n v="9.8000000000000004E-2"/>
    <n v="1511"/>
    <s v="17-11-2024"/>
    <s v="Hyderabad"/>
    <x v="0"/>
    <s v="learn data analytics"/>
    <d v="2024-11-17T00:00:00"/>
    <n v="1.8147615359079342E-2"/>
    <n v="2.6289024390243902"/>
    <n v="7.1856666666666662"/>
    <n v="26.946249999999999"/>
    <n v="7.009324117456047"/>
  </r>
  <r>
    <s v="A3141"/>
    <s v="Data Analytics Course"/>
    <n v="98"/>
    <n v="5728"/>
    <n v="230.52"/>
    <n v="14"/>
    <n v="10"/>
    <n v="4.5999999999999999E-2"/>
    <n v="1322"/>
    <d v="2024-07-11T00:00:00"/>
    <s v="Hyderabad"/>
    <x v="1"/>
    <s v="data anaytics training"/>
    <d v="2024-07-11T00:00:00"/>
    <n v="1.7108938547486033E-2"/>
    <n v="2.3522448979591837"/>
    <n v="16.465714285714288"/>
    <n v="23.052"/>
    <n v="5.7348603158077385"/>
  </r>
  <r>
    <s v="A3142"/>
    <s v="Data Analytics Course"/>
    <n v="87"/>
    <n v="3161"/>
    <n v="244.49"/>
    <n v="24"/>
    <n v="8"/>
    <n v="9.1999999999999998E-2"/>
    <n v="1161"/>
    <d v="2024-11-06T00:00:00"/>
    <s v="Hyderabad"/>
    <x v="2"/>
    <s v="data analitics online"/>
    <d v="2024-11-06T00:00:00"/>
    <n v="2.7522935779816515E-2"/>
    <n v="2.8102298850574714"/>
    <n v="10.187083333333334"/>
    <n v="30.561250000000001"/>
    <n v="4.7486604769111214"/>
  </r>
  <r>
    <s v="A3143"/>
    <s v="Data Analytics Course"/>
    <n v="146"/>
    <n v="4773"/>
    <n v="248.27"/>
    <n v="30"/>
    <n v="6"/>
    <n v="4.1000000000000002E-2"/>
    <n v="1304"/>
    <d v="2024-11-01T00:00:00"/>
    <s v="Hyderabad"/>
    <x v="2"/>
    <s v="online data analytic"/>
    <d v="2024-11-01T00:00:00"/>
    <n v="3.0588728263146868E-2"/>
    <n v="1.7004794520547946"/>
    <n v="8.2756666666666678"/>
    <n v="41.378333333333337"/>
    <n v="5.2523462359527935"/>
  </r>
  <r>
    <s v="A3144"/>
    <s v="Data Analytics Course"/>
    <n v="139"/>
    <n v="3385"/>
    <n v="208.31"/>
    <n v="25"/>
    <n v="10"/>
    <n v="4.5999999999999999E-2"/>
    <n v="1972"/>
    <d v="2024-11-16T00:00:00"/>
    <s v="Hyderabad"/>
    <x v="1"/>
    <s v="analytics for data"/>
    <d v="2024-11-16T00:00:00"/>
    <n v="4.1063515509601183E-2"/>
    <n v="1.4986330935251799"/>
    <n v="8.3323999999999998"/>
    <n v="20.831"/>
    <n v="9.4666602659497858"/>
  </r>
  <r>
    <s v="A3145"/>
    <s v="Data Analytics Course"/>
    <n v="122"/>
    <n v="5600"/>
    <n v="223.06"/>
    <n v="12"/>
    <n v="3"/>
    <n v="2.5000000000000001E-2"/>
    <n v="1061"/>
    <d v="2024-11-18T00:00:00"/>
    <s v="Hyderabad"/>
    <x v="2"/>
    <s v="learn data analytics"/>
    <d v="2024-11-18T00:00:00"/>
    <n v="2.1785714285714287E-2"/>
    <n v="1.828360655737705"/>
    <n v="18.588333333333335"/>
    <n v="74.353333333333339"/>
    <n v="4.7565677396216266"/>
  </r>
  <r>
    <s v="A3146"/>
    <s v="Data Analytics Course"/>
    <n v="153"/>
    <n v="4218"/>
    <n v="228.36"/>
    <n v="16"/>
    <n v="7"/>
    <n v="4.5999999999999999E-2"/>
    <n v="1178"/>
    <d v="2024-03-11T00:00:00"/>
    <s v="Hyderabad"/>
    <x v="1"/>
    <s v="data analitics online"/>
    <d v="2024-03-11T00:00:00"/>
    <n v="3.627311522048364E-2"/>
    <n v="1.4925490196078433"/>
    <n v="14.272500000000001"/>
    <n v="32.622857142857143"/>
    <n v="5.1585216325100713"/>
  </r>
  <r>
    <s v="A3147"/>
    <s v="Data Analytics Course"/>
    <n v="108"/>
    <n v="3358"/>
    <n v="184.1"/>
    <n v="28"/>
    <n v="4"/>
    <n v="3.6999999999999998E-2"/>
    <n v="1888"/>
    <d v="2024-11-16T00:00:00"/>
    <s v="Hyderabad"/>
    <x v="0"/>
    <s v="analytics for data"/>
    <d v="2024-11-16T00:00:00"/>
    <n v="3.216200119118523E-2"/>
    <n v="1.7046296296296295"/>
    <n v="6.5750000000000002"/>
    <n v="46.024999999999999"/>
    <n v="10.255296034763715"/>
  </r>
  <r>
    <s v="A3148"/>
    <s v="Data Analytics Course"/>
    <n v="147"/>
    <n v="3021"/>
    <n v="200.17"/>
    <n v="20"/>
    <n v="4"/>
    <n v="2.7E-2"/>
    <n v="1718"/>
    <s v="18-11-2024"/>
    <s v="Hyderabad"/>
    <x v="1"/>
    <s v="analytics for data"/>
    <d v="2024-11-18T00:00:00"/>
    <n v="4.8659384309831182E-2"/>
    <n v="1.3617006802721088"/>
    <n v="10.0085"/>
    <n v="50.042499999999997"/>
    <n v="8.5827047010041468"/>
  </r>
  <r>
    <s v="A3149"/>
    <s v="Data Analytics Course"/>
    <n v="121"/>
    <n v="4477"/>
    <n v="224.77"/>
    <n v="28"/>
    <n v="10"/>
    <n v="8.3000000000000004E-2"/>
    <n v="1604"/>
    <s v="17-11-2024"/>
    <s v="Hyderabad"/>
    <x v="2"/>
    <s v="data analitics online"/>
    <d v="2024-11-17T00:00:00"/>
    <n v="2.7027027027027029E-2"/>
    <n v="1.857603305785124"/>
    <n v="8.0274999999999999"/>
    <n v="22.477"/>
    <n v="7.1361836544022772"/>
  </r>
  <r>
    <s v="A3150"/>
    <s v="Data Analytics Course"/>
    <n v="112"/>
    <n v="4073"/>
    <n v="180.24"/>
    <n v="30"/>
    <n v="4"/>
    <n v="4.5999999999999999E-2"/>
    <n v="1628"/>
    <d v="2024-11-12T00:00:00"/>
    <s v="Hyderabad"/>
    <x v="2"/>
    <s v="data anaytics training"/>
    <d v="2024-11-12T00:00:00"/>
    <n v="2.7498158605450528E-2"/>
    <n v="1.6092857142857144"/>
    <n v="6.008"/>
    <n v="45.06"/>
    <n v="9.0324012427873939"/>
  </r>
  <r>
    <s v="A3151"/>
    <s v="Data Analytics Course"/>
    <n v="127"/>
    <n v="5172"/>
    <n v="204.19"/>
    <n v="10"/>
    <n v="4"/>
    <n v="3.1E-2"/>
    <n v="1183"/>
    <d v="2024-11-20T00:00:00"/>
    <s v="Hyderabad"/>
    <x v="1"/>
    <s v="data analitics online"/>
    <d v="2024-11-20T00:00:00"/>
    <n v="2.4555297757153906E-2"/>
    <n v="1.6077952755905511"/>
    <n v="20.419"/>
    <n v="51.047499999999999"/>
    <n v="5.7936235858759"/>
  </r>
  <r>
    <s v="A3152"/>
    <s v="Data Analytics Course"/>
    <n v="192"/>
    <n v="5896"/>
    <n v="201.18"/>
    <n v="30"/>
    <n v="9"/>
    <n v="0.05"/>
    <n v="1589"/>
    <s v="30-11-2024"/>
    <s v="Hyderabad"/>
    <x v="0"/>
    <s v="data analytics course"/>
    <d v="2024-11-30T00:00:00"/>
    <n v="3.2564450474898234E-2"/>
    <n v="1.0478125"/>
    <n v="6.7060000000000004"/>
    <n v="22.353333333333335"/>
    <n v="7.8983994432846201"/>
  </r>
  <r>
    <s v="A3153"/>
    <s v="Data Analytics Course"/>
    <n v="174"/>
    <n v="3427"/>
    <n v="223.77"/>
    <n v="20"/>
    <n v="7"/>
    <n v="3.5999999999999997E-2"/>
    <n v="1293"/>
    <s v="15-11-2024"/>
    <s v="Hyderabad"/>
    <x v="0"/>
    <s v="analytics for data"/>
    <d v="2024-11-15T00:00:00"/>
    <n v="5.0773271082579514E-2"/>
    <n v="1.2860344827586208"/>
    <n v="11.188500000000001"/>
    <n v="31.967142857142857"/>
    <n v="5.7782544577021042"/>
  </r>
  <r>
    <s v="A3154"/>
    <s v="Data Analytics Course"/>
    <n v="166"/>
    <n v="4176"/>
    <n v="243.1"/>
    <n v="16"/>
    <n v="9"/>
    <n v="4.1000000000000002E-2"/>
    <n v="1147"/>
    <d v="2024-11-24T00:00:00"/>
    <s v="Hyderabad"/>
    <x v="0"/>
    <s v="learn data analytics"/>
    <d v="2024-11-24T00:00:00"/>
    <n v="3.9750957854406133E-2"/>
    <n v="1.4644578313253012"/>
    <n v="15.19375"/>
    <n v="27.011111111111109"/>
    <n v="4.7182229535170714"/>
  </r>
  <r>
    <s v="A3155"/>
    <s v="Data Analytics Course"/>
    <n v="98"/>
    <n v="5835"/>
    <n v="232.82"/>
    <n v="19"/>
    <n v="6"/>
    <n v="4.5999999999999999E-2"/>
    <n v="1989"/>
    <d v="2024-11-02T00:00:00"/>
    <s v="Hyderabad"/>
    <x v="1"/>
    <s v="data analitics online"/>
    <d v="2024-11-02T00:00:00"/>
    <n v="1.6795201371036846E-2"/>
    <n v="2.3757142857142854"/>
    <n v="12.253684210526316"/>
    <n v="38.803333333333335"/>
    <n v="8.5430804913667213"/>
  </r>
  <r>
    <s v="A3156"/>
    <s v="Data Analytics Course"/>
    <n v="191"/>
    <n v="5438"/>
    <n v="244.1"/>
    <n v="19"/>
    <n v="5"/>
    <n v="4.5999999999999999E-2"/>
    <n v="1203"/>
    <d v="2024-11-08T00:00:00"/>
    <s v="Hyderabad"/>
    <x v="2"/>
    <s v="learn data analytics"/>
    <d v="2024-11-08T00:00:00"/>
    <n v="3.5123207061419637E-2"/>
    <n v="1.2780104712041884"/>
    <n v="12.84736842105263"/>
    <n v="48.82"/>
    <n v="4.9283080704629247"/>
  </r>
  <r>
    <s v="A3157"/>
    <s v="Data Analytics Course"/>
    <n v="89"/>
    <n v="4936"/>
    <n v="199.91"/>
    <n v="16"/>
    <n v="4"/>
    <n v="5.8999999999999997E-2"/>
    <n v="1543"/>
    <d v="2024-11-14T00:00:00"/>
    <s v="Hyderabad"/>
    <x v="0"/>
    <s v="data analytics course"/>
    <d v="2024-11-14T00:00:00"/>
    <n v="1.8030794165316045E-2"/>
    <n v="2.2461797752808987"/>
    <n v="12.494375"/>
    <n v="49.977499999999999"/>
    <n v="7.718473312990846"/>
  </r>
  <r>
    <s v="A3158"/>
    <s v="Data Analytics Course"/>
    <n v="180"/>
    <n v="3526"/>
    <n v="215.57"/>
    <n v="15"/>
    <n v="7"/>
    <n v="3.9E-2"/>
    <n v="1336"/>
    <d v="2024-11-16T00:00:00"/>
    <s v="Hyderabad"/>
    <x v="1"/>
    <s v="online data analytic"/>
    <d v="2024-11-16T00:00:00"/>
    <n v="5.104934770277935E-2"/>
    <n v="1.1976111111111112"/>
    <n v="14.371333333333332"/>
    <n v="30.795714285714286"/>
    <n v="6.1975228464071996"/>
  </r>
  <r>
    <s v="A3159"/>
    <s v="Data Analytics Course"/>
    <n v="91"/>
    <n v="5509"/>
    <n v="186.22"/>
    <n v="29"/>
    <n v="5"/>
    <n v="5.5E-2"/>
    <n v="1928"/>
    <d v="2024-11-02T00:00:00"/>
    <s v="Hyderabad"/>
    <x v="1"/>
    <s v="learn data analytics"/>
    <d v="2024-11-02T00:00:00"/>
    <n v="1.6518424396442185E-2"/>
    <n v="2.0463736263736263"/>
    <n v="6.4213793103448271"/>
    <n v="37.244"/>
    <n v="10.353345505316293"/>
  </r>
  <r>
    <s v="A3160"/>
    <s v="Data Analytics Course"/>
    <n v="114"/>
    <n v="5748"/>
    <n v="184.76"/>
    <n v="16"/>
    <n v="8"/>
    <n v="7.0000000000000007E-2"/>
    <n v="1490"/>
    <d v="2024-11-21T00:00:00"/>
    <s v="Hyderabad"/>
    <x v="0"/>
    <s v="data analitics online"/>
    <d v="2024-11-21T00:00:00"/>
    <n v="1.9832985386221295E-2"/>
    <n v="1.6207017543859648"/>
    <n v="11.547499999999999"/>
    <n v="23.094999999999999"/>
    <n v="8.064516129032258"/>
  </r>
  <r>
    <s v="A3161"/>
    <s v="Data Analytics Course"/>
    <n v="80"/>
    <n v="5155"/>
    <n v="217.3"/>
    <n v="28"/>
    <n v="5"/>
    <n v="4.5999999999999999E-2"/>
    <n v="1316"/>
    <d v="2024-12-11T00:00:00"/>
    <s v="Hyderabad"/>
    <x v="2"/>
    <s v="data analytics course"/>
    <d v="2024-12-11T00:00:00"/>
    <n v="1.5518913676042677E-2"/>
    <n v="2.7162500000000001"/>
    <n v="7.7607142857142861"/>
    <n v="43.46"/>
    <n v="6.0561435803037273"/>
  </r>
  <r>
    <s v="A3162"/>
    <s v="Data Analytics Course"/>
    <n v="127"/>
    <n v="4537"/>
    <n v="247.11"/>
    <n v="17"/>
    <n v="7"/>
    <n v="4.2999999999999997E-2"/>
    <n v="1451"/>
    <d v="2024-11-18T00:00:00"/>
    <s v="Hyderabad"/>
    <x v="2"/>
    <s v="analytics for data"/>
    <d v="2024-11-18T00:00:00"/>
    <n v="2.799206524134891E-2"/>
    <n v="1.9457480314960631"/>
    <n v="14.535882352941178"/>
    <n v="35.301428571428573"/>
    <n v="5.8718789203188857"/>
  </r>
  <r>
    <s v="A3163"/>
    <s v="Data Analytics Course"/>
    <n v="84"/>
    <n v="5468"/>
    <n v="227.36"/>
    <n v="13"/>
    <n v="4"/>
    <n v="4.8000000000000001E-2"/>
    <n v="1228"/>
    <d v="2024-11-26T00:00:00"/>
    <s v="Hyderabad"/>
    <x v="2"/>
    <s v="data analytics course"/>
    <d v="2024-11-26T00:00:00"/>
    <n v="1.5362106803218726E-2"/>
    <n v="2.706666666666667"/>
    <n v="17.489230769230769"/>
    <n v="56.84"/>
    <n v="5.4011259676284302"/>
  </r>
  <r>
    <s v="A3164"/>
    <s v="Data Analytics Course"/>
    <n v="182"/>
    <n v="4390"/>
    <n v="239.33"/>
    <n v="11"/>
    <n v="7"/>
    <n v="5.1999999999999998E-2"/>
    <n v="1799"/>
    <d v="2024-11-27T00:00:00"/>
    <s v="Hyderabad"/>
    <x v="2"/>
    <s v="data anaytics training"/>
    <d v="2024-11-27T00:00:00"/>
    <n v="4.145785876993166E-2"/>
    <n v="1.3150000000000002"/>
    <n v="21.757272727272728"/>
    <n v="34.190000000000005"/>
    <n v="7.516817782977478"/>
  </r>
  <r>
    <s v="A3165"/>
    <s v="Data Analytics Course"/>
    <n v="105"/>
    <n v="5883"/>
    <n v="180.07"/>
    <n v="20"/>
    <n v="4"/>
    <n v="3.7999999999999999E-2"/>
    <n v="1586"/>
    <d v="2024-11-05T00:00:00"/>
    <s v="Hyderabad"/>
    <x v="1"/>
    <s v="data analytics course"/>
    <d v="2024-11-05T00:00:00"/>
    <n v="1.7848036715961243E-2"/>
    <n v="1.7149523809523808"/>
    <n v="9.0034999999999989"/>
    <n v="45.017499999999998"/>
    <n v="8.8076858999278063"/>
  </r>
  <r>
    <s v="A3166"/>
    <s v="Data Analytics Course"/>
    <n v="162"/>
    <n v="3120"/>
    <n v="245.58"/>
    <n v="30"/>
    <n v="6"/>
    <n v="3.6999999999999998E-2"/>
    <n v="1952"/>
    <d v="2024-06-11T00:00:00"/>
    <s v="Hyderabad"/>
    <x v="1"/>
    <s v="data anaytics training"/>
    <d v="2024-06-11T00:00:00"/>
    <n v="5.1923076923076926E-2"/>
    <n v="1.5159259259259259"/>
    <n v="8.1859999999999999"/>
    <n v="40.93"/>
    <n v="7.9485300105871808"/>
  </r>
  <r>
    <s v="A3167"/>
    <s v="Data Analytics Course"/>
    <n v="118"/>
    <n v="4377"/>
    <n v="219.81"/>
    <n v="21"/>
    <n v="4"/>
    <n v="3.4000000000000002E-2"/>
    <n v="1290"/>
    <d v="2024-11-14T00:00:00"/>
    <s v="Hyderabad"/>
    <x v="0"/>
    <s v="analytics for data"/>
    <d v="2024-11-14T00:00:00"/>
    <n v="2.6959104409412842E-2"/>
    <n v="1.8627966101694915"/>
    <n v="10.467142857142857"/>
    <n v="54.952500000000001"/>
    <n v="5.8687047905008871"/>
  </r>
  <r>
    <s v="A3168"/>
    <s v="Data Analytics Course"/>
    <n v="131"/>
    <n v="5719"/>
    <n v="183.69"/>
    <n v="12"/>
    <n v="7"/>
    <n v="5.2999999999999999E-2"/>
    <n v="1555"/>
    <s v="23-11-2024"/>
    <s v="Hyderabad"/>
    <x v="1"/>
    <s v="data anaytics training"/>
    <d v="2024-11-23T00:00:00"/>
    <n v="2.290610246546599E-2"/>
    <n v="1.4022137404580153"/>
    <n v="15.307499999999999"/>
    <n v="26.241428571428571"/>
    <n v="8.4653492296804398"/>
  </r>
  <r>
    <s v="A3169"/>
    <s v="Data Analytics Course"/>
    <n v="116"/>
    <n v="4250"/>
    <n v="186.34"/>
    <n v="12"/>
    <n v="3"/>
    <n v="2.5999999999999999E-2"/>
    <n v="1043"/>
    <d v="2024-11-30T00:00:00"/>
    <s v="Hyderabad"/>
    <x v="0"/>
    <s v="analytics for data"/>
    <d v="2024-11-30T00:00:00"/>
    <n v="2.7294117647058823E-2"/>
    <n v="1.6063793103448276"/>
    <n v="15.528333333333334"/>
    <n v="62.113333333333337"/>
    <n v="5.5972952667167544"/>
  </r>
  <r>
    <s v="A3170"/>
    <s v="Data Analytics Course"/>
    <n v="80"/>
    <n v="5648"/>
    <n v="239.26"/>
    <n v="10"/>
    <n v="6"/>
    <n v="7.4999999999999997E-2"/>
    <n v="1005"/>
    <d v="2024-11-20T00:00:00"/>
    <s v="Hyderabad"/>
    <x v="1"/>
    <s v="data analytics course"/>
    <d v="2024-11-20T00:00:00"/>
    <n v="1.4164305949008499E-2"/>
    <n v="2.9907499999999998"/>
    <n v="23.925999999999998"/>
    <n v="39.876666666666665"/>
    <n v="4.2004513917913568"/>
  </r>
  <r>
    <s v="A3171"/>
    <s v="Data Analytics Course"/>
    <n v="81"/>
    <n v="3394"/>
    <n v="187.24"/>
    <n v="12"/>
    <n v="6"/>
    <n v="7.3999999999999996E-2"/>
    <n v="1227"/>
    <d v="2024-12-11T00:00:00"/>
    <s v="Hyderabad"/>
    <x v="2"/>
    <s v="data analytics course"/>
    <d v="2024-12-11T00:00:00"/>
    <n v="2.3865645256334708E-2"/>
    <n v="2.3116049382716048"/>
    <n v="15.603333333333333"/>
    <n v="31.206666666666667"/>
    <n v="6.5530869472334965"/>
  </r>
  <r>
    <s v="A3172"/>
    <s v="Data Analytics Course"/>
    <n v="189"/>
    <n v="5117"/>
    <n v="197.9"/>
    <n v="20"/>
    <n v="8"/>
    <n v="4.2000000000000003E-2"/>
    <n v="1710"/>
    <s v="28-11-2024"/>
    <s v="Hyderabad"/>
    <x v="1"/>
    <s v="analytics for data"/>
    <d v="2024-11-28T00:00:00"/>
    <n v="3.6935704514363885E-2"/>
    <n v="1.0470899470899471"/>
    <n v="9.8949999999999996"/>
    <n v="24.737500000000001"/>
    <n v="8.6407276402223339"/>
  </r>
  <r>
    <s v="A3173"/>
    <s v="Data Analytics Course"/>
    <n v="128"/>
    <n v="3861"/>
    <n v="232.11"/>
    <n v="30"/>
    <n v="10"/>
    <n v="4.5999999999999999E-2"/>
    <n v="1636"/>
    <s v="18-11-2024"/>
    <s v="Hyderabad"/>
    <x v="2"/>
    <s v="data analytics course"/>
    <d v="2024-11-18T00:00:00"/>
    <n v="3.3152033152033154E-2"/>
    <n v="1.8133593750000001"/>
    <n v="7.7370000000000001"/>
    <n v="23.211000000000002"/>
    <n v="7.0483822325621466"/>
  </r>
  <r>
    <s v="A3174"/>
    <s v="Data Analytics Course"/>
    <n v="182"/>
    <n v="3303"/>
    <n v="238.4"/>
    <n v="17"/>
    <n v="4"/>
    <n v="2.1999999999999999E-2"/>
    <n v="1695"/>
    <d v="2024-11-05T00:00:00"/>
    <s v="Hyderabad"/>
    <x v="0"/>
    <s v="data analitics online"/>
    <d v="2024-11-05T00:00:00"/>
    <n v="5.510142294883439E-2"/>
    <n v="1.3098901098901099"/>
    <n v="14.023529411764706"/>
    <n v="59.6"/>
    <n v="7.1098993288590604"/>
  </r>
  <r>
    <s v="A3175"/>
    <s v="Data Analytics Course"/>
    <n v="124"/>
    <n v="4192"/>
    <n v="184.42"/>
    <n v="12"/>
    <n v="6"/>
    <n v="4.8000000000000001E-2"/>
    <n v="1505"/>
    <d v="2024-05-11T00:00:00"/>
    <s v="Hyderabad"/>
    <x v="2"/>
    <s v="data analytics course"/>
    <d v="2024-05-11T00:00:00"/>
    <n v="2.9580152671755726E-2"/>
    <n v="1.4872580645161289"/>
    <n v="15.368333333333332"/>
    <n v="30.736666666666665"/>
    <n v="8.1607200954343355"/>
  </r>
  <r>
    <s v="A3176"/>
    <s v="Data Analytics Course"/>
    <n v="137"/>
    <n v="3720"/>
    <n v="237.22"/>
    <n v="24"/>
    <n v="5"/>
    <n v="3.5999999999999997E-2"/>
    <n v="1811"/>
    <d v="2024-10-11T00:00:00"/>
    <s v="Hyderabad"/>
    <x v="1"/>
    <s v="online data analytic"/>
    <d v="2024-10-11T00:00:00"/>
    <n v="3.6827956989247311E-2"/>
    <n v="1.7315328467153284"/>
    <n v="9.8841666666666672"/>
    <n v="47.444000000000003"/>
    <n v="7.6342635528201672"/>
  </r>
  <r>
    <s v="A3177"/>
    <s v="Data Analytics Course"/>
    <n v="106"/>
    <n v="5789"/>
    <n v="183.62"/>
    <n v="19"/>
    <n v="3"/>
    <n v="2.8000000000000001E-2"/>
    <n v="1838"/>
    <d v="2024-11-16T00:00:00"/>
    <s v="Hyderabad"/>
    <x v="0"/>
    <s v="data analitics online"/>
    <d v="2024-11-16T00:00:00"/>
    <n v="1.8310589048194853E-2"/>
    <n v="1.7322641509433963"/>
    <n v="9.6642105263157898"/>
    <n v="61.206666666666671"/>
    <n v="10.009802853719638"/>
  </r>
  <r>
    <s v="A3178"/>
    <s v="Data Analytics Course"/>
    <n v="102"/>
    <n v="5113"/>
    <n v="206.65"/>
    <n v="27"/>
    <n v="6"/>
    <n v="5.8999999999999997E-2"/>
    <n v="1466"/>
    <d v="2024-11-19T00:00:00"/>
    <s v="Hyderabad"/>
    <x v="1"/>
    <s v="data analytics course"/>
    <d v="2024-11-19T00:00:00"/>
    <n v="1.9949149227459419E-2"/>
    <n v="2.0259803921568627"/>
    <n v="7.6537037037037043"/>
    <n v="34.44166666666667"/>
    <n v="7.0941204935881927"/>
  </r>
  <r>
    <s v="A3179"/>
    <s v="Data Analytics Course"/>
    <n v="155"/>
    <n v="3234"/>
    <n v="204.47"/>
    <n v="12"/>
    <n v="4"/>
    <n v="2.5999999999999999E-2"/>
    <n v="1401"/>
    <d v="2024-11-16T00:00:00"/>
    <s v="Hyderabad"/>
    <x v="0"/>
    <s v="learn data analytics"/>
    <d v="2024-11-16T00:00:00"/>
    <n v="4.7928262213976502E-2"/>
    <n v="1.3191612903225807"/>
    <n v="17.039166666666667"/>
    <n v="51.1175"/>
    <n v="6.8518609086907611"/>
  </r>
  <r>
    <s v="A3180"/>
    <s v="Data Analytics Course"/>
    <n v="85"/>
    <n v="3088"/>
    <n v="234.24"/>
    <n v="24"/>
    <n v="4"/>
    <n v="4.7E-2"/>
    <n v="1210"/>
    <d v="2024-11-07T00:00:00"/>
    <s v="Hyderabad"/>
    <x v="2"/>
    <s v="analytics for data"/>
    <d v="2024-11-07T00:00:00"/>
    <n v="2.7525906735751296E-2"/>
    <n v="2.7557647058823531"/>
    <n v="9.76"/>
    <n v="58.56"/>
    <n v="5.1656420765027322"/>
  </r>
  <r>
    <s v="A3181"/>
    <s v="Data Analytics Course"/>
    <n v="126"/>
    <n v="5114"/>
    <n v="233.27"/>
    <n v="30"/>
    <n v="5"/>
    <n v="4.5999999999999999E-2"/>
    <n v="1197"/>
    <s v="15-11-2024"/>
    <s v="Hyderabad"/>
    <x v="2"/>
    <s v="data analitics online"/>
    <d v="2024-11-15T00:00:00"/>
    <n v="2.4638247946812672E-2"/>
    <n v="1.8513492063492065"/>
    <n v="7.7756666666666669"/>
    <n v="46.654000000000003"/>
    <n v="5.1313928066189396"/>
  </r>
  <r>
    <s v="A3182"/>
    <s v="Data Analytics Course"/>
    <n v="96"/>
    <n v="5070"/>
    <n v="210.63"/>
    <n v="27"/>
    <n v="10"/>
    <n v="0.104"/>
    <n v="1653"/>
    <d v="2024-11-18T00:00:00"/>
    <s v="Hyderabad"/>
    <x v="2"/>
    <s v="online data analytic"/>
    <d v="2024-11-18T00:00:00"/>
    <n v="1.8934911242603551E-2"/>
    <n v="2.1940624999999998"/>
    <n v="7.8011111111111111"/>
    <n v="21.062999999999999"/>
    <n v="7.8478849166785363"/>
  </r>
  <r>
    <s v="A3183"/>
    <s v="Data Analytics Course"/>
    <n v="128"/>
    <n v="4445"/>
    <n v="200.52"/>
    <n v="14"/>
    <n v="4"/>
    <n v="3.1E-2"/>
    <n v="1861"/>
    <d v="2024-11-05T00:00:00"/>
    <s v="Hyderabad"/>
    <x v="2"/>
    <s v="learn data analytics"/>
    <d v="2024-11-05T00:00:00"/>
    <n v="2.8796400449943756E-2"/>
    <n v="1.5665625000000001"/>
    <n v="14.322857142857144"/>
    <n v="50.13"/>
    <n v="9.2808697386794332"/>
  </r>
  <r>
    <s v="A3184"/>
    <s v="Data Analytics Course"/>
    <n v="151"/>
    <n v="3656"/>
    <n v="199.96"/>
    <n v="26"/>
    <n v="7"/>
    <n v="5.0999999999999997E-2"/>
    <n v="1566"/>
    <d v="2024-11-17T00:00:00"/>
    <s v="Hyderabad"/>
    <x v="0"/>
    <s v="online data analytic"/>
    <d v="2024-11-17T00:00:00"/>
    <n v="4.1301969365426697E-2"/>
    <n v="1.3242384105960265"/>
    <n v="7.6907692307692308"/>
    <n v="28.565714285714286"/>
    <n v="7.8315663132626518"/>
  </r>
  <r>
    <s v="A3185"/>
    <s v="Data Analytics Course"/>
    <n v="95"/>
    <n v="3583"/>
    <n v="223.37"/>
    <n v="22"/>
    <n v="9"/>
    <n v="3.3000000000000002E-2"/>
    <n v="1821"/>
    <s v="29-11-2024"/>
    <s v="Hyderabad"/>
    <x v="0"/>
    <s v="online data analytic"/>
    <d v="2024-11-29T00:00:00"/>
    <n v="2.6514094334356683E-2"/>
    <n v="2.3512631578947367"/>
    <n v="10.153181818181819"/>
    <n v="24.818888888888889"/>
    <n v="8.1523928907194332"/>
  </r>
  <r>
    <s v="A3186"/>
    <s v="Data Analytics Course"/>
    <n v="193"/>
    <n v="4790"/>
    <n v="247.69"/>
    <n v="23"/>
    <n v="5"/>
    <n v="2.5999999999999999E-2"/>
    <n v="1687"/>
    <s v="24-11-2024"/>
    <s v="Hyderabad"/>
    <x v="1"/>
    <s v="data analitics online"/>
    <d v="2024-11-24T00:00:00"/>
    <n v="4.0292275574112732E-2"/>
    <n v="1.2833678756476683"/>
    <n v="10.769130434782609"/>
    <n v="49.537999999999997"/>
    <n v="6.8109330211151038"/>
  </r>
  <r>
    <s v="A3187"/>
    <s v="Data Analytics Course"/>
    <n v="90"/>
    <n v="3235"/>
    <n v="211.4"/>
    <n v="29"/>
    <n v="10"/>
    <n v="0.111"/>
    <n v="1290"/>
    <d v="2024-11-19T00:00:00"/>
    <s v="Hyderabad"/>
    <x v="2"/>
    <s v="analytics for data"/>
    <d v="2024-11-19T00:00:00"/>
    <n v="2.7820710973724884E-2"/>
    <n v="2.3488888888888888"/>
    <n v="7.2896551724137932"/>
    <n v="21.14"/>
    <n v="6.1021759697256384"/>
  </r>
  <r>
    <s v="A3188"/>
    <s v="Data Analytics Course"/>
    <n v="175"/>
    <n v="3832"/>
    <n v="245.61"/>
    <n v="27"/>
    <n v="5"/>
    <n v="2.9000000000000001E-2"/>
    <n v="1388"/>
    <d v="2024-11-26T00:00:00"/>
    <s v="Hyderabad"/>
    <x v="0"/>
    <s v="data analitics online"/>
    <d v="2024-11-26T00:00:00"/>
    <n v="4.5668058455114825E-2"/>
    <n v="1.4034857142857144"/>
    <n v="9.0966666666666676"/>
    <n v="49.122"/>
    <n v="5.6512356988721955"/>
  </r>
  <r>
    <s v="A3189"/>
    <s v="Data Analytics Course"/>
    <n v="153"/>
    <n v="4261"/>
    <n v="230.25"/>
    <n v="27"/>
    <n v="7"/>
    <n v="4.5999999999999999E-2"/>
    <n v="1027"/>
    <d v="2024-11-05T00:00:00"/>
    <s v="Hyderabad"/>
    <x v="0"/>
    <s v="analytics for data"/>
    <d v="2024-11-05T00:00:00"/>
    <n v="3.5907064069467261E-2"/>
    <n v="1.5049019607843137"/>
    <n v="8.5277777777777786"/>
    <n v="32.892857142857146"/>
    <n v="4.460369163952226"/>
  </r>
  <r>
    <s v="A3190"/>
    <s v="Data Analytics Course"/>
    <n v="103"/>
    <n v="4796"/>
    <n v="180.64"/>
    <n v="26"/>
    <n v="7"/>
    <n v="4.5999999999999999E-2"/>
    <n v="1102"/>
    <d v="2024-11-03T00:00:00"/>
    <s v="Hyderabad"/>
    <x v="1"/>
    <s v="data anaytics training"/>
    <d v="2024-11-03T00:00:00"/>
    <n v="2.1476230191826522E-2"/>
    <n v="1.7537864077669902"/>
    <n v="6.9476923076923072"/>
    <n v="25.805714285714284"/>
    <n v="6.1005314437555365"/>
  </r>
  <r>
    <s v="A3191"/>
    <s v="Data Analytics Course"/>
    <n v="102"/>
    <n v="5229"/>
    <n v="208.55"/>
    <n v="30"/>
    <n v="5"/>
    <n v="4.9000000000000002E-2"/>
    <n v="1065"/>
    <d v="2024-11-15T00:00:00"/>
    <s v="Hyderabad"/>
    <x v="1"/>
    <s v="analytics for data"/>
    <d v="2024-11-15T00:00:00"/>
    <n v="1.9506597819850834E-2"/>
    <n v="2.0446078431372552"/>
    <n v="6.9516666666666671"/>
    <n v="41.71"/>
    <n v="5.1066890433948693"/>
  </r>
  <r>
    <s v="A3192"/>
    <s v="Data Analytics Course"/>
    <n v="199"/>
    <n v="3754"/>
    <n v="220.16"/>
    <n v="26"/>
    <n v="7"/>
    <n v="4.4999999999999998E-2"/>
    <n v="1262"/>
    <d v="2024-11-20T00:00:00"/>
    <s v="Hyderabad"/>
    <x v="2"/>
    <s v="data analytics course"/>
    <d v="2024-11-20T00:00:00"/>
    <n v="5.3010122535961643E-2"/>
    <n v="1.1063316582914573"/>
    <n v="8.4676923076923067"/>
    <n v="31.451428571428572"/>
    <n v="5.732194767441861"/>
  </r>
  <r>
    <s v="A3193"/>
    <s v="Data Analytics Course"/>
    <n v="96"/>
    <n v="4851"/>
    <n v="229.12"/>
    <n v="27"/>
    <n v="6"/>
    <n v="4.5999999999999999E-2"/>
    <n v="1271"/>
    <d v="2024-11-03T00:00:00"/>
    <s v="Hyderabad"/>
    <x v="2"/>
    <s v="data anaytics training"/>
    <d v="2024-11-03T00:00:00"/>
    <n v="1.9789734075448363E-2"/>
    <n v="2.3866666666666667"/>
    <n v="8.4859259259259261"/>
    <n v="38.186666666666667"/>
    <n v="5.5473114525139664"/>
  </r>
  <r>
    <s v="A3194"/>
    <s v="Data Analytics Course"/>
    <n v="107"/>
    <n v="4816"/>
    <n v="243.41"/>
    <n v="20"/>
    <n v="5"/>
    <n v="4.5999999999999999E-2"/>
    <n v="1505"/>
    <d v="2024-11-25T00:00:00"/>
    <s v="Hyderabad"/>
    <x v="2"/>
    <s v="data analytics course"/>
    <d v="2024-11-25T00:00:00"/>
    <n v="2.2217607973421927E-2"/>
    <n v="2.2748598130841122"/>
    <n v="12.170500000000001"/>
    <n v="48.682000000000002"/>
    <n v="6.1829834435725735"/>
  </r>
  <r>
    <s v="A3195"/>
    <s v="Data Analytics Course"/>
    <n v="170"/>
    <n v="5404"/>
    <n v="218.24"/>
    <n v="24"/>
    <n v="5"/>
    <n v="4.5999999999999999E-2"/>
    <n v="1818"/>
    <s v="29-11-2024"/>
    <s v="Hyderabad"/>
    <x v="0"/>
    <s v="data analitics online"/>
    <d v="2024-11-29T00:00:00"/>
    <n v="3.1458179126572908E-2"/>
    <n v="1.2837647058823529"/>
    <n v="9.0933333333333337"/>
    <n v="43.648000000000003"/>
    <n v="8.3302785923753664"/>
  </r>
  <r>
    <s v="A3196"/>
    <s v="Data Analytics Course"/>
    <n v="145"/>
    <n v="3068"/>
    <n v="237.7"/>
    <n v="24"/>
    <n v="7"/>
    <n v="4.5999999999999999E-2"/>
    <n v="1494"/>
    <d v="2024-11-19T00:00:00"/>
    <s v="Hyderabad"/>
    <x v="1"/>
    <s v="data analytics course"/>
    <d v="2024-11-19T00:00:00"/>
    <n v="4.7262059973924381E-2"/>
    <n v="1.6393103448275861"/>
    <n v="9.9041666666666668"/>
    <n v="33.957142857142856"/>
    <n v="6.2852334875893989"/>
  </r>
  <r>
    <s v="A3197"/>
    <s v="Data Analytics Course"/>
    <n v="148"/>
    <n v="5877"/>
    <n v="213.84"/>
    <n v="25"/>
    <n v="8"/>
    <n v="4.5999999999999999E-2"/>
    <n v="1371"/>
    <s v="18-11-2024"/>
    <s v="Hyderabad"/>
    <x v="0"/>
    <s v="learn data analytics"/>
    <d v="2024-11-18T00:00:00"/>
    <n v="2.5182916453973116E-2"/>
    <n v="1.444864864864865"/>
    <n v="8.5535999999999994"/>
    <n v="26.73"/>
    <n v="6.4113355780022445"/>
  </r>
  <r>
    <s v="A3198"/>
    <s v="Data Analytics Course"/>
    <n v="141"/>
    <n v="4188"/>
    <n v="228.12"/>
    <n v="16"/>
    <n v="9"/>
    <n v="4.5999999999999999E-2"/>
    <n v="1204"/>
    <s v="30-11-2024"/>
    <s v="Hyderabad"/>
    <x v="0"/>
    <s v="data analitics online"/>
    <d v="2024-11-30T00:00:00"/>
    <n v="3.36676217765043E-2"/>
    <n v="1.617872340425532"/>
    <n v="14.2575"/>
    <n v="25.346666666666668"/>
    <n v="5.2779238997019116"/>
  </r>
  <r>
    <s v="A3199"/>
    <s v="Data Analytics Course"/>
    <n v="89"/>
    <n v="5676"/>
    <n v="183.58"/>
    <n v="14"/>
    <n v="7"/>
    <n v="4.5999999999999999E-2"/>
    <n v="1254"/>
    <d v="2024-11-16T00:00:00"/>
    <s v="Hyderabad"/>
    <x v="1"/>
    <s v="data analitics online"/>
    <d v="2024-11-16T00:00:00"/>
    <n v="1.5680056377730796E-2"/>
    <n v="2.0626966292134834"/>
    <n v="13.112857142857143"/>
    <n v="26.225714285714286"/>
    <n v="6.8308094563677955"/>
  </r>
  <r>
    <s v="A3200"/>
    <s v="Data Analytics Course"/>
    <n v="140"/>
    <n v="4677"/>
    <n v="223.74"/>
    <n v="20"/>
    <n v="9"/>
    <n v="6.4000000000000001E-2"/>
    <n v="1610"/>
    <d v="2024-11-04T00:00:00"/>
    <s v="Hyderabad"/>
    <x v="1"/>
    <s v="learn data analytics"/>
    <d v="2024-11-04T00:00:00"/>
    <n v="2.9933718195424418E-2"/>
    <n v="1.5981428571428573"/>
    <n v="11.187000000000001"/>
    <n v="24.86"/>
    <n v="7.1958523285956915"/>
  </r>
  <r>
    <s v="A3201"/>
    <s v="Data Analytics Course"/>
    <n v="135"/>
    <n v="3793"/>
    <n v="190.88"/>
    <n v="24"/>
    <n v="9"/>
    <n v="5.2999999999999999E-2"/>
    <n v="1505"/>
    <d v="2024-11-19T00:00:00"/>
    <s v="Hyderabad"/>
    <x v="0"/>
    <s v="data analitics online"/>
    <d v="2024-11-19T00:00:00"/>
    <n v="3.5591879778539413E-2"/>
    <n v="1.4139259259259258"/>
    <n v="7.9533333333333331"/>
    <n v="21.20888888888889"/>
    <n v="7.8845347862531439"/>
  </r>
  <r>
    <s v="A3202"/>
    <s v="Data Analytics Course"/>
    <n v="105"/>
    <n v="3548"/>
    <n v="216.8"/>
    <n v="30"/>
    <n v="7"/>
    <n v="5.3999999999999999E-2"/>
    <n v="1663"/>
    <s v="14-11-2024"/>
    <s v="Hyderabad"/>
    <x v="2"/>
    <s v="learn data analytics"/>
    <d v="2024-11-14T00:00:00"/>
    <n v="2.9594137542277341E-2"/>
    <n v="2.0647619047619048"/>
    <n v="7.2266666666666675"/>
    <n v="30.971428571428572"/>
    <n v="7.6706642066420656"/>
  </r>
  <r>
    <s v="A3203"/>
    <s v="Data Analytics Course"/>
    <n v="119"/>
    <n v="5944"/>
    <n v="225.75"/>
    <n v="24"/>
    <n v="7"/>
    <n v="4.5999999999999999E-2"/>
    <n v="1516"/>
    <s v="13-11-2024"/>
    <s v="Hyderabad"/>
    <x v="2"/>
    <s v="analytics for data"/>
    <d v="2024-11-13T00:00:00"/>
    <n v="2.0020188425302825E-2"/>
    <n v="1.8970588235294117"/>
    <n v="9.40625"/>
    <n v="32.25"/>
    <n v="6.715393133997785"/>
  </r>
  <r>
    <s v="A3204"/>
    <s v="Data Analytics Course"/>
    <n v="128"/>
    <n v="4662"/>
    <n v="187.28"/>
    <n v="23"/>
    <n v="9"/>
    <n v="4.5999999999999999E-2"/>
    <n v="1710"/>
    <d v="2024-11-13T00:00:00"/>
    <s v="Hyderabad"/>
    <x v="0"/>
    <s v="data anaytics training"/>
    <d v="2024-11-13T00:00:00"/>
    <n v="2.7456027456027456E-2"/>
    <n v="1.463125"/>
    <n v="8.1426086956521733"/>
    <n v="20.808888888888887"/>
    <n v="9.1307133703545489"/>
  </r>
  <r>
    <s v="A3205"/>
    <s v="Data Analytics Course"/>
    <n v="120"/>
    <n v="4453"/>
    <n v="240.34"/>
    <n v="23"/>
    <n v="8"/>
    <n v="6.7000000000000004E-2"/>
    <n v="1452"/>
    <d v="2024-11-26T00:00:00"/>
    <s v="Hyderabad"/>
    <x v="2"/>
    <s v="online data analytic"/>
    <d v="2024-11-26T00:00:00"/>
    <n v="2.6948124859645182E-2"/>
    <n v="2.0028333333333332"/>
    <n v="10.449565217391305"/>
    <n v="30.0425"/>
    <n v="6.0414412915037028"/>
  </r>
  <r>
    <s v="A3206"/>
    <s v="Data Analytics Course"/>
    <n v="163"/>
    <n v="5052"/>
    <n v="234.73"/>
    <n v="24"/>
    <n v="6"/>
    <n v="4.5999999999999999E-2"/>
    <n v="1848"/>
    <s v="17-11-2024"/>
    <s v="Hyderabad"/>
    <x v="1"/>
    <s v="online data analytic"/>
    <d v="2024-11-17T00:00:00"/>
    <n v="3.2264449722882026E-2"/>
    <n v="1.4400613496932515"/>
    <n v="9.7804166666666656"/>
    <n v="39.121666666666663"/>
    <n v="7.8728752183359605"/>
  </r>
  <r>
    <s v="A3207"/>
    <s v="Data Analytics Course"/>
    <n v="94"/>
    <n v="4457"/>
    <n v="246.18"/>
    <n v="14"/>
    <n v="6"/>
    <n v="5.2999999999999999E-2"/>
    <n v="1492"/>
    <d v="2024-11-15T00:00:00"/>
    <s v="Hyderabad"/>
    <x v="2"/>
    <s v="data analitics online"/>
    <d v="2024-11-15T00:00:00"/>
    <n v="2.1090419564729637E-2"/>
    <n v="2.6189361702127658"/>
    <n v="17.584285714285716"/>
    <n v="41.03"/>
    <n v="6.0606060606060606"/>
  </r>
  <r>
    <s v="A3208"/>
    <s v="Data Analytics Course"/>
    <n v="139"/>
    <n v="5528"/>
    <n v="185.93"/>
    <n v="21"/>
    <n v="5"/>
    <n v="4.4999999999999998E-2"/>
    <n v="1719"/>
    <s v="15-11-2024"/>
    <s v="Hyderabad"/>
    <x v="1"/>
    <s v="data anaytics training"/>
    <d v="2024-11-15T00:00:00"/>
    <n v="2.5144717800289436E-2"/>
    <n v="1.3376258992805756"/>
    <n v="8.8538095238095238"/>
    <n v="37.186"/>
    <n v="9.2454149411068673"/>
  </r>
  <r>
    <s v="A3209"/>
    <s v="Data Analytics Course"/>
    <n v="146"/>
    <n v="4474"/>
    <n v="190.94"/>
    <n v="18"/>
    <n v="10"/>
    <n v="4.5999999999999999E-2"/>
    <n v="1872"/>
    <d v="2024-11-07T00:00:00"/>
    <s v="Hyderabad"/>
    <x v="2"/>
    <s v="data analitics online"/>
    <d v="2024-11-07T00:00:00"/>
    <n v="3.2632990612427359E-2"/>
    <n v="1.3078082191780822"/>
    <n v="10.607777777777777"/>
    <n v="19.094000000000001"/>
    <n v="9.8041269508746201"/>
  </r>
  <r>
    <s v="A3210"/>
    <s v="Data Analytics Course"/>
    <n v="193"/>
    <n v="5129"/>
    <n v="243.78"/>
    <n v="13"/>
    <n v="10"/>
    <n v="5.1999999999999998E-2"/>
    <n v="1583"/>
    <d v="2024-11-06T00:00:00"/>
    <s v="Hyderabad"/>
    <x v="2"/>
    <s v="data analytics course"/>
    <d v="2024-11-06T00:00:00"/>
    <n v="3.762916747904075E-2"/>
    <n v="1.2631088082901554"/>
    <n v="18.752307692307692"/>
    <n v="24.378"/>
    <n v="6.4935597670030356"/>
  </r>
  <r>
    <s v="A3211"/>
    <s v="Data Analytics Course"/>
    <n v="96"/>
    <n v="5210"/>
    <n v="223.05"/>
    <n v="10"/>
    <n v="8"/>
    <n v="8.3000000000000004E-2"/>
    <n v="1483"/>
    <d v="2024-11-29T00:00:00"/>
    <s v="Hyderabad"/>
    <x v="2"/>
    <s v="online data analytic"/>
    <d v="2024-11-29T00:00:00"/>
    <n v="1.8426103646833013E-2"/>
    <n v="2.3234375000000003"/>
    <n v="22.305"/>
    <n v="27.881250000000001"/>
    <n v="6.648733467832324"/>
  </r>
  <r>
    <s v="A3212"/>
    <s v="Data Analytics Course"/>
    <n v="150"/>
    <n v="3456"/>
    <n v="242.22"/>
    <n v="16"/>
    <n v="7"/>
    <n v="4.7E-2"/>
    <n v="1215"/>
    <d v="2024-11-02T00:00:00"/>
    <s v="Hyderabad"/>
    <x v="0"/>
    <s v="data anaytics training"/>
    <d v="2024-11-02T00:00:00"/>
    <n v="4.3402777777777776E-2"/>
    <n v="1.6148"/>
    <n v="15.13875"/>
    <n v="34.60285714285714"/>
    <n v="5.016101065147387"/>
  </r>
  <r>
    <s v="A3213"/>
    <s v="Data Analytics Course"/>
    <n v="130"/>
    <n v="4109"/>
    <n v="207.1"/>
    <n v="19"/>
    <n v="6"/>
    <n v="4.5999999999999999E-2"/>
    <n v="1521"/>
    <d v="2024-11-16T00:00:00"/>
    <s v="Hyderabad"/>
    <x v="1"/>
    <s v="learn data analytics"/>
    <d v="2024-11-16T00:00:00"/>
    <n v="3.1637868094426869E-2"/>
    <n v="1.5930769230769231"/>
    <n v="10.9"/>
    <n v="34.516666666666666"/>
    <n v="7.3442781265089332"/>
  </r>
  <r>
    <s v="A3214"/>
    <s v="Data Analytics Course"/>
    <n v="99"/>
    <n v="3522"/>
    <n v="210.01"/>
    <n v="28"/>
    <n v="9"/>
    <n v="3.4000000000000002E-2"/>
    <n v="1932"/>
    <d v="2024-11-23T00:00:00"/>
    <s v="Hyderabad"/>
    <x v="1"/>
    <s v="analytics for data"/>
    <d v="2024-11-23T00:00:00"/>
    <n v="2.8109028960817718E-2"/>
    <n v="2.1213131313131313"/>
    <n v="7.5003571428571423"/>
    <n v="23.334444444444443"/>
    <n v="9.1995619256225893"/>
  </r>
  <r>
    <s v="A3215"/>
    <s v="Data Analytics Course"/>
    <n v="143"/>
    <n v="3600"/>
    <n v="238.14"/>
    <n v="26"/>
    <n v="7"/>
    <n v="4.9000000000000002E-2"/>
    <n v="1891"/>
    <d v="2024-11-09T00:00:00"/>
    <s v="Hyderabad"/>
    <x v="2"/>
    <s v="analytics for data"/>
    <d v="2024-11-09T00:00:00"/>
    <n v="3.9722222222222221E-2"/>
    <n v="1.6653146853146852"/>
    <n v="9.1592307692307688"/>
    <n v="34.019999999999996"/>
    <n v="7.9407071470563535"/>
  </r>
  <r>
    <s v="A3216"/>
    <s v="Data Analytics Course"/>
    <n v="116"/>
    <n v="3026"/>
    <n v="209.03"/>
    <n v="24"/>
    <n v="9"/>
    <n v="4.5999999999999999E-2"/>
    <n v="1819"/>
    <d v="2024-10-11T00:00:00"/>
    <s v="Hyderabad"/>
    <x v="0"/>
    <s v="data analitics online"/>
    <d v="2024-10-11T00:00:00"/>
    <n v="3.8334434897554524E-2"/>
    <n v="1.8019827586206896"/>
    <n v="8.7095833333333328"/>
    <n v="23.225555555555555"/>
    <n v="8.7021001770080844"/>
  </r>
  <r>
    <s v="A3217"/>
    <s v="Data Analytics Course"/>
    <n v="120"/>
    <n v="4518.5"/>
    <n v="214.76"/>
    <n v="29"/>
    <n v="5"/>
    <n v="4.2000000000000003E-2"/>
    <n v="1926"/>
    <d v="2024-11-30T00:00:00"/>
    <s v="Hyderabad"/>
    <x v="1"/>
    <s v="data anaytics training"/>
    <d v="2024-11-30T00:00:00"/>
    <n v="2.6557485891335619E-2"/>
    <n v="1.7896666666666665"/>
    <n v="7.40551724137931"/>
    <n v="42.951999999999998"/>
    <n v="8.9681504935742229"/>
  </r>
  <r>
    <s v="A3218"/>
    <s v="Data Analytics Course"/>
    <n v="115"/>
    <n v="4857"/>
    <n v="195.05"/>
    <n v="29"/>
    <n v="9"/>
    <n v="7.8E-2"/>
    <n v="1644"/>
    <d v="2024-11-17T00:00:00"/>
    <s v="Hyderabad"/>
    <x v="0"/>
    <s v="data anaytics training"/>
    <d v="2024-11-17T00:00:00"/>
    <n v="2.3677166975499278E-2"/>
    <n v="1.6960869565217391"/>
    <n v="6.725862068965518"/>
    <n v="21.672222222222224"/>
    <n v="8.4286080492181483"/>
  </r>
  <r>
    <s v="A3219"/>
    <s v="Data Analytics Course"/>
    <n v="175"/>
    <n v="5915"/>
    <n v="223.39"/>
    <n v="23"/>
    <n v="8"/>
    <n v="4.2000000000000003E-2"/>
    <n v="1595"/>
    <d v="2024-11-08T00:00:00"/>
    <s v="Hyderabad"/>
    <x v="2"/>
    <s v="learn data analytics"/>
    <d v="2024-11-08T00:00:00"/>
    <n v="2.9585798816568046E-2"/>
    <n v="1.2765142857142857"/>
    <n v="9.7126086956521736"/>
    <n v="27.923749999999998"/>
    <n v="7.1399794082098573"/>
  </r>
  <r>
    <s v="A3220"/>
    <s v="Data Analytics Course"/>
    <n v="100"/>
    <n v="3948"/>
    <n v="230.56"/>
    <n v="30"/>
    <n v="6"/>
    <n v="4.5999999999999999E-2"/>
    <n v="1234"/>
    <d v="2024-11-12T00:00:00"/>
    <s v="Hyderabad"/>
    <x v="2"/>
    <s v="analytics for data"/>
    <d v="2024-11-12T00:00:00"/>
    <n v="2.5329280648429583E-2"/>
    <n v="2.3056000000000001"/>
    <n v="7.6853333333333333"/>
    <n v="38.426666666666669"/>
    <n v="5.3521859819569739"/>
  </r>
  <r>
    <s v="A3221"/>
    <s v="Data Analytics Course"/>
    <n v="114"/>
    <n v="5446"/>
    <n v="207.62"/>
    <n v="11"/>
    <n v="8"/>
    <n v="4.5999999999999999E-2"/>
    <n v="1355"/>
    <d v="2024-11-12T00:00:00"/>
    <s v="Hyderabad"/>
    <x v="1"/>
    <s v="data analitics online"/>
    <d v="2024-11-12T00:00:00"/>
    <n v="2.0932794711715021E-2"/>
    <n v="1.8212280701754386"/>
    <n v="18.874545454545455"/>
    <n v="25.952500000000001"/>
    <n v="6.5263462094210576"/>
  </r>
  <r>
    <s v="A3222"/>
    <s v="Data Analytics Course"/>
    <n v="109"/>
    <n v="5388"/>
    <n v="205.68"/>
    <n v="22"/>
    <n v="6"/>
    <n v="5.5E-2"/>
    <n v="1339"/>
    <s v="19-11-2024"/>
    <s v="Hyderabad"/>
    <x v="0"/>
    <s v="data anaytics training"/>
    <d v="2024-11-19T00:00:00"/>
    <n v="2.0230141054194507E-2"/>
    <n v="1.8869724770642202"/>
    <n v="9.3490909090909096"/>
    <n v="34.28"/>
    <n v="6.5101127965772072"/>
  </r>
  <r>
    <s v="A3223"/>
    <s v="Data Analytics Course"/>
    <n v="154"/>
    <n v="5138"/>
    <n v="194.15"/>
    <n v="17"/>
    <n v="7"/>
    <n v="4.4999999999999998E-2"/>
    <n v="1295"/>
    <d v="2024-11-17T00:00:00"/>
    <s v="Hyderabad"/>
    <x v="1"/>
    <s v="data analytics course"/>
    <d v="2024-11-17T00:00:00"/>
    <n v="2.9972752043596729E-2"/>
    <n v="1.2607142857142857"/>
    <n v="11.420588235294119"/>
    <n v="27.735714285714288"/>
    <n v="6.6701004378058197"/>
  </r>
  <r>
    <s v="A3224"/>
    <s v="Data Analytics Course"/>
    <n v="199"/>
    <n v="3534"/>
    <n v="238.67"/>
    <n v="24"/>
    <n v="5"/>
    <n v="2.5000000000000001E-2"/>
    <n v="1776"/>
    <d v="2024-11-21T00:00:00"/>
    <s v="Hyderabad"/>
    <x v="1"/>
    <s v="data anaytics training"/>
    <d v="2024-11-21T00:00:00"/>
    <n v="5.6310130164119974E-2"/>
    <n v="1.1993467336683417"/>
    <n v="9.9445833333333322"/>
    <n v="47.733999999999995"/>
    <n v="7.44123685423388"/>
  </r>
  <r>
    <s v="A3225"/>
    <s v="Data Analytics Course"/>
    <n v="98"/>
    <n v="4302"/>
    <n v="183.4"/>
    <n v="16"/>
    <n v="9"/>
    <n v="9.1999999999999998E-2"/>
    <n v="1765"/>
    <d v="2024-11-19T00:00:00"/>
    <s v="Hyderabad"/>
    <x v="0"/>
    <s v="data analytics course"/>
    <d v="2024-11-19T00:00:00"/>
    <n v="2.2780102278010229E-2"/>
    <n v="1.8714285714285714"/>
    <n v="11.4625"/>
    <n v="20.37777777777778"/>
    <n v="9.6237731733914931"/>
  </r>
  <r>
    <s v="A3226"/>
    <s v="Data Analytics Course"/>
    <n v="196"/>
    <n v="4367"/>
    <n v="238.44"/>
    <n v="20"/>
    <n v="7"/>
    <n v="4.5999999999999999E-2"/>
    <n v="1931"/>
    <s v="27-11-2024"/>
    <s v="Hyderabad"/>
    <x v="0"/>
    <s v="data analitics online"/>
    <d v="2024-11-27T00:00:00"/>
    <n v="4.4882070070986949E-2"/>
    <n v="1.216530612244898"/>
    <n v="11.922000000000001"/>
    <n v="34.062857142857141"/>
    <n v="8.0984734105015939"/>
  </r>
  <r>
    <s v="A3227"/>
    <s v="Data Analytics Course"/>
    <n v="81"/>
    <n v="3721"/>
    <n v="222.89"/>
    <n v="17"/>
    <n v="4"/>
    <n v="4.5999999999999999E-2"/>
    <n v="1690"/>
    <d v="2024-11-15T00:00:00"/>
    <s v="Hyderabad"/>
    <x v="0"/>
    <s v="data analytics course"/>
    <d v="2024-11-15T00:00:00"/>
    <n v="2.1768341843590434E-2"/>
    <n v="2.7517283950617282"/>
    <n v="13.111176470588234"/>
    <n v="55.722499999999997"/>
    <n v="7.5822154425950021"/>
  </r>
  <r>
    <s v="A3228"/>
    <s v="Data Analytics Course"/>
    <n v="150"/>
    <n v="4351"/>
    <n v="203.7"/>
    <n v="26"/>
    <n v="8"/>
    <n v="4.5999999999999999E-2"/>
    <n v="1765"/>
    <d v="2024-11-18T00:00:00"/>
    <s v="Hyderabad"/>
    <x v="0"/>
    <s v="data anaytics training"/>
    <d v="2024-11-18T00:00:00"/>
    <n v="3.4474833371638702E-2"/>
    <n v="1.3579999999999999"/>
    <n v="7.8346153846153843"/>
    <n v="25.462499999999999"/>
    <n v="8.664702994599903"/>
  </r>
  <r>
    <s v="A3229"/>
    <s v="Data Analytics Course"/>
    <n v="121"/>
    <n v="3122"/>
    <n v="237.57"/>
    <n v="29"/>
    <n v="6"/>
    <n v="0.05"/>
    <n v="1796"/>
    <d v="2024-07-11T00:00:00"/>
    <s v="Hyderabad"/>
    <x v="1"/>
    <s v="learn data analytics"/>
    <d v="2024-07-11T00:00:00"/>
    <n v="3.8757206918641894E-2"/>
    <n v="1.9633884297520661"/>
    <n v="8.1920689655172403"/>
    <n v="39.594999999999999"/>
    <n v="7.5598770888580207"/>
  </r>
  <r>
    <s v="A3230"/>
    <s v="Data Analytics Course"/>
    <n v="124"/>
    <n v="3924"/>
    <n v="188.66"/>
    <n v="24"/>
    <n v="6"/>
    <n v="4.1000000000000002E-2"/>
    <n v="1472"/>
    <d v="2024-11-04T00:00:00"/>
    <s v="Hyderabad"/>
    <x v="2"/>
    <s v="data anaytics training"/>
    <d v="2024-11-04T00:00:00"/>
    <n v="3.1600407747196739E-2"/>
    <n v="1.5214516129032258"/>
    <n v="7.8608333333333329"/>
    <n v="31.443333333333332"/>
    <n v="7.8023958443761261"/>
  </r>
  <r>
    <s v="A3231"/>
    <s v="Data Analytics Course"/>
    <n v="108"/>
    <n v="4126"/>
    <n v="219.33"/>
    <n v="22"/>
    <n v="3"/>
    <n v="2.8000000000000001E-2"/>
    <n v="1275"/>
    <d v="2024-11-29T00:00:00"/>
    <s v="Hyderabad"/>
    <x v="1"/>
    <s v="data analytics course"/>
    <d v="2024-11-29T00:00:00"/>
    <n v="2.6175472612699952E-2"/>
    <n v="2.0308333333333333"/>
    <n v="9.9695454545454556"/>
    <n v="73.11"/>
    <n v="5.8131582546847209"/>
  </r>
  <r>
    <s v="A3232"/>
    <s v="Data Analytics Course"/>
    <n v="192"/>
    <n v="3499"/>
    <n v="237.83"/>
    <n v="20"/>
    <n v="10"/>
    <n v="4.2999999999999997E-2"/>
    <n v="1505"/>
    <d v="2024-11-12T00:00:00"/>
    <s v="Hyderabad"/>
    <x v="2"/>
    <s v="analytics for data"/>
    <d v="2024-11-12T00:00:00"/>
    <n v="5.4872820805944557E-2"/>
    <n v="1.2386979166666667"/>
    <n v="11.891500000000001"/>
    <n v="23.783000000000001"/>
    <n v="6.3280494470840516"/>
  </r>
  <r>
    <s v="A3233"/>
    <s v="Data Analytics Course"/>
    <n v="178"/>
    <n v="3708"/>
    <n v="192.77"/>
    <n v="20"/>
    <n v="10"/>
    <n v="5.6000000000000001E-2"/>
    <n v="1292"/>
    <s v="16-11-2024"/>
    <s v="Hyderabad"/>
    <x v="2"/>
    <s v="data analitics online"/>
    <d v="2024-11-16T00:00:00"/>
    <n v="4.8004314994606258E-2"/>
    <n v="1.0829775280898877"/>
    <n v="9.6385000000000005"/>
    <n v="19.277000000000001"/>
    <n v="6.7022877003683146"/>
  </r>
  <r>
    <s v="A3234"/>
    <s v="Data Analytics Course"/>
    <n v="191"/>
    <n v="3302"/>
    <n v="207.75"/>
    <n v="18"/>
    <n v="9"/>
    <n v="4.7E-2"/>
    <n v="1505"/>
    <s v="26-11-2024"/>
    <s v="Hyderabad"/>
    <x v="1"/>
    <s v="learn data analytics"/>
    <d v="2024-11-26T00:00:00"/>
    <n v="5.7843731072077527E-2"/>
    <n v="1.087696335078534"/>
    <n v="11.541666666666666"/>
    <n v="23.083333333333332"/>
    <n v="7.2442839951865219"/>
  </r>
  <r>
    <s v="A3235"/>
    <s v="Data Analytics Course"/>
    <n v="147"/>
    <n v="3131"/>
    <n v="242.53"/>
    <n v="10"/>
    <n v="4"/>
    <n v="4.5999999999999999E-2"/>
    <n v="1231"/>
    <d v="2024-11-18T00:00:00"/>
    <s v="Hyderabad"/>
    <x v="0"/>
    <s v="data analytics course"/>
    <d v="2024-11-18T00:00:00"/>
    <n v="4.6949856275950178E-2"/>
    <n v="1.6498639455782314"/>
    <n v="24.253"/>
    <n v="60.6325"/>
    <n v="5.0756607430008662"/>
  </r>
  <r>
    <s v="A3236"/>
    <s v="Data Analytics Course"/>
    <n v="88"/>
    <n v="5145"/>
    <n v="242.9"/>
    <n v="16"/>
    <n v="10"/>
    <n v="4.2999999999999997E-2"/>
    <n v="1963"/>
    <d v="2024-11-14T00:00:00"/>
    <s v="Hyderabad"/>
    <x v="2"/>
    <s v="analytics for data"/>
    <d v="2024-11-14T00:00:00"/>
    <n v="1.7103984450923225E-2"/>
    <n v="2.7602272727272728"/>
    <n v="15.18125"/>
    <n v="24.29"/>
    <n v="8.081515026759984"/>
  </r>
  <r>
    <s v="A3237"/>
    <s v="Data Analytics Course"/>
    <n v="92"/>
    <n v="5241"/>
    <n v="223.48"/>
    <n v="23"/>
    <n v="9"/>
    <n v="4.5999999999999999E-2"/>
    <n v="1050"/>
    <d v="2024-11-18T00:00:00"/>
    <s v="Hyderabad"/>
    <x v="0"/>
    <s v="data analitics online"/>
    <d v="2024-11-18T00:00:00"/>
    <n v="1.7553901927113147E-2"/>
    <n v="2.4291304347826084"/>
    <n v="9.7165217391304335"/>
    <n v="24.83111111111111"/>
    <n v="4.6984070162878115"/>
  </r>
  <r>
    <s v="A3238"/>
    <s v="Data Analytics Course"/>
    <n v="148"/>
    <n v="4149"/>
    <n v="223.33"/>
    <n v="30"/>
    <n v="6"/>
    <n v="4.1000000000000002E-2"/>
    <n v="1318"/>
    <d v="2024-11-08T00:00:00"/>
    <s v="Hyderabad"/>
    <x v="2"/>
    <s v="data analytics course"/>
    <d v="2024-11-08T00:00:00"/>
    <n v="3.5671246083393587E-2"/>
    <n v="1.5089864864864866"/>
    <n v="7.4443333333333337"/>
    <n v="37.221666666666671"/>
    <n v="5.9015806206062775"/>
  </r>
  <r>
    <s v="A3239"/>
    <s v="Data Analytics Course"/>
    <n v="127"/>
    <n v="3791"/>
    <n v="231.06"/>
    <n v="11"/>
    <n v="6"/>
    <n v="4.5999999999999999E-2"/>
    <n v="1351"/>
    <d v="2024-03-11T00:00:00"/>
    <s v="Hyderabad"/>
    <x v="0"/>
    <s v="online data analytic"/>
    <d v="2024-03-11T00:00:00"/>
    <n v="3.350039567396465E-2"/>
    <n v="1.8193700787401574"/>
    <n v="21.005454545454544"/>
    <n v="38.51"/>
    <n v="5.8469661559768022"/>
  </r>
  <r>
    <s v="A3240"/>
    <s v="Data Analytics Course"/>
    <n v="156"/>
    <n v="4375"/>
    <n v="249.33"/>
    <n v="26"/>
    <n v="6"/>
    <n v="3.7999999999999999E-2"/>
    <n v="1663"/>
    <s v="15-11-2024"/>
    <s v="Hyderabad"/>
    <x v="2"/>
    <s v="data analytics course"/>
    <d v="2024-11-15T00:00:00"/>
    <n v="3.5657142857142859E-2"/>
    <n v="1.5982692307692308"/>
    <n v="9.5896153846153851"/>
    <n v="41.555"/>
    <n v="6.6698752657121085"/>
  </r>
  <r>
    <s v="A3241"/>
    <s v="Data Analytics Course"/>
    <n v="176"/>
    <n v="3753"/>
    <n v="201.76"/>
    <n v="11"/>
    <n v="4"/>
    <n v="2.3E-2"/>
    <n v="1070"/>
    <d v="2024-11-07T00:00:00"/>
    <s v="Hyderabad"/>
    <x v="1"/>
    <s v="data anaytics training"/>
    <d v="2024-11-07T00:00:00"/>
    <n v="4.6895816679989343E-2"/>
    <n v="1.1463636363636363"/>
    <n v="18.34181818181818"/>
    <n v="50.44"/>
    <n v="5.3033306899286279"/>
  </r>
  <r>
    <s v="A3242"/>
    <s v="Data Analytics Course"/>
    <n v="145"/>
    <n v="4275"/>
    <n v="185.05"/>
    <n v="25"/>
    <n v="7"/>
    <n v="3.5999999999999997E-2"/>
    <n v="1574"/>
    <d v="2024-09-11T00:00:00"/>
    <s v="Hyderabad"/>
    <x v="0"/>
    <s v="data anaytics training"/>
    <d v="2024-09-11T00:00:00"/>
    <n v="3.3918128654970757E-2"/>
    <n v="1.2762068965517241"/>
    <n v="7.4020000000000001"/>
    <n v="26.435714285714287"/>
    <n v="8.5058092407457444"/>
  </r>
  <r>
    <s v="A3243"/>
    <s v="Data Analytics Course"/>
    <n v="136"/>
    <n v="4332"/>
    <n v="234.52"/>
    <n v="19"/>
    <n v="6"/>
    <n v="4.2999999999999997E-2"/>
    <n v="1162"/>
    <d v="2024-11-18T00:00:00"/>
    <s v="Hyderabad"/>
    <x v="0"/>
    <s v="learn data analytics"/>
    <d v="2024-11-18T00:00:00"/>
    <n v="3.139427516158818E-2"/>
    <n v="1.7244117647058825"/>
    <n v="12.343157894736843"/>
    <n v="39.086666666666666"/>
    <n v="4.9548012962647103"/>
  </r>
  <r>
    <s v="A3244"/>
    <s v="Data Analytics Course"/>
    <n v="150"/>
    <n v="4001"/>
    <n v="219.1"/>
    <n v="25"/>
    <n v="6"/>
    <n v="4.5999999999999999E-2"/>
    <n v="1365"/>
    <d v="2024-11-09T00:00:00"/>
    <s v="Hyderabad"/>
    <x v="2"/>
    <s v="online data analytic"/>
    <d v="2024-11-09T00:00:00"/>
    <n v="3.7490627343164211E-2"/>
    <n v="1.4606666666666666"/>
    <n v="8.7639999999999993"/>
    <n v="36.516666666666666"/>
    <n v="6.2300319488817895"/>
  </r>
  <r>
    <s v="A3245"/>
    <s v="Data Analytics Course"/>
    <n v="145"/>
    <n v="4436"/>
    <n v="190.63"/>
    <n v="13"/>
    <n v="10"/>
    <n v="6.9000000000000006E-2"/>
    <n v="1502"/>
    <d v="2024-11-21T00:00:00"/>
    <s v="Hyderabad"/>
    <x v="2"/>
    <s v="data analytics course"/>
    <d v="2024-11-21T00:00:00"/>
    <n v="3.2687105500450855E-2"/>
    <n v="1.3146896551724137"/>
    <n v="14.663846153846153"/>
    <n v="19.062999999999999"/>
    <n v="7.8791375963909145"/>
  </r>
  <r>
    <s v="A3246"/>
    <s v="Data Analytics Course"/>
    <n v="165"/>
    <n v="5661"/>
    <n v="215.57"/>
    <n v="28"/>
    <n v="6"/>
    <n v="3.5999999999999997E-2"/>
    <n v="1848"/>
    <d v="2024-11-02T00:00:00"/>
    <s v="Hyderabad"/>
    <x v="0"/>
    <s v="data analitics online"/>
    <d v="2024-11-02T00:00:00"/>
    <n v="2.9146793852676205E-2"/>
    <n v="1.3064848484848484"/>
    <n v="7.6989285714285716"/>
    <n v="35.928333333333335"/>
    <n v="8.5726214222758266"/>
  </r>
  <r>
    <s v="A3247"/>
    <s v="Data Analytics Course"/>
    <n v="183"/>
    <n v="5746"/>
    <n v="248.15"/>
    <n v="14"/>
    <n v="5"/>
    <n v="5.2999999999999999E-2"/>
    <n v="1012"/>
    <s v="25-11-2024"/>
    <s v="Hyderabad"/>
    <x v="2"/>
    <s v="data analytics course"/>
    <d v="2024-11-25T00:00:00"/>
    <n v="3.1848242255482072E-2"/>
    <n v="1.3560109289617486"/>
    <n v="17.725000000000001"/>
    <n v="49.63"/>
    <n v="4.078178521055813"/>
  </r>
  <r>
    <s v="A3248"/>
    <s v="Data Analytics Course"/>
    <n v="176"/>
    <n v="3906"/>
    <n v="214"/>
    <n v="29"/>
    <n v="4"/>
    <n v="3.6999999999999998E-2"/>
    <n v="1382"/>
    <s v="25-11-2024"/>
    <s v="Hyderabad"/>
    <x v="2"/>
    <s v="online data analytic"/>
    <d v="2024-11-25T00:00:00"/>
    <n v="4.5058883768561188E-2"/>
    <n v="1.2159090909090908"/>
    <n v="7.3793103448275863"/>
    <n v="53.5"/>
    <n v="6.4579439252336446"/>
  </r>
  <r>
    <s v="A3249"/>
    <s v="Data Analytics Course"/>
    <n v="164"/>
    <n v="5127"/>
    <n v="194.76"/>
    <n v="20"/>
    <n v="5"/>
    <n v="4.5999999999999999E-2"/>
    <n v="1505"/>
    <d v="2024-11-12T00:00:00"/>
    <s v="Hyderabad"/>
    <x v="2"/>
    <s v="analytics for data"/>
    <d v="2024-11-12T00:00:00"/>
    <n v="3.198751706651063E-2"/>
    <n v="1.187560975609756"/>
    <n v="9.7379999999999995"/>
    <n v="38.951999999999998"/>
    <n v="7.7274594372561101"/>
  </r>
  <r>
    <s v="A3250"/>
    <s v="Data Analytics Course"/>
    <n v="139"/>
    <n v="4093"/>
    <n v="230.81"/>
    <n v="15"/>
    <n v="6"/>
    <n v="4.5999999999999999E-2"/>
    <n v="1713"/>
    <d v="2024-02-11T00:00:00"/>
    <s v="Hyderabad"/>
    <x v="0"/>
    <s v="data analytics course"/>
    <d v="2024-02-11T00:00:00"/>
    <n v="3.3960420229660393E-2"/>
    <n v="1.6605035971223021"/>
    <n v="15.387333333333334"/>
    <n v="38.468333333333334"/>
    <n v="7.4216888349724881"/>
  </r>
  <r>
    <s v="A3251"/>
    <s v="Data Analytics Course"/>
    <n v="95"/>
    <n v="4933"/>
    <n v="220.04"/>
    <n v="15"/>
    <n v="3"/>
    <n v="4.5999999999999999E-2"/>
    <n v="1366"/>
    <d v="2024-11-04T00:00:00"/>
    <s v="Hyderabad"/>
    <x v="1"/>
    <s v="data anaytics training"/>
    <d v="2024-11-04T00:00:00"/>
    <n v="1.9258057976890331E-2"/>
    <n v="2.3162105263157895"/>
    <n v="14.669333333333332"/>
    <n v="73.346666666666664"/>
    <n v="6.2079621886929655"/>
  </r>
  <r>
    <s v="A3252"/>
    <s v="Data Analytics Course"/>
    <n v="83"/>
    <n v="5180"/>
    <n v="209.62"/>
    <n v="30"/>
    <n v="4"/>
    <n v="4.5999999999999999E-2"/>
    <n v="1972"/>
    <d v="2024-11-13T00:00:00"/>
    <s v="Hyderabad"/>
    <x v="0"/>
    <s v="analytics for data"/>
    <d v="2024-11-13T00:00:00"/>
    <n v="1.6023166023166023E-2"/>
    <n v="2.5255421686746988"/>
    <n v="6.9873333333333338"/>
    <n v="52.405000000000001"/>
    <n v="9.4074992844194263"/>
  </r>
  <r>
    <s v="A3253"/>
    <s v="Data Analytics Course"/>
    <n v="91"/>
    <n v="4988"/>
    <n v="217.34"/>
    <n v="10"/>
    <n v="10"/>
    <n v="0.11"/>
    <n v="1508"/>
    <s v="29-11-2024"/>
    <s v="Hyderabad"/>
    <x v="1"/>
    <s v="learn data analytics"/>
    <d v="2024-11-29T00:00:00"/>
    <n v="1.8243785084202085E-2"/>
    <n v="2.3883516483516485"/>
    <n v="21.734000000000002"/>
    <n v="21.734000000000002"/>
    <n v="6.9384374712432129"/>
  </r>
  <r>
    <s v="A3254"/>
    <s v="Data Analytics Course"/>
    <n v="107"/>
    <n v="5510"/>
    <n v="216.1"/>
    <n v="14"/>
    <n v="8"/>
    <n v="7.4999999999999997E-2"/>
    <n v="1857"/>
    <s v="19-11-2024"/>
    <s v="Hyderabad"/>
    <x v="1"/>
    <s v="online data analytic"/>
    <d v="2024-11-19T00:00:00"/>
    <n v="1.9419237749546278E-2"/>
    <n v="2.0196261682242991"/>
    <n v="15.435714285714285"/>
    <n v="27.012499999999999"/>
    <n v="8.5932438685793624"/>
  </r>
  <r>
    <s v="A3255"/>
    <s v="Data Analytics Course"/>
    <n v="83"/>
    <n v="3187"/>
    <n v="215.57"/>
    <n v="25"/>
    <n v="10"/>
    <n v="3.4000000000000002E-2"/>
    <n v="1571"/>
    <d v="2024-11-07T00:00:00"/>
    <s v="Hyderabad"/>
    <x v="1"/>
    <s v="learn data analytics"/>
    <d v="2024-11-07T00:00:00"/>
    <n v="2.6043300909946658E-2"/>
    <n v="2.5972289156626505"/>
    <n v="8.6227999999999998"/>
    <n v="21.556999999999999"/>
    <n v="7.2876559818156519"/>
  </r>
  <r>
    <s v="A3256"/>
    <s v="Data Analytics Course"/>
    <n v="166"/>
    <n v="3788"/>
    <n v="238.56"/>
    <n v="18"/>
    <n v="8"/>
    <n v="4.8000000000000001E-2"/>
    <n v="1657"/>
    <d v="2024-06-11T00:00:00"/>
    <s v="Hyderabad"/>
    <x v="1"/>
    <s v="learn data analytics"/>
    <d v="2024-06-11T00:00:00"/>
    <n v="4.3822597676874339E-2"/>
    <n v="1.4371084337349398"/>
    <n v="13.253333333333334"/>
    <n v="29.82"/>
    <n v="6.9458417169684772"/>
  </r>
  <r>
    <s v="A3257"/>
    <s v="Data Analytics Course"/>
    <n v="182"/>
    <n v="4575"/>
    <n v="233.74"/>
    <n v="24"/>
    <n v="10"/>
    <n v="4.5999999999999999E-2"/>
    <n v="1844"/>
    <d v="2024-11-13T00:00:00"/>
    <s v="Hyderabad"/>
    <x v="1"/>
    <s v="learn data analytics"/>
    <d v="2024-11-13T00:00:00"/>
    <n v="3.9781420765027324E-2"/>
    <n v="1.2842857142857143"/>
    <n v="9.7391666666666676"/>
    <n v="23.374000000000002"/>
    <n v="7.8891075554034398"/>
  </r>
  <r>
    <s v="A3258"/>
    <s v="Data Analytics Course"/>
    <n v="188"/>
    <n v="4382"/>
    <n v="249.5"/>
    <n v="12"/>
    <n v="9"/>
    <n v="4.9000000000000002E-2"/>
    <n v="1746"/>
    <s v="13-11-2024"/>
    <s v="Hyderabad"/>
    <x v="0"/>
    <s v="analytics for data"/>
    <d v="2024-11-13T00:00:00"/>
    <n v="4.2902784116841626E-2"/>
    <n v="1.3271276595744681"/>
    <n v="20.791666666666668"/>
    <n v="27.722222222222221"/>
    <n v="6.9979959919839683"/>
  </r>
  <r>
    <s v="A3259"/>
    <s v="Data Analytics Course"/>
    <n v="107"/>
    <n v="4605"/>
    <n v="230.74"/>
    <n v="17"/>
    <n v="7"/>
    <n v="4.5999999999999999E-2"/>
    <n v="1590"/>
    <d v="2024-11-18T00:00:00"/>
    <s v="Hyderabad"/>
    <x v="2"/>
    <s v="online data analytic"/>
    <d v="2024-11-18T00:00:00"/>
    <n v="2.3235613463626494E-2"/>
    <n v="2.156448598130841"/>
    <n v="13.572941176470589"/>
    <n v="32.962857142857146"/>
    <n v="6.8908728438935594"/>
  </r>
  <r>
    <s v="A3260"/>
    <s v="Data Analytics Course"/>
    <n v="169"/>
    <n v="4857"/>
    <n v="194.79"/>
    <n v="18"/>
    <n v="7"/>
    <n v="4.1000000000000002E-2"/>
    <n v="1391"/>
    <d v="2024-11-22T00:00:00"/>
    <s v="Hyderabad"/>
    <x v="1"/>
    <s v="data analitics online"/>
    <d v="2024-11-22T00:00:00"/>
    <n v="3.4795141033559809E-2"/>
    <n v="1.152603550295858"/>
    <n v="10.821666666666665"/>
    <n v="27.827142857142857"/>
    <n v="7.1410236665126545"/>
  </r>
  <r>
    <s v="A3261"/>
    <s v="Data Analytics Course"/>
    <n v="165"/>
    <n v="3150"/>
    <n v="190.3"/>
    <n v="18"/>
    <n v="3"/>
    <n v="1.7999999999999999E-2"/>
    <n v="1129"/>
    <d v="2024-11-18T00:00:00"/>
    <s v="Hyderabad"/>
    <x v="0"/>
    <s v="data anaytics training"/>
    <d v="2024-11-18T00:00:00"/>
    <n v="5.2380952380952382E-2"/>
    <n v="1.1533333333333333"/>
    <n v="10.572222222222223"/>
    <n v="63.433333333333337"/>
    <n v="5.9327377824487648"/>
  </r>
  <r>
    <s v="A3262"/>
    <s v="Data Analytics Course"/>
    <n v="137"/>
    <n v="4630"/>
    <n v="201.14"/>
    <n v="10"/>
    <n v="4"/>
    <n v="2.9000000000000001E-2"/>
    <n v="1680"/>
    <s v="27-11-2024"/>
    <s v="Hyderabad"/>
    <x v="2"/>
    <s v="learn data analytics"/>
    <d v="2024-11-27T00:00:00"/>
    <n v="2.9589632829373651E-2"/>
    <n v="1.4681751824817517"/>
    <n v="20.113999999999997"/>
    <n v="50.284999999999997"/>
    <n v="8.3523913691955851"/>
  </r>
  <r>
    <s v="A3263"/>
    <s v="Data Analytics Course"/>
    <n v="135"/>
    <n v="3712"/>
    <n v="207.14"/>
    <n v="14"/>
    <n v="3"/>
    <n v="4.8000000000000001E-2"/>
    <n v="1788"/>
    <d v="2024-11-21T00:00:00"/>
    <s v="Hyderabad"/>
    <x v="2"/>
    <s v="data anaytics training"/>
    <d v="2024-11-21T00:00:00"/>
    <n v="3.6368534482758619E-2"/>
    <n v="1.5343703703703702"/>
    <n v="14.795714285714284"/>
    <n v="69.046666666666667"/>
    <n v="8.6318431978372114"/>
  </r>
  <r>
    <s v="A3264"/>
    <s v="Data Analytics Course"/>
    <n v="130"/>
    <n v="5739"/>
    <n v="215.57"/>
    <n v="23"/>
    <n v="8"/>
    <n v="6.2E-2"/>
    <n v="1505"/>
    <s v="30-11-2024"/>
    <s v="Hyderabad"/>
    <x v="1"/>
    <s v="data analitics online"/>
    <d v="2024-11-30T00:00:00"/>
    <n v="2.2652029970378115E-2"/>
    <n v="1.6582307692307692"/>
    <n v="9.3726086956521737"/>
    <n v="26.946249999999999"/>
    <n v="6.9814909310200868"/>
  </r>
  <r>
    <s v="A3265"/>
    <s v="Data Analytics Course"/>
    <n v="193"/>
    <n v="4518.5"/>
    <n v="230.95"/>
    <n v="26"/>
    <n v="8"/>
    <n v="4.1000000000000002E-2"/>
    <n v="1055"/>
    <d v="2024-11-11T00:00:00"/>
    <s v="Hyderabad"/>
    <x v="0"/>
    <s v="data analitics online"/>
    <d v="2024-11-11T00:00:00"/>
    <n v="4.2713289808564786E-2"/>
    <n v="1.1966321243523315"/>
    <n v="8.8826923076923077"/>
    <n v="28.868749999999999"/>
    <n v="4.5680883308075346"/>
  </r>
  <r>
    <s v="A3266"/>
    <s v="Data Analytics Course"/>
    <n v="122"/>
    <n v="4556"/>
    <n v="243.84"/>
    <n v="26"/>
    <n v="4"/>
    <n v="5.1999999999999998E-2"/>
    <n v="1164"/>
    <d v="2024-11-24T00:00:00"/>
    <s v="Hyderabad"/>
    <x v="1"/>
    <s v="online data analytic"/>
    <d v="2024-11-24T00:00:00"/>
    <n v="2.6777875329236173E-2"/>
    <n v="1.998688524590164"/>
    <n v="9.3784615384615382"/>
    <n v="60.96"/>
    <n v="4.7736220472440944"/>
  </r>
  <r>
    <s v="A3267"/>
    <s v="Data Analytics Course"/>
    <n v="167"/>
    <n v="5824"/>
    <n v="204.18"/>
    <n v="20"/>
    <n v="7"/>
    <n v="4.5999999999999999E-2"/>
    <n v="1452"/>
    <d v="2024-11-09T00:00:00"/>
    <s v="Hyderabad"/>
    <x v="1"/>
    <s v="data analytics course"/>
    <d v="2024-11-09T00:00:00"/>
    <n v="2.8674450549450548E-2"/>
    <n v="1.2226347305389222"/>
    <n v="10.209"/>
    <n v="29.168571428571429"/>
    <n v="7.111372318542462"/>
  </r>
  <r>
    <s v="A3268"/>
    <s v="Data Analytics Course"/>
    <n v="145"/>
    <n v="5765"/>
    <n v="240.62"/>
    <n v="18"/>
    <n v="6"/>
    <n v="4.1000000000000002E-2"/>
    <n v="1056"/>
    <s v="19-11-2024"/>
    <s v="Hyderabad"/>
    <x v="0"/>
    <s v="data anaytics training"/>
    <d v="2024-11-19T00:00:00"/>
    <n v="2.5151777970511709E-2"/>
    <n v="1.659448275862069"/>
    <n v="13.367777777777778"/>
    <n v="40.103333333333332"/>
    <n v="4.3886626215609672"/>
  </r>
  <r>
    <s v="A3269"/>
    <s v="Data Analytics Course"/>
    <n v="80"/>
    <n v="5653"/>
    <n v="228.06"/>
    <n v="19"/>
    <n v="8"/>
    <n v="0.1"/>
    <n v="1795"/>
    <d v="2024-11-13T00:00:00"/>
    <s v="Hyderabad"/>
    <x v="2"/>
    <s v="analytics for data"/>
    <d v="2024-11-13T00:00:00"/>
    <n v="1.4151777817088271E-2"/>
    <n v="2.8507500000000001"/>
    <n v="12.003157894736843"/>
    <n v="28.5075"/>
    <n v="7.8707357712882571"/>
  </r>
  <r>
    <s v="A3270"/>
    <s v="Data Analytics Course"/>
    <n v="139"/>
    <n v="4379"/>
    <n v="238.75"/>
    <n v="24"/>
    <n v="8"/>
    <n v="4.5999999999999999E-2"/>
    <n v="1505"/>
    <d v="2024-11-10T00:00:00"/>
    <s v="Hyderabad"/>
    <x v="1"/>
    <s v="data anaytics training"/>
    <d v="2024-11-10T00:00:00"/>
    <n v="3.1742406942224251E-2"/>
    <n v="1.7176258992805755"/>
    <n v="9.9479166666666661"/>
    <n v="29.84375"/>
    <n v="6.3036649214659688"/>
  </r>
  <r>
    <s v="A3271"/>
    <s v="Data Analytics Course"/>
    <n v="141"/>
    <n v="5612"/>
    <n v="224.45"/>
    <n v="19"/>
    <n v="5"/>
    <n v="4.5999999999999999E-2"/>
    <n v="1150"/>
    <s v="16-11-2024"/>
    <s v="Hyderabad"/>
    <x v="1"/>
    <s v="online data analytic"/>
    <d v="2024-11-16T00:00:00"/>
    <n v="2.5124732715609409E-2"/>
    <n v="1.5918439716312056"/>
    <n v="11.813157894736841"/>
    <n v="44.89"/>
    <n v="5.123635553575407"/>
  </r>
  <r>
    <s v="A3272"/>
    <s v="Data Analytics Course"/>
    <n v="180"/>
    <n v="3102"/>
    <n v="198.37"/>
    <n v="19"/>
    <n v="3"/>
    <n v="4.5999999999999999E-2"/>
    <n v="1505"/>
    <d v="2024-11-29T00:00:00"/>
    <s v="Hyderabad"/>
    <x v="1"/>
    <s v="online data analytic"/>
    <d v="2024-11-29T00:00:00"/>
    <n v="5.8027079303675046E-2"/>
    <n v="1.1020555555555556"/>
    <n v="10.440526315789475"/>
    <n v="66.123333333333335"/>
    <n v="7.5868326863941116"/>
  </r>
  <r>
    <s v="A3273"/>
    <s v="Data Analytics Course"/>
    <n v="196"/>
    <n v="5812"/>
    <n v="246.88"/>
    <n v="22"/>
    <n v="9"/>
    <n v="4.5999999999999999E-2"/>
    <n v="1715"/>
    <d v="2024-11-14T00:00:00"/>
    <s v="Hyderabad"/>
    <x v="1"/>
    <s v="online data analytic"/>
    <d v="2024-11-14T00:00:00"/>
    <n v="3.3723331039229178E-2"/>
    <n v="1.2595918367346939"/>
    <n v="11.221818181818181"/>
    <n v="27.431111111111111"/>
    <n v="6.9466947504860661"/>
  </r>
  <r>
    <s v="A3274"/>
    <s v="Data Analytics Course"/>
    <n v="168"/>
    <n v="4904"/>
    <n v="219"/>
    <n v="22"/>
    <n v="5"/>
    <n v="0.03"/>
    <n v="1541"/>
    <s v="15-11-2024"/>
    <s v="Hyderabad"/>
    <x v="2"/>
    <s v="online data analytic"/>
    <d v="2024-11-15T00:00:00"/>
    <n v="3.4257748776508973E-2"/>
    <n v="1.3035714285714286"/>
    <n v="9.954545454545455"/>
    <n v="43.8"/>
    <n v="7.0365296803652972"/>
  </r>
  <r>
    <s v="A3275"/>
    <s v="Data Analytics Course"/>
    <n v="139"/>
    <n v="4562"/>
    <n v="183.58"/>
    <n v="17"/>
    <n v="9"/>
    <n v="4.5999999999999999E-2"/>
    <n v="1668"/>
    <s v="30-11-2024"/>
    <s v="Hyderabad"/>
    <x v="0"/>
    <s v="data analytics course"/>
    <d v="2024-11-30T00:00:00"/>
    <n v="3.0469092503288032E-2"/>
    <n v="1.3207194244604317"/>
    <n v="10.798823529411765"/>
    <n v="20.39777777777778"/>
    <n v="9.0859570759341963"/>
  </r>
  <r>
    <s v="A3276"/>
    <s v="Data Analytics Course"/>
    <n v="178"/>
    <n v="4708"/>
    <n v="237.77"/>
    <n v="14"/>
    <n v="10"/>
    <n v="4.5999999999999999E-2"/>
    <n v="1449"/>
    <s v="21-11-2024"/>
    <s v="Hyderabad"/>
    <x v="1"/>
    <s v="learn data analytics"/>
    <d v="2024-11-21T00:00:00"/>
    <n v="3.7807986406117246E-2"/>
    <n v="1.3357865168539327"/>
    <n v="16.98357142857143"/>
    <n v="23.777000000000001"/>
    <n v="6.0941245741683137"/>
  </r>
  <r>
    <s v="A3277"/>
    <s v="Data Analytics Course"/>
    <n v="93"/>
    <n v="3945"/>
    <n v="189.53"/>
    <n v="27"/>
    <n v="3"/>
    <n v="3.2000000000000001E-2"/>
    <n v="1560"/>
    <d v="2024-11-18T00:00:00"/>
    <s v="Hyderabad"/>
    <x v="2"/>
    <s v="learn data analytics"/>
    <d v="2024-11-18T00:00:00"/>
    <n v="2.3574144486692015E-2"/>
    <n v="2.0379569892473119"/>
    <n v="7.0196296296296294"/>
    <n v="63.176666666666669"/>
    <n v="8.230886930828893"/>
  </r>
  <r>
    <s v="A3278"/>
    <s v="Data Analytics Course"/>
    <n v="138"/>
    <n v="5863"/>
    <n v="201.19"/>
    <n v="30"/>
    <n v="10"/>
    <n v="7.1999999999999995E-2"/>
    <n v="1898"/>
    <d v="2024-11-18T00:00:00"/>
    <s v="Hyderabad"/>
    <x v="0"/>
    <s v="analytics for data"/>
    <d v="2024-11-18T00:00:00"/>
    <n v="2.3537438171584515E-2"/>
    <n v="1.4578985507246376"/>
    <n v="6.7063333333333333"/>
    <n v="20.119"/>
    <n v="9.4338684825289523"/>
  </r>
  <r>
    <s v="A3279"/>
    <s v="Data Analytics Course"/>
    <n v="143"/>
    <n v="4470"/>
    <n v="214.42"/>
    <n v="14"/>
    <n v="8"/>
    <n v="5.6000000000000001E-2"/>
    <n v="1353"/>
    <d v="2024-11-22T00:00:00"/>
    <s v="Hyderabad"/>
    <x v="1"/>
    <s v="data analytics course"/>
    <d v="2024-11-22T00:00:00"/>
    <n v="3.1991051454138705E-2"/>
    <n v="1.4994405594405593"/>
    <n v="15.315714285714284"/>
    <n v="26.802499999999998"/>
    <n v="6.3100457046917269"/>
  </r>
  <r>
    <s v="A3280"/>
    <s v="Data Analytics Course"/>
    <n v="139"/>
    <n v="5800"/>
    <n v="215.57"/>
    <n v="22"/>
    <n v="9"/>
    <n v="4.5999999999999999E-2"/>
    <n v="1369"/>
    <d v="2024-11-14T00:00:00"/>
    <s v="Hyderabad"/>
    <x v="2"/>
    <s v="data analytics course"/>
    <d v="2024-11-14T00:00:00"/>
    <n v="2.3965517241379311E-2"/>
    <n v="1.5508633093525179"/>
    <n v="9.7986363636363638"/>
    <n v="23.952222222222222"/>
    <n v="6.3506053718049822"/>
  </r>
  <r>
    <s v="A3281"/>
    <s v="Data Analytics Course"/>
    <n v="147"/>
    <n v="4041"/>
    <n v="229.19"/>
    <n v="16"/>
    <n v="10"/>
    <n v="5.5E-2"/>
    <n v="1558"/>
    <s v="27-11-2024"/>
    <s v="Hyderabad"/>
    <x v="0"/>
    <s v="analytics for data"/>
    <d v="2024-11-27T00:00:00"/>
    <n v="3.6377134372680031E-2"/>
    <n v="1.5591156462585034"/>
    <n v="14.324375"/>
    <n v="22.919"/>
    <n v="6.7978533094812166"/>
  </r>
  <r>
    <s v="A3282"/>
    <s v="Data Analytics Course"/>
    <n v="101"/>
    <n v="3449"/>
    <n v="188.39"/>
    <n v="16"/>
    <n v="10"/>
    <n v="9.9000000000000005E-2"/>
    <n v="1318"/>
    <d v="2024-11-08T00:00:00"/>
    <s v="Hyderabad"/>
    <x v="0"/>
    <s v="online data analytic"/>
    <d v="2024-11-08T00:00:00"/>
    <n v="2.9283850391417801E-2"/>
    <n v="1.8652475247524751"/>
    <n v="11.774374999999999"/>
    <n v="18.838999999999999"/>
    <n v="6.9961250597165456"/>
  </r>
  <r>
    <s v="A3283"/>
    <s v="Data Analytics Course"/>
    <n v="195"/>
    <n v="4195"/>
    <n v="231.87"/>
    <n v="13"/>
    <n v="10"/>
    <n v="3.4000000000000002E-2"/>
    <n v="1834"/>
    <d v="2024-11-25T00:00:00"/>
    <s v="Hyderabad"/>
    <x v="0"/>
    <s v="learn data analytics"/>
    <d v="2024-11-25T00:00:00"/>
    <n v="4.6483909415971393E-2"/>
    <n v="1.1890769230769231"/>
    <n v="17.836153846153845"/>
    <n v="23.187000000000001"/>
    <n v="7.9096045197740112"/>
  </r>
  <r>
    <s v="A3284"/>
    <s v="Data Analytics Course"/>
    <n v="142"/>
    <n v="5365"/>
    <n v="237.95"/>
    <n v="17"/>
    <n v="10"/>
    <n v="7.0000000000000007E-2"/>
    <n v="1548"/>
    <d v="2024-11-27T00:00:00"/>
    <s v="Hyderabad"/>
    <x v="2"/>
    <s v="data analitics online"/>
    <d v="2024-11-27T00:00:00"/>
    <n v="2.646784715750233E-2"/>
    <n v="1.6757042253521126"/>
    <n v="13.997058823529411"/>
    <n v="23.794999999999998"/>
    <n v="6.5055683967220004"/>
  </r>
  <r>
    <s v="A3285"/>
    <s v="Data Analytics Course"/>
    <n v="139"/>
    <n v="3854"/>
    <n v="234.73"/>
    <n v="10"/>
    <n v="3"/>
    <n v="2.1999999999999999E-2"/>
    <n v="1802"/>
    <d v="2024-11-18T00:00:00"/>
    <s v="Hyderabad"/>
    <x v="2"/>
    <s v="learn data analytics"/>
    <d v="2024-11-18T00:00:00"/>
    <n v="3.6066424494032176E-2"/>
    <n v="1.688705035971223"/>
    <n v="23.472999999999999"/>
    <n v="78.243333333333325"/>
    <n v="7.6769053806501093"/>
  </r>
  <r>
    <s v="A3286"/>
    <s v="Data Analytics Course"/>
    <n v="84"/>
    <n v="5597"/>
    <n v="244.39"/>
    <n v="22"/>
    <n v="10"/>
    <n v="4.5999999999999999E-2"/>
    <n v="1685"/>
    <d v="2024-11-03T00:00:00"/>
    <s v="Hyderabad"/>
    <x v="2"/>
    <s v="data anaytics training"/>
    <d v="2024-11-03T00:00:00"/>
    <n v="1.5008040021440057E-2"/>
    <n v="2.9094047619047618"/>
    <n v="11.108636363636363"/>
    <n v="24.439"/>
    <n v="6.8947174597978647"/>
  </r>
  <r>
    <s v="A3287"/>
    <s v="Data Analytics Course"/>
    <n v="103"/>
    <n v="5488"/>
    <n v="237.06"/>
    <n v="21"/>
    <n v="7"/>
    <n v="4.9000000000000002E-2"/>
    <n v="1874"/>
    <d v="2024-11-22T00:00:00"/>
    <s v="Hyderabad"/>
    <x v="2"/>
    <s v="analytics for data"/>
    <d v="2024-11-22T00:00:00"/>
    <n v="1.8768221574344022E-2"/>
    <n v="2.3015533980582523"/>
    <n v="11.288571428571428"/>
    <n v="33.865714285714283"/>
    <n v="7.9051716864928707"/>
  </r>
  <r>
    <s v="A3288"/>
    <s v="Data Analytics Course"/>
    <n v="108"/>
    <n v="3676"/>
    <n v="203.45"/>
    <n v="29"/>
    <n v="8"/>
    <n v="7.3999999999999996E-2"/>
    <n v="1369"/>
    <d v="2024-01-11T00:00:00"/>
    <s v="Hyderabad"/>
    <x v="1"/>
    <s v="data analitics online"/>
    <d v="2024-01-11T00:00:00"/>
    <n v="2.9379760609357999E-2"/>
    <n v="1.8837962962962962"/>
    <n v="7.0155172413793103"/>
    <n v="25.431249999999999"/>
    <n v="6.728926026050627"/>
  </r>
  <r>
    <s v="A3289"/>
    <s v="Data Analytics Course"/>
    <n v="171"/>
    <n v="4307"/>
    <n v="220.89"/>
    <n v="20"/>
    <n v="8"/>
    <n v="3.7999999999999999E-2"/>
    <n v="1187"/>
    <d v="2024-11-01T00:00:00"/>
    <s v="Hyderabad"/>
    <x v="2"/>
    <s v="data analitics online"/>
    <d v="2024-11-01T00:00:00"/>
    <n v="3.9702809380078939E-2"/>
    <n v="1.2917543859649121"/>
    <n v="11.044499999999999"/>
    <n v="27.611249999999998"/>
    <n v="5.3737154239666802"/>
  </r>
  <r>
    <s v="A3290"/>
    <s v="Data Analytics Course"/>
    <n v="80"/>
    <n v="4204"/>
    <n v="226.79"/>
    <n v="14"/>
    <n v="3"/>
    <n v="3.6999999999999998E-2"/>
    <n v="1434"/>
    <s v="21-11-2024"/>
    <s v="Hyderabad"/>
    <x v="2"/>
    <s v="data analytics course"/>
    <d v="2024-11-21T00:00:00"/>
    <n v="1.9029495718363463E-2"/>
    <n v="2.8348749999999998"/>
    <n v="16.199285714285715"/>
    <n v="75.596666666666664"/>
    <n v="6.3230301159663123"/>
  </r>
  <r>
    <s v="A3291"/>
    <s v="Data Analytics Course"/>
    <n v="169"/>
    <n v="3589"/>
    <n v="237.83"/>
    <n v="15"/>
    <n v="3"/>
    <n v="1.7999999999999999E-2"/>
    <n v="1754"/>
    <d v="2024-11-21T00:00:00"/>
    <s v="Hyderabad"/>
    <x v="1"/>
    <s v="analytics for data"/>
    <d v="2024-11-21T00:00:00"/>
    <n v="4.7088325438840901E-2"/>
    <n v="1.4072781065088757"/>
    <n v="15.855333333333334"/>
    <n v="79.276666666666671"/>
    <n v="7.3750157675650669"/>
  </r>
  <r>
    <s v="A3292"/>
    <s v="Data Analytics Course"/>
    <n v="139"/>
    <n v="3048"/>
    <n v="189.48"/>
    <n v="22"/>
    <n v="7"/>
    <n v="4.5999999999999999E-2"/>
    <n v="1740"/>
    <d v="2024-11-18T00:00:00"/>
    <s v="Hyderabad"/>
    <x v="1"/>
    <s v="analytics for data"/>
    <d v="2024-11-18T00:00:00"/>
    <n v="4.5603674540682412E-2"/>
    <n v="1.3631654676258993"/>
    <n v="8.6127272727272715"/>
    <n v="27.068571428571428"/>
    <n v="9.1830272324255855"/>
  </r>
  <r>
    <s v="A3293"/>
    <s v="Data Analytics Course"/>
    <n v="92"/>
    <n v="4631"/>
    <n v="233.3"/>
    <n v="19"/>
    <n v="10"/>
    <n v="0.109"/>
    <n v="1521"/>
    <s v="27-11-2024"/>
    <s v="Hyderabad"/>
    <x v="1"/>
    <s v="learn data analytics"/>
    <d v="2024-11-27T00:00:00"/>
    <n v="1.9866119628589939E-2"/>
    <n v="2.5358695652173915"/>
    <n v="12.278947368421052"/>
    <n v="23.330000000000002"/>
    <n v="6.5195027861123016"/>
  </r>
  <r>
    <s v="A3294"/>
    <s v="Data Analytics Course"/>
    <n v="189"/>
    <n v="5624"/>
    <n v="248.03"/>
    <n v="23"/>
    <n v="7"/>
    <n v="3.6999999999999998E-2"/>
    <n v="1505"/>
    <d v="2024-11-10T00:00:00"/>
    <s v="Hyderabad"/>
    <x v="2"/>
    <s v="analytics for data"/>
    <d v="2024-11-10T00:00:00"/>
    <n v="3.3605974395448081E-2"/>
    <n v="1.3123280423280423"/>
    <n v="10.783913043478261"/>
    <n v="35.432857142857145"/>
    <n v="6.0678143772930691"/>
  </r>
  <r>
    <s v="A3295"/>
    <s v="Data Analytics Course"/>
    <n v="124"/>
    <n v="5931"/>
    <n v="214.41"/>
    <n v="21"/>
    <n v="3"/>
    <n v="4.5999999999999999E-2"/>
    <n v="1906"/>
    <d v="2024-11-05T00:00:00"/>
    <s v="Hyderabad"/>
    <x v="2"/>
    <s v="online data analytic"/>
    <d v="2024-11-05T00:00:00"/>
    <n v="2.0907098297083121E-2"/>
    <n v="1.7291129032258064"/>
    <n v="10.209999999999999"/>
    <n v="71.47"/>
    <n v="8.8895107504314161"/>
  </r>
  <r>
    <s v="A3296"/>
    <s v="Data Analytics Course"/>
    <n v="138"/>
    <n v="5891"/>
    <n v="247.47"/>
    <n v="14"/>
    <n v="7"/>
    <n v="5.0999999999999997E-2"/>
    <n v="1138"/>
    <d v="2024-11-14T00:00:00"/>
    <s v="Hyderabad"/>
    <x v="0"/>
    <s v="online data analytic"/>
    <d v="2024-11-14T00:00:00"/>
    <n v="2.3425564420302157E-2"/>
    <n v="1.7932608695652175"/>
    <n v="17.67642857142857"/>
    <n v="35.35285714285714"/>
    <n v="4.5985371964278503"/>
  </r>
  <r>
    <s v="A3297"/>
    <s v="Data Analytics Course"/>
    <n v="186"/>
    <n v="5774"/>
    <n v="236.22"/>
    <n v="15"/>
    <n v="6"/>
    <n v="3.2000000000000001E-2"/>
    <n v="1288"/>
    <d v="2024-12-11T00:00:00"/>
    <s v="Hyderabad"/>
    <x v="1"/>
    <s v="learn data analytics"/>
    <d v="2024-12-11T00:00:00"/>
    <n v="3.2213370280568067E-2"/>
    <n v="1.27"/>
    <n v="15.747999999999999"/>
    <n v="39.369999999999997"/>
    <n v="5.4525442384218099"/>
  </r>
  <r>
    <s v="A3298"/>
    <s v="Data Analytics Course"/>
    <n v="100"/>
    <n v="4869"/>
    <n v="234.37"/>
    <n v="21"/>
    <n v="7"/>
    <n v="7.0000000000000007E-2"/>
    <n v="1890"/>
    <d v="2024-01-11T00:00:00"/>
    <s v="Hyderabad"/>
    <x v="2"/>
    <s v="data analitics online"/>
    <d v="2024-01-11T00:00:00"/>
    <n v="2.0538098172109262E-2"/>
    <n v="2.3437000000000001"/>
    <n v="11.16047619047619"/>
    <n v="33.481428571428573"/>
    <n v="8.0641720356700937"/>
  </r>
  <r>
    <s v="A3299"/>
    <s v="Data Analytics Course"/>
    <n v="151"/>
    <n v="5403"/>
    <n v="180.74"/>
    <n v="22"/>
    <n v="3"/>
    <n v="4.5999999999999999E-2"/>
    <n v="1610"/>
    <d v="2024-11-29T00:00:00"/>
    <s v="Hyderabad"/>
    <x v="2"/>
    <s v="data analitics online"/>
    <d v="2024-11-29T00:00:00"/>
    <n v="2.7947436609291134E-2"/>
    <n v="1.1969536423841061"/>
    <n v="8.2154545454545467"/>
    <n v="60.24666666666667"/>
    <n v="8.9078233927188215"/>
  </r>
  <r>
    <s v="A3300"/>
    <s v="Data Analytics Course"/>
    <n v="176"/>
    <n v="4577"/>
    <n v="207.98"/>
    <n v="23"/>
    <n v="7"/>
    <n v="4.5999999999999999E-2"/>
    <n v="1396"/>
    <d v="2024-11-29T00:00:00"/>
    <s v="Hyderabad"/>
    <x v="2"/>
    <s v="data anaytics training"/>
    <d v="2024-11-29T00:00:00"/>
    <n v="3.8453135241424512E-2"/>
    <n v="1.1817045454545454"/>
    <n v="9.0426086956521736"/>
    <n v="29.71142857142857"/>
    <n v="6.7121838638330615"/>
  </r>
  <r>
    <s v="A3301"/>
    <s v="Data Analytics Course"/>
    <n v="139"/>
    <n v="3978"/>
    <n v="230.19"/>
    <n v="23"/>
    <n v="9"/>
    <n v="4.5999999999999999E-2"/>
    <n v="1792"/>
    <s v="19-11-2024"/>
    <s v="Hyderabad"/>
    <x v="0"/>
    <s v="analytics for data"/>
    <d v="2024-11-19T00:00:00"/>
    <n v="3.4942182001005531E-2"/>
    <n v="1.656043165467626"/>
    <n v="10.008260869565218"/>
    <n v="25.576666666666668"/>
    <n v="7.7848733654806903"/>
  </r>
  <r>
    <s v="A3302"/>
    <s v="Data Analytics Course"/>
    <n v="141"/>
    <n v="4483"/>
    <n v="240.23"/>
    <n v="25"/>
    <n v="4"/>
    <n v="2.8000000000000001E-2"/>
    <n v="1516"/>
    <s v="14-11-2024"/>
    <s v="Hyderabad"/>
    <x v="2"/>
    <s v="analytics for data"/>
    <d v="2024-11-14T00:00:00"/>
    <n v="3.1452152576399731E-2"/>
    <n v="1.703758865248227"/>
    <n v="9.6091999999999995"/>
    <n v="60.057499999999997"/>
    <n v="6.3106189901344552"/>
  </r>
  <r>
    <s v="A3303"/>
    <s v="Data Analytics Course"/>
    <n v="117"/>
    <n v="5754"/>
    <n v="228.8"/>
    <n v="20"/>
    <n v="3"/>
    <n v="2.5999999999999999E-2"/>
    <n v="1505"/>
    <s v="14-11-2024"/>
    <s v="Hyderabad"/>
    <x v="1"/>
    <s v="data analitics online"/>
    <d v="2024-11-14T00:00:00"/>
    <n v="2.0333680917622523E-2"/>
    <n v="1.9555555555555557"/>
    <n v="11.440000000000001"/>
    <n v="76.266666666666666"/>
    <n v="6.5777972027972025"/>
  </r>
  <r>
    <s v="A3304"/>
    <s v="Data Analytics Course"/>
    <n v="131"/>
    <n v="5528"/>
    <n v="182.38"/>
    <n v="27"/>
    <n v="6"/>
    <n v="4.5999999999999999E-2"/>
    <n v="1168"/>
    <d v="2024-11-03T00:00:00"/>
    <s v="Hyderabad"/>
    <x v="0"/>
    <s v="analytics for data"/>
    <d v="2024-11-03T00:00:00"/>
    <n v="2.3697539797395081E-2"/>
    <n v="1.3922137404580153"/>
    <n v="6.7548148148148144"/>
    <n v="30.396666666666665"/>
    <n v="6.4042109880469349"/>
  </r>
  <r>
    <s v="A3305"/>
    <s v="Data Analytics Course"/>
    <n v="173"/>
    <n v="3639"/>
    <n v="225.73"/>
    <n v="10"/>
    <n v="4"/>
    <n v="2.3E-2"/>
    <n v="1804"/>
    <s v="27-11-2024"/>
    <s v="Hyderabad"/>
    <x v="2"/>
    <s v="data analitics online"/>
    <d v="2024-11-27T00:00:00"/>
    <n v="4.7540533113492718E-2"/>
    <n v="1.3047976878612717"/>
    <n v="22.573"/>
    <n v="56.432499999999997"/>
    <n v="7.9918486687635673"/>
  </r>
  <r>
    <s v="A3306"/>
    <s v="Data Analytics Course"/>
    <n v="195"/>
    <n v="4067"/>
    <n v="220.61"/>
    <n v="20"/>
    <n v="8"/>
    <n v="4.1000000000000002E-2"/>
    <n v="1767"/>
    <d v="2024-08-11T00:00:00"/>
    <s v="Hyderabad"/>
    <x v="0"/>
    <s v="data analytics course"/>
    <d v="2024-08-11T00:00:00"/>
    <n v="4.7946889599213179E-2"/>
    <n v="1.1313333333333333"/>
    <n v="11.0305"/>
    <n v="27.576250000000002"/>
    <n v="8.0096097185077735"/>
  </r>
  <r>
    <s v="A3307"/>
    <s v="Data Analytics Course"/>
    <n v="126"/>
    <n v="3931"/>
    <n v="212.16"/>
    <n v="20"/>
    <n v="9"/>
    <n v="5.8000000000000003E-2"/>
    <n v="1537"/>
    <d v="2024-09-11T00:00:00"/>
    <s v="Hyderabad"/>
    <x v="0"/>
    <s v="learn data analytics"/>
    <d v="2024-09-11T00:00:00"/>
    <n v="3.2052912744848637E-2"/>
    <n v="1.6838095238095239"/>
    <n v="10.608000000000001"/>
    <n v="23.573333333333334"/>
    <n v="7.2445324283559582"/>
  </r>
  <r>
    <s v="A3308"/>
    <s v="Data Analytics Course"/>
    <n v="119"/>
    <n v="3602"/>
    <n v="191.83"/>
    <n v="26"/>
    <n v="3"/>
    <n v="4.5999999999999999E-2"/>
    <n v="1052"/>
    <d v="2024-11-10T00:00:00"/>
    <s v="Hyderabad"/>
    <x v="2"/>
    <s v="analytics for data"/>
    <d v="2024-11-10T00:00:00"/>
    <n v="3.3037201554691836E-2"/>
    <n v="1.6120168067226892"/>
    <n v="7.3780769230769234"/>
    <n v="63.943333333333335"/>
    <n v="5.4840223114215707"/>
  </r>
  <r>
    <s v="A3309"/>
    <s v="Data Analytics Course"/>
    <n v="141"/>
    <n v="5663"/>
    <n v="237.57"/>
    <n v="16"/>
    <n v="3"/>
    <n v="4.4999999999999998E-2"/>
    <n v="1269"/>
    <d v="2024-11-18T00:00:00"/>
    <s v="Hyderabad"/>
    <x v="2"/>
    <s v="data analytics course"/>
    <d v="2024-11-18T00:00:00"/>
    <n v="2.4898463711813527E-2"/>
    <n v="1.6848936170212765"/>
    <n v="14.848125"/>
    <n v="79.19"/>
    <n v="5.3415835332744033"/>
  </r>
  <r>
    <s v="A3310"/>
    <s v="Data Analytics Course"/>
    <n v="182"/>
    <n v="4021"/>
    <n v="215.57"/>
    <n v="24"/>
    <n v="7"/>
    <n v="3.7999999999999999E-2"/>
    <n v="1444"/>
    <s v="30-11-2024"/>
    <s v="Hyderabad"/>
    <x v="2"/>
    <s v="online data analytic"/>
    <d v="2024-11-30T00:00:00"/>
    <n v="4.5262372544143246E-2"/>
    <n v="1.1844505494505495"/>
    <n v="8.9820833333333336"/>
    <n v="30.795714285714286"/>
    <n v="6.6985202022544881"/>
  </r>
  <r>
    <s v="A3311"/>
    <s v="Data Analytics Course"/>
    <n v="192"/>
    <n v="4551"/>
    <n v="223.93"/>
    <n v="22"/>
    <n v="10"/>
    <n v="5.1999999999999998E-2"/>
    <n v="1231"/>
    <s v="19-11-2024"/>
    <s v="Hyderabad"/>
    <x v="0"/>
    <s v="data anaytics training"/>
    <d v="2024-11-19T00:00:00"/>
    <n v="4.2188529993408039E-2"/>
    <n v="1.1663020833333333"/>
    <n v="10.178636363636365"/>
    <n v="22.393000000000001"/>
    <n v="5.4972536060376012"/>
  </r>
  <r>
    <s v="A3312"/>
    <s v="Data Analytics Course"/>
    <n v="139"/>
    <n v="5123"/>
    <n v="231.93"/>
    <n v="18"/>
    <n v="9"/>
    <n v="4.5999999999999999E-2"/>
    <n v="1031"/>
    <d v="2024-11-18T00:00:00"/>
    <s v="Hyderabad"/>
    <x v="0"/>
    <s v="analytics for data"/>
    <d v="2024-11-18T00:00:00"/>
    <n v="2.7132539527620535E-2"/>
    <n v="1.6685611510791367"/>
    <n v="12.885"/>
    <n v="25.77"/>
    <n v="4.4453067735954814"/>
  </r>
  <r>
    <s v="A3313"/>
    <s v="Data Analytics Course"/>
    <n v="160"/>
    <n v="3816"/>
    <n v="207.93"/>
    <n v="27"/>
    <n v="9"/>
    <n v="5.6000000000000001E-2"/>
    <n v="1884"/>
    <d v="2024-11-03T00:00:00"/>
    <s v="Hyderabad"/>
    <x v="1"/>
    <s v="analytics for data"/>
    <d v="2024-11-03T00:00:00"/>
    <n v="4.1928721174004195E-2"/>
    <n v="1.2995625"/>
    <n v="7.7011111111111115"/>
    <n v="23.103333333333335"/>
    <n v="9.0607415957293309"/>
  </r>
  <r>
    <s v="A3314"/>
    <s v="Data Analytics Course"/>
    <n v="140"/>
    <n v="3154"/>
    <n v="212.73"/>
    <n v="21"/>
    <n v="4"/>
    <n v="2.9000000000000001E-2"/>
    <n v="1024"/>
    <d v="2024-11-14T00:00:00"/>
    <s v="Hyderabad"/>
    <x v="2"/>
    <s v="learn data analytics"/>
    <d v="2024-11-14T00:00:00"/>
    <n v="4.4388078630310718E-2"/>
    <n v="1.5194999999999999"/>
    <n v="10.129999999999999"/>
    <n v="53.182499999999997"/>
    <n v="4.8136135006816154"/>
  </r>
  <r>
    <s v="A3315"/>
    <s v="Data Analytics Course"/>
    <n v="134"/>
    <n v="3700"/>
    <n v="226.57"/>
    <n v="28"/>
    <n v="7"/>
    <n v="5.6000000000000001E-2"/>
    <n v="1836"/>
    <d v="2024-11-04T00:00:00"/>
    <s v="Hyderabad"/>
    <x v="2"/>
    <s v="data analitics online"/>
    <d v="2024-11-04T00:00:00"/>
    <n v="3.6216216216216214E-2"/>
    <n v="1.690820895522388"/>
    <n v="8.0917857142857148"/>
    <n v="32.367142857142859"/>
    <n v="8.1034558855982706"/>
  </r>
  <r>
    <s v="A3316"/>
    <s v="Data Analytics Course"/>
    <n v="92"/>
    <n v="3963"/>
    <n v="219.39"/>
    <n v="22"/>
    <n v="10"/>
    <n v="4.5999999999999999E-2"/>
    <n v="1834"/>
    <s v="26-11-2024"/>
    <s v="Hyderabad"/>
    <x v="1"/>
    <s v="online data analytic"/>
    <d v="2024-11-26T00:00:00"/>
    <n v="2.3214736310875599E-2"/>
    <n v="2.384673913043478"/>
    <n v="9.9722727272727258"/>
    <n v="21.939"/>
    <n v="8.3595423674734501"/>
  </r>
  <r>
    <s v="A3317"/>
    <s v="Data Analytics Course"/>
    <n v="163"/>
    <n v="3978"/>
    <n v="232.7"/>
    <n v="25"/>
    <n v="9"/>
    <n v="4.5999999999999999E-2"/>
    <n v="1380"/>
    <d v="2024-11-08T00:00:00"/>
    <s v="Hyderabad"/>
    <x v="0"/>
    <s v="data analitics online"/>
    <d v="2024-11-08T00:00:00"/>
    <n v="4.097536450477627E-2"/>
    <n v="1.4276073619631902"/>
    <n v="9.3079999999999998"/>
    <n v="25.855555555555554"/>
    <n v="5.930382466695316"/>
  </r>
  <r>
    <s v="A3318"/>
    <s v="Data Analytics Course"/>
    <n v="155"/>
    <n v="5105"/>
    <n v="239.11"/>
    <n v="20"/>
    <n v="5"/>
    <n v="3.2000000000000001E-2"/>
    <n v="1009"/>
    <d v="2024-11-05T00:00:00"/>
    <s v="Hyderabad"/>
    <x v="1"/>
    <s v="analytics for data"/>
    <d v="2024-11-05T00:00:00"/>
    <n v="3.0362389813907934E-2"/>
    <n v="1.5426451612903227"/>
    <n v="11.955500000000001"/>
    <n v="47.822000000000003"/>
    <n v="4.2198151478399062"/>
  </r>
  <r>
    <s v="A3319"/>
    <s v="Data Analytics Course"/>
    <n v="194"/>
    <n v="3559"/>
    <n v="205.78"/>
    <n v="15"/>
    <n v="9"/>
    <n v="4.5999999999999999E-2"/>
    <n v="1765"/>
    <d v="2024-03-11T00:00:00"/>
    <s v="Hyderabad"/>
    <x v="0"/>
    <s v="online data analytic"/>
    <d v="2024-03-11T00:00:00"/>
    <n v="5.4509693734195001E-2"/>
    <n v="1.0607216494845362"/>
    <n v="13.718666666666667"/>
    <n v="22.864444444444445"/>
    <n v="8.577121197395277"/>
  </r>
  <r>
    <s v="A3320"/>
    <s v="Data Analytics Course"/>
    <n v="165"/>
    <n v="3005"/>
    <n v="239.14"/>
    <n v="23"/>
    <n v="6"/>
    <n v="3.5999999999999997E-2"/>
    <n v="1989"/>
    <d v="2024-11-27T00:00:00"/>
    <s v="Hyderabad"/>
    <x v="2"/>
    <s v="learn data analytics"/>
    <d v="2024-11-27T00:00:00"/>
    <n v="5.4908485856905158E-2"/>
    <n v="1.4493333333333331"/>
    <n v="10.397391304347826"/>
    <n v="39.856666666666662"/>
    <n v="8.3173036714895048"/>
  </r>
  <r>
    <s v="A3321"/>
    <s v="Data Analytics Course"/>
    <n v="135"/>
    <n v="4740"/>
    <n v="235.55"/>
    <n v="24"/>
    <n v="4"/>
    <n v="0.03"/>
    <n v="1715"/>
    <d v="2024-11-07T00:00:00"/>
    <s v="Hyderabad"/>
    <x v="0"/>
    <s v="analytics for data"/>
    <d v="2024-11-07T00:00:00"/>
    <n v="2.8481012658227847E-2"/>
    <n v="1.7448148148148148"/>
    <n v="9.8145833333333332"/>
    <n v="58.887500000000003"/>
    <n v="7.2808320950965824"/>
  </r>
  <r>
    <s v="A3322"/>
    <s v="Data Analytics Course"/>
    <n v="87"/>
    <n v="4379"/>
    <n v="209.25"/>
    <n v="29"/>
    <n v="10"/>
    <n v="4.5999999999999999E-2"/>
    <n v="1348"/>
    <d v="2024-11-05T00:00:00"/>
    <s v="Hyderabad"/>
    <x v="0"/>
    <s v="learn data analytics"/>
    <d v="2024-11-05T00:00:00"/>
    <n v="1.9867549668874173E-2"/>
    <n v="2.4051724137931036"/>
    <n v="7.2155172413793105"/>
    <n v="20.925000000000001"/>
    <n v="6.4420549581839905"/>
  </r>
  <r>
    <s v="A3323"/>
    <s v="Data Analytics Course"/>
    <n v="164"/>
    <n v="4151"/>
    <n v="219.97"/>
    <n v="30"/>
    <n v="9"/>
    <n v="5.5E-2"/>
    <n v="1505"/>
    <s v="25-11-2024"/>
    <s v="Hyderabad"/>
    <x v="0"/>
    <s v="online data analytic"/>
    <d v="2024-11-25T00:00:00"/>
    <n v="3.9508552156106963E-2"/>
    <n v="1.3412804878048781"/>
    <n v="7.3323333333333336"/>
    <n v="24.441111111111113"/>
    <n v="6.8418420693730964"/>
  </r>
  <r>
    <s v="A3324"/>
    <s v="Data Analytics Course"/>
    <n v="139"/>
    <n v="3185"/>
    <n v="217.33"/>
    <n v="21"/>
    <n v="3"/>
    <n v="4.5999999999999999E-2"/>
    <n v="1505"/>
    <s v="15-11-2024"/>
    <s v="Hyderabad"/>
    <x v="1"/>
    <s v="data anaytics training"/>
    <d v="2024-11-15T00:00:00"/>
    <n v="4.3642072213500784E-2"/>
    <n v="1.5635251798561152"/>
    <n v="10.349047619047619"/>
    <n v="72.443333333333342"/>
    <n v="6.9249528366999487"/>
  </r>
  <r>
    <s v="A3325"/>
    <s v="Data Analytics Course"/>
    <n v="84"/>
    <n v="5652"/>
    <n v="191.93"/>
    <n v="30"/>
    <n v="8"/>
    <n v="9.5000000000000001E-2"/>
    <n v="1729"/>
    <d v="2024-11-13T00:00:00"/>
    <s v="Hyderabad"/>
    <x v="1"/>
    <s v="data analitics online"/>
    <d v="2024-11-13T00:00:00"/>
    <n v="1.4861995753715499E-2"/>
    <n v="2.2848809523809526"/>
    <n v="6.3976666666666668"/>
    <n v="23.991250000000001"/>
    <n v="9.008492679622778"/>
  </r>
  <r>
    <s v="A3326"/>
    <s v="Data Analytics Course"/>
    <n v="158"/>
    <n v="4819"/>
    <n v="185.34"/>
    <n v="17"/>
    <n v="9"/>
    <n v="4.5999999999999999E-2"/>
    <n v="1066"/>
    <s v="24-11-2024"/>
    <s v="Hyderabad"/>
    <x v="1"/>
    <s v="data anaytics training"/>
    <d v="2024-11-24T00:00:00"/>
    <n v="3.2786885245901641E-2"/>
    <n v="1.1730379746835444"/>
    <n v="10.902352941176471"/>
    <n v="20.593333333333334"/>
    <n v="5.7515916693644114"/>
  </r>
  <r>
    <s v="A3327"/>
    <s v="Data Analytics Course"/>
    <n v="90"/>
    <n v="4472"/>
    <n v="237.16"/>
    <n v="28"/>
    <n v="10"/>
    <n v="5.8999999999999997E-2"/>
    <n v="1629"/>
    <s v="13-11-2024"/>
    <s v="Hyderabad"/>
    <x v="1"/>
    <s v="learn data analytics"/>
    <d v="2024-11-13T00:00:00"/>
    <n v="2.0125223613595707E-2"/>
    <n v="2.6351111111111112"/>
    <n v="8.4700000000000006"/>
    <n v="23.716000000000001"/>
    <n v="6.8687805700792719"/>
  </r>
  <r>
    <s v="A3328"/>
    <s v="Data Analytics Course"/>
    <n v="197"/>
    <n v="3186"/>
    <n v="194.44"/>
    <n v="19"/>
    <n v="6"/>
    <n v="0.03"/>
    <n v="1857"/>
    <d v="2024-11-14T00:00:00"/>
    <s v="Hyderabad"/>
    <x v="2"/>
    <s v="data analytics course"/>
    <d v="2024-11-14T00:00:00"/>
    <n v="6.1833019460138104E-2"/>
    <n v="0.98700507614213195"/>
    <n v="10.233684210526315"/>
    <n v="32.406666666666666"/>
    <n v="9.550504011520264"/>
  </r>
  <r>
    <s v="A3329"/>
    <s v="Data Analytics Course"/>
    <n v="133"/>
    <n v="4241"/>
    <n v="197.26"/>
    <n v="25"/>
    <n v="9"/>
    <n v="6.8000000000000005E-2"/>
    <n v="1325"/>
    <d v="2024-11-26T00:00:00"/>
    <s v="Hyderabad"/>
    <x v="2"/>
    <s v="data anaytics training"/>
    <d v="2024-11-26T00:00:00"/>
    <n v="3.1360528177316674E-2"/>
    <n v="1.483157894736842"/>
    <n v="7.8903999999999996"/>
    <n v="21.917777777777776"/>
    <n v="6.7170232180878031"/>
  </r>
  <r>
    <s v="A3330"/>
    <s v="Data Analytics Course"/>
    <n v="149"/>
    <n v="5035"/>
    <n v="234.52"/>
    <n v="28"/>
    <n v="5"/>
    <n v="3.4000000000000002E-2"/>
    <n v="1304"/>
    <d v="2024-11-04T00:00:00"/>
    <s v="Hyderabad"/>
    <x v="0"/>
    <s v="online data analytic"/>
    <d v="2024-11-04T00:00:00"/>
    <n v="2.9592850049652432E-2"/>
    <n v="1.5739597315436242"/>
    <n v="8.3757142857142863"/>
    <n v="46.904000000000003"/>
    <n v="5.5602933651714137"/>
  </r>
  <r>
    <s v="A3331"/>
    <s v="Data Analytics Course"/>
    <n v="197"/>
    <n v="5686"/>
    <n v="239.76"/>
    <n v="27"/>
    <n v="9"/>
    <n v="5.6000000000000001E-2"/>
    <n v="1462"/>
    <d v="2024-11-17T00:00:00"/>
    <s v="Hyderabad"/>
    <x v="0"/>
    <s v="data analitics online"/>
    <d v="2024-11-17T00:00:00"/>
    <n v="3.4646500175870558E-2"/>
    <n v="1.2170558375634517"/>
    <n v="8.879999999999999"/>
    <n v="26.64"/>
    <n v="6.0977644310977643"/>
  </r>
  <r>
    <s v="A3332"/>
    <s v="Data Analytics Course"/>
    <n v="157"/>
    <n v="4062"/>
    <n v="223.72"/>
    <n v="24"/>
    <n v="8"/>
    <n v="5.0999999999999997E-2"/>
    <n v="1505"/>
    <d v="2024-11-25T00:00:00"/>
    <s v="Hyderabad"/>
    <x v="2"/>
    <s v="data analitics online"/>
    <d v="2024-11-25T00:00:00"/>
    <n v="3.8650910881339241E-2"/>
    <n v="1.4249681528662421"/>
    <n v="9.3216666666666672"/>
    <n v="27.965"/>
    <n v="6.7271589486858572"/>
  </r>
  <r>
    <s v="A3333"/>
    <s v="Data Analytics Course"/>
    <n v="102"/>
    <n v="3113"/>
    <n v="202.77"/>
    <n v="22"/>
    <n v="7"/>
    <n v="6.9000000000000006E-2"/>
    <n v="1997"/>
    <d v="2024-11-06T00:00:00"/>
    <s v="Hyderabad"/>
    <x v="0"/>
    <s v="online data analytic"/>
    <d v="2024-11-06T00:00:00"/>
    <n v="3.2765820751686478E-2"/>
    <n v="1.9879411764705883"/>
    <n v="9.2168181818181818"/>
    <n v="28.967142857142857"/>
    <n v="9.8485969324850817"/>
  </r>
  <r>
    <s v="A3334"/>
    <s v="Data Analytics Course"/>
    <n v="175"/>
    <n v="3958"/>
    <n v="193.52"/>
    <n v="23"/>
    <n v="8"/>
    <n v="4.5999999999999999E-2"/>
    <n v="1064"/>
    <d v="2024-11-04T00:00:00"/>
    <s v="Hyderabad"/>
    <x v="1"/>
    <s v="data analytics course"/>
    <d v="2024-11-04T00:00:00"/>
    <n v="4.4214249621020718E-2"/>
    <n v="1.1058285714285714"/>
    <n v="8.4139130434782619"/>
    <n v="24.19"/>
    <n v="5.498139727159983"/>
  </r>
  <r>
    <s v="A3335"/>
    <s v="Data Analytics Course"/>
    <n v="101"/>
    <n v="3317"/>
    <n v="215.57"/>
    <n v="23"/>
    <n v="4"/>
    <n v="0.04"/>
    <n v="1716"/>
    <d v="2024-11-10T00:00:00"/>
    <s v="Hyderabad"/>
    <x v="0"/>
    <s v="data analytics course"/>
    <d v="2024-11-10T00:00:00"/>
    <n v="3.0449201085318057E-2"/>
    <n v="2.1343564356435643"/>
    <n v="9.3726086956521737"/>
    <n v="53.892499999999998"/>
    <n v="7.9602913206846964"/>
  </r>
  <r>
    <s v="A3336"/>
    <s v="Data Analytics Course"/>
    <n v="127"/>
    <n v="4226"/>
    <n v="184.46"/>
    <n v="10"/>
    <n v="9"/>
    <n v="7.0999999999999994E-2"/>
    <n v="1427"/>
    <d v="2024-11-08T00:00:00"/>
    <s v="Hyderabad"/>
    <x v="0"/>
    <s v="data analytics course"/>
    <d v="2024-11-08T00:00:00"/>
    <n v="3.0052058684335067E-2"/>
    <n v="1.4524409448818898"/>
    <n v="18.446000000000002"/>
    <n v="20.495555555555555"/>
    <n v="7.7360945462430877"/>
  </r>
  <r>
    <s v="A3337"/>
    <s v="Data Analytics Course"/>
    <n v="148"/>
    <n v="3469"/>
    <n v="212.07"/>
    <n v="14"/>
    <n v="9"/>
    <n v="4.5999999999999999E-2"/>
    <n v="1898"/>
    <s v="30-11-2024"/>
    <s v="Hyderabad"/>
    <x v="2"/>
    <s v="data analitics online"/>
    <d v="2024-11-30T00:00:00"/>
    <n v="4.2663591813202652E-2"/>
    <n v="1.4329054054054053"/>
    <n v="15.147857142857143"/>
    <n v="23.563333333333333"/>
    <n v="8.9498750412599613"/>
  </r>
  <r>
    <s v="A3338"/>
    <s v="Data Analytics Course"/>
    <n v="181"/>
    <n v="3859"/>
    <n v="246.36"/>
    <n v="22"/>
    <n v="9"/>
    <n v="5.6000000000000001E-2"/>
    <n v="1769"/>
    <d v="2024-01-11T00:00:00"/>
    <s v="Hyderabad"/>
    <x v="1"/>
    <s v="online data analytic"/>
    <d v="2024-01-11T00:00:00"/>
    <n v="4.6903342834931326E-2"/>
    <n v="1.3611049723756907"/>
    <n v="11.198181818181819"/>
    <n v="27.373333333333335"/>
    <n v="7.1805487903880501"/>
  </r>
  <r>
    <s v="A3339"/>
    <s v="Data Analytics Course"/>
    <n v="140"/>
    <n v="3389"/>
    <n v="183.33"/>
    <n v="28"/>
    <n v="6"/>
    <n v="4.2999999999999997E-2"/>
    <n v="1385"/>
    <d v="2024-11-08T00:00:00"/>
    <s v="Hyderabad"/>
    <x v="1"/>
    <s v="online data analytic"/>
    <d v="2024-11-08T00:00:00"/>
    <n v="4.1310120979640014E-2"/>
    <n v="1.3095000000000001"/>
    <n v="6.5475000000000003"/>
    <n v="30.555000000000003"/>
    <n v="7.5546828124147707"/>
  </r>
  <r>
    <s v="A3340"/>
    <s v="Data Analytics Course"/>
    <n v="146"/>
    <n v="5075"/>
    <n v="215.57"/>
    <n v="13"/>
    <n v="9"/>
    <n v="5.6000000000000001E-2"/>
    <n v="1353"/>
    <d v="2024-11-26T00:00:00"/>
    <s v="Hyderabad"/>
    <x v="2"/>
    <s v="analytics for data"/>
    <d v="2024-11-26T00:00:00"/>
    <n v="2.8768472906403941E-2"/>
    <n v="1.4765068493150684"/>
    <n v="16.58230769230769"/>
    <n v="23.952222222222222"/>
    <n v="6.2763835413090874"/>
  </r>
  <r>
    <s v="A3341"/>
    <s v="Data Analytics Course"/>
    <n v="148"/>
    <n v="3269"/>
    <n v="191.73"/>
    <n v="18"/>
    <n v="9"/>
    <n v="6.0999999999999999E-2"/>
    <n v="1396"/>
    <d v="2024-10-11T00:00:00"/>
    <s v="Hyderabad"/>
    <x v="1"/>
    <s v="learn data analytics"/>
    <d v="2024-10-11T00:00:00"/>
    <n v="4.5273784031814007E-2"/>
    <n v="1.2954729729729728"/>
    <n v="10.651666666666666"/>
    <n v="21.303333333333331"/>
    <n v="7.2810723413133056"/>
  </r>
  <r>
    <s v="A3342"/>
    <s v="Data Analytics Course"/>
    <n v="101"/>
    <n v="4814"/>
    <n v="191.43"/>
    <n v="17"/>
    <n v="7"/>
    <n v="6.9000000000000006E-2"/>
    <n v="1112"/>
    <s v="20-11-2024"/>
    <s v="Hyderabad"/>
    <x v="0"/>
    <s v="learn data analytics"/>
    <d v="2024-11-20T00:00:00"/>
    <n v="2.098047361861238E-2"/>
    <n v="1.8953465346534655"/>
    <n v="11.260588235294119"/>
    <n v="27.34714285714286"/>
    <n v="5.8089118737919865"/>
  </r>
  <r>
    <s v="A3343"/>
    <s v="Data Analytics Course"/>
    <n v="179"/>
    <n v="5145"/>
    <n v="223.04"/>
    <n v="29"/>
    <n v="9"/>
    <n v="0.05"/>
    <n v="1002"/>
    <d v="2024-11-08T00:00:00"/>
    <s v="Hyderabad"/>
    <x v="1"/>
    <s v="data anaytics training"/>
    <d v="2024-11-08T00:00:00"/>
    <n v="3.4791059280855199E-2"/>
    <n v="1.2460335195530725"/>
    <n v="7.6910344827586208"/>
    <n v="24.78222222222222"/>
    <n v="4.4924677187948348"/>
  </r>
  <r>
    <s v="A3344"/>
    <s v="Data Analytics Course"/>
    <n v="151"/>
    <n v="4107"/>
    <n v="183.81"/>
    <n v="21"/>
    <n v="10"/>
    <n v="6.6000000000000003E-2"/>
    <n v="1872"/>
    <d v="2024-11-11T00:00:00"/>
    <s v="Hyderabad"/>
    <x v="0"/>
    <s v="data analytics course"/>
    <d v="2024-11-11T00:00:00"/>
    <n v="3.6766496225955687E-2"/>
    <n v="1.2172847682119206"/>
    <n v="8.7528571428571436"/>
    <n v="18.381"/>
    <n v="10.184429574016647"/>
  </r>
  <r>
    <s v="A3345"/>
    <s v="Data Analytics Course"/>
    <n v="195"/>
    <n v="3221"/>
    <n v="185.08"/>
    <n v="19"/>
    <n v="10"/>
    <n v="4.2000000000000003E-2"/>
    <n v="1905"/>
    <d v="2024-11-26T00:00:00"/>
    <s v="Hyderabad"/>
    <x v="2"/>
    <s v="data analytics course"/>
    <d v="2024-11-26T00:00:00"/>
    <n v="6.0540204905308911E-2"/>
    <n v="0.94912820512820517"/>
    <n v="9.7410526315789472"/>
    <n v="18.508000000000003"/>
    <n v="10.292846336719256"/>
  </r>
  <r>
    <s v="A3346"/>
    <s v="Data Analytics Course"/>
    <n v="169"/>
    <n v="4846"/>
    <n v="230.53"/>
    <n v="15"/>
    <n v="8"/>
    <n v="4.5999999999999999E-2"/>
    <n v="1103"/>
    <d v="2024-04-11T00:00:00"/>
    <s v="Hyderabad"/>
    <x v="1"/>
    <s v="data anaytics training"/>
    <d v="2024-04-11T00:00:00"/>
    <n v="3.4874122988031366E-2"/>
    <n v="1.3640828402366865"/>
    <n v="15.368666666666666"/>
    <n v="28.81625"/>
    <n v="4.7846267297097995"/>
  </r>
  <r>
    <s v="A3347"/>
    <s v="Data Analytics Course"/>
    <n v="161"/>
    <n v="3160"/>
    <n v="229.71"/>
    <n v="17"/>
    <n v="3"/>
    <n v="1.9E-2"/>
    <n v="1817"/>
    <d v="2024-11-01T00:00:00"/>
    <s v="Hyderabad"/>
    <x v="1"/>
    <s v="data anaytics training"/>
    <d v="2024-11-01T00:00:00"/>
    <n v="5.0949367088607596E-2"/>
    <n v="1.4267701863354039"/>
    <n v="13.512352941176472"/>
    <n v="76.570000000000007"/>
    <n v="7.9099734447781982"/>
  </r>
  <r>
    <s v="A3348"/>
    <s v="Data Analytics Course"/>
    <n v="156"/>
    <n v="5095"/>
    <n v="214.32"/>
    <n v="30"/>
    <n v="9"/>
    <n v="4.5999999999999999E-2"/>
    <n v="1444"/>
    <s v="27-11-2024"/>
    <s v="Hyderabad"/>
    <x v="1"/>
    <s v="data analitics online"/>
    <d v="2024-11-27T00:00:00"/>
    <n v="3.0618253189401375E-2"/>
    <n v="1.3738461538461537"/>
    <n v="7.1440000000000001"/>
    <n v="23.813333333333333"/>
    <n v="6.7375886524822697"/>
  </r>
  <r>
    <s v="A3349"/>
    <s v="Data Analytics Course"/>
    <n v="148"/>
    <n v="3957"/>
    <n v="215.57"/>
    <n v="20"/>
    <n v="10"/>
    <n v="6.8000000000000005E-2"/>
    <n v="1288"/>
    <d v="2024-10-11T00:00:00"/>
    <s v="Hyderabad"/>
    <x v="2"/>
    <s v="data analitics online"/>
    <d v="2024-10-11T00:00:00"/>
    <n v="3.7402072276977505E-2"/>
    <n v="1.456554054054054"/>
    <n v="10.778499999999999"/>
    <n v="21.556999999999999"/>
    <n v="5.9748573549195161"/>
  </r>
  <r>
    <s v="A3350"/>
    <s v="Data Analytics Course"/>
    <n v="126"/>
    <n v="4920"/>
    <n v="182.36"/>
    <n v="27"/>
    <n v="5"/>
    <n v="0.04"/>
    <n v="1933"/>
    <d v="2024-04-11T00:00:00"/>
    <s v="Hyderabad"/>
    <x v="2"/>
    <s v="data analitics online"/>
    <d v="2024-04-11T00:00:00"/>
    <n v="2.5609756097560974E-2"/>
    <n v="1.4473015873015873"/>
    <n v="6.754074074074075"/>
    <n v="36.472000000000001"/>
    <n v="10.599912261460846"/>
  </r>
  <r>
    <s v="A3351"/>
    <s v="Data Analytics Course"/>
    <n v="189"/>
    <n v="3588"/>
    <n v="191.74"/>
    <n v="22"/>
    <n v="9"/>
    <n v="4.5999999999999999E-2"/>
    <n v="1893"/>
    <s v="25-11-2024"/>
    <s v="Hyderabad"/>
    <x v="0"/>
    <s v="data analytics course"/>
    <d v="2024-11-25T00:00:00"/>
    <n v="5.2675585284280936E-2"/>
    <n v="1.0144973544973546"/>
    <n v="8.7154545454545467"/>
    <n v="21.304444444444446"/>
    <n v="9.8727443412955047"/>
  </r>
  <r>
    <s v="A3352"/>
    <s v="Data Analytics Course"/>
    <n v="119"/>
    <n v="4927"/>
    <n v="223.35"/>
    <n v="16"/>
    <n v="3"/>
    <n v="4.5999999999999999E-2"/>
    <n v="1377"/>
    <s v="14-11-2024"/>
    <s v="Hyderabad"/>
    <x v="1"/>
    <s v="data anaytics training"/>
    <d v="2024-11-14T00:00:00"/>
    <n v="2.4152628374264257E-2"/>
    <n v="1.876890756302521"/>
    <n v="13.959375"/>
    <n v="74.45"/>
    <n v="6.1652115513767631"/>
  </r>
  <r>
    <s v="A3353"/>
    <s v="Data Analytics Course"/>
    <n v="139"/>
    <n v="4518.5"/>
    <n v="200.54"/>
    <n v="30"/>
    <n v="5"/>
    <n v="3.2000000000000001E-2"/>
    <n v="1505"/>
    <d v="2024-11-01T00:00:00"/>
    <s v="Hyderabad"/>
    <x v="0"/>
    <s v="analytics for data"/>
    <d v="2024-11-01T00:00:00"/>
    <n v="3.0762421157463759E-2"/>
    <n v="1.4427338129496403"/>
    <n v="6.6846666666666668"/>
    <n v="40.107999999999997"/>
    <n v="7.5047372095342579"/>
  </r>
  <r>
    <s v="A3354"/>
    <s v="Data Analytics Course"/>
    <n v="127"/>
    <n v="5742"/>
    <n v="233.98"/>
    <n v="13"/>
    <n v="4"/>
    <n v="3.1E-2"/>
    <n v="1743"/>
    <d v="2024-11-12T00:00:00"/>
    <s v="Hyderabad"/>
    <x v="2"/>
    <s v="data analytics course"/>
    <d v="2024-11-12T00:00:00"/>
    <n v="2.2117729014280739E-2"/>
    <n v="1.8423622047244093"/>
    <n v="17.998461538461537"/>
    <n v="58.494999999999997"/>
    <n v="7.4493546456962134"/>
  </r>
  <r>
    <s v="A3355"/>
    <s v="Data Analytics Course"/>
    <n v="106"/>
    <n v="4474"/>
    <n v="181.48"/>
    <n v="17"/>
    <n v="10"/>
    <n v="9.4E-2"/>
    <n v="1189"/>
    <d v="2024-11-20T00:00:00"/>
    <s v="Hyderabad"/>
    <x v="2"/>
    <s v="analytics for data"/>
    <d v="2024-11-20T00:00:00"/>
    <n v="2.3692445239159587E-2"/>
    <n v="1.712075471698113"/>
    <n v="10.675294117647057"/>
    <n v="18.148"/>
    <n v="6.5516861362133572"/>
  </r>
  <r>
    <s v="A3356"/>
    <s v="Data Analytics Course"/>
    <n v="119"/>
    <n v="4322"/>
    <n v="183"/>
    <n v="24"/>
    <n v="5"/>
    <n v="4.5999999999999999E-2"/>
    <n v="1108"/>
    <d v="2024-11-06T00:00:00"/>
    <s v="Hyderabad"/>
    <x v="1"/>
    <s v="data analitics online"/>
    <d v="2024-11-06T00:00:00"/>
    <n v="2.7533549282739472E-2"/>
    <n v="1.5378151260504203"/>
    <n v="7.625"/>
    <n v="36.6"/>
    <n v="6.054644808743169"/>
  </r>
  <r>
    <s v="A3357"/>
    <s v="Data Analytics Course"/>
    <n v="81"/>
    <n v="4144"/>
    <n v="180.01"/>
    <n v="18"/>
    <n v="3"/>
    <n v="3.6999999999999998E-2"/>
    <n v="1648"/>
    <d v="2024-11-20T00:00:00"/>
    <s v="Hyderabad"/>
    <x v="1"/>
    <s v="data analitics online"/>
    <d v="2024-11-20T00:00:00"/>
    <n v="1.9546332046332045E-2"/>
    <n v="2.2223456790123457"/>
    <n v="10.000555555555556"/>
    <n v="60.00333333333333"/>
    <n v="9.1550469418365648"/>
  </r>
  <r>
    <s v="A3358"/>
    <s v="Data Analytics Course"/>
    <n v="152"/>
    <n v="5007"/>
    <n v="208.84"/>
    <n v="19"/>
    <n v="10"/>
    <n v="6.6000000000000003E-2"/>
    <n v="1628"/>
    <d v="2024-11-24T00:00:00"/>
    <s v="Hyderabad"/>
    <x v="1"/>
    <s v="online data analytic"/>
    <d v="2024-11-24T00:00:00"/>
    <n v="3.035749950069902E-2"/>
    <n v="1.3739473684210526"/>
    <n v="10.991578947368421"/>
    <n v="20.884"/>
    <n v="7.7954414863053056"/>
  </r>
  <r>
    <s v="A3359"/>
    <s v="Data Analytics Course"/>
    <n v="153"/>
    <n v="5388"/>
    <n v="219.93"/>
    <n v="16"/>
    <n v="4"/>
    <n v="2.5999999999999999E-2"/>
    <n v="1602"/>
    <d v="2024-11-11T00:00:00"/>
    <s v="Hyderabad"/>
    <x v="2"/>
    <s v="data analytics course"/>
    <d v="2024-11-11T00:00:00"/>
    <n v="2.8396436525612471E-2"/>
    <n v="1.4374509803921569"/>
    <n v="13.745625"/>
    <n v="54.982500000000002"/>
    <n v="7.2841358614104488"/>
  </r>
  <r>
    <s v="A3360"/>
    <s v="Data Analytics Course"/>
    <n v="120"/>
    <n v="4229"/>
    <n v="244.13"/>
    <n v="20"/>
    <n v="9"/>
    <n v="7.4999999999999997E-2"/>
    <n v="1380"/>
    <d v="2024-11-12T00:00:00"/>
    <s v="Hyderabad"/>
    <x v="0"/>
    <s v="data analytics course"/>
    <d v="2024-11-12T00:00:00"/>
    <n v="2.8375502482856467E-2"/>
    <n v="2.0344166666666665"/>
    <n v="12.2065"/>
    <n v="27.125555555555554"/>
    <n v="5.6527260066358087"/>
  </r>
  <r>
    <s v="A3361"/>
    <s v="Data Analytics Course"/>
    <n v="167"/>
    <n v="5140"/>
    <n v="228.32"/>
    <n v="28"/>
    <n v="9"/>
    <n v="5.0999999999999997E-2"/>
    <n v="1056"/>
    <d v="2024-08-11T00:00:00"/>
    <s v="Hyderabad"/>
    <x v="1"/>
    <s v="data analitics online"/>
    <d v="2024-08-11T00:00:00"/>
    <n v="3.2490272373540859E-2"/>
    <n v="1.367185628742515"/>
    <n v="8.1542857142857148"/>
    <n v="25.36888888888889"/>
    <n v="4.6250875963559919"/>
  </r>
  <r>
    <s v="A3362"/>
    <s v="Data Analytics Course"/>
    <n v="116"/>
    <n v="5001"/>
    <n v="186.67"/>
    <n v="17"/>
    <n v="5"/>
    <n v="4.2999999999999997E-2"/>
    <n v="1340"/>
    <d v="2024-11-07T00:00:00"/>
    <s v="Hyderabad"/>
    <x v="0"/>
    <s v="analytics for data"/>
    <d v="2024-11-07T00:00:00"/>
    <n v="2.3195360927814438E-2"/>
    <n v="1.6092241379310344"/>
    <n v="10.980588235294118"/>
    <n v="37.333999999999996"/>
    <n v="7.1784432420849633"/>
  </r>
  <r>
    <s v="A3363"/>
    <s v="Data Analytics Course"/>
    <n v="93"/>
    <n v="3802"/>
    <n v="215.52"/>
    <n v="22"/>
    <n v="7"/>
    <n v="3.4000000000000002E-2"/>
    <n v="1513"/>
    <d v="2024-11-23T00:00:00"/>
    <s v="Hyderabad"/>
    <x v="1"/>
    <s v="online data analytic"/>
    <d v="2024-11-23T00:00:00"/>
    <n v="2.4460810099947397E-2"/>
    <n v="2.3174193548387096"/>
    <n v="9.7963636363636368"/>
    <n v="30.78857142857143"/>
    <n v="7.0202301410541939"/>
  </r>
  <r>
    <s v="A3364"/>
    <s v="Data Analytics Course"/>
    <n v="159"/>
    <n v="5584"/>
    <n v="249.46"/>
    <n v="18"/>
    <n v="8"/>
    <n v="0.05"/>
    <n v="1176"/>
    <d v="2024-11-09T00:00:00"/>
    <s v="Hyderabad"/>
    <x v="0"/>
    <s v="analytics for data"/>
    <d v="2024-11-09T00:00:00"/>
    <n v="2.8474212034383953E-2"/>
    <n v="1.5689308176100629"/>
    <n v="13.85888888888889"/>
    <n v="31.182500000000001"/>
    <n v="4.7141826344904993"/>
  </r>
  <r>
    <s v="A3365"/>
    <s v="Data Analytics Course"/>
    <n v="146"/>
    <n v="5105"/>
    <n v="224.77"/>
    <n v="12"/>
    <n v="7"/>
    <n v="3.7999999999999999E-2"/>
    <n v="1440"/>
    <d v="2024-11-05T00:00:00"/>
    <s v="Hyderabad"/>
    <x v="1"/>
    <s v="analytics for data"/>
    <d v="2024-11-05T00:00:00"/>
    <n v="2.859941234084231E-2"/>
    <n v="1.5395205479452057"/>
    <n v="18.730833333333333"/>
    <n v="32.11"/>
    <n v="6.4065489166703742"/>
  </r>
  <r>
    <s v="A3366"/>
    <s v="Data Analytics Course"/>
    <n v="136"/>
    <n v="5714"/>
    <n v="190.3"/>
    <n v="19"/>
    <n v="8"/>
    <n v="5.8999999999999997E-2"/>
    <n v="1694"/>
    <d v="2024-11-30T00:00:00"/>
    <s v="Hyderabad"/>
    <x v="0"/>
    <s v="data anaytics training"/>
    <d v="2024-11-30T00:00:00"/>
    <n v="2.3801190059502975E-2"/>
    <n v="1.3992647058823531"/>
    <n v="10.015789473684212"/>
    <n v="23.787500000000001"/>
    <n v="8.901734104046243"/>
  </r>
  <r>
    <s v="A3367"/>
    <s v="Data Analytics Course"/>
    <n v="159"/>
    <n v="5025"/>
    <n v="208.68"/>
    <n v="16"/>
    <n v="4"/>
    <n v="5.0999999999999997E-2"/>
    <n v="1779"/>
    <d v="2024-11-21T00:00:00"/>
    <s v="Hyderabad"/>
    <x v="1"/>
    <s v="online data analytic"/>
    <d v="2024-11-21T00:00:00"/>
    <n v="3.1641791044776123E-2"/>
    <n v="1.3124528301886793"/>
    <n v="13.0425"/>
    <n v="52.17"/>
    <n v="8.5250143760782056"/>
  </r>
  <r>
    <s v="A3368"/>
    <s v="Data Analytics Course"/>
    <n v="83"/>
    <n v="3781"/>
    <n v="220.82"/>
    <n v="11"/>
    <n v="4"/>
    <n v="4.8000000000000001E-2"/>
    <n v="1866"/>
    <s v="15-11-2024"/>
    <s v="Hyderabad"/>
    <x v="1"/>
    <s v="data anaytics training"/>
    <d v="2024-11-15T00:00:00"/>
    <n v="2.1951864586088336E-2"/>
    <n v="2.6604819277108431"/>
    <n v="20.074545454545454"/>
    <n v="55.204999999999998"/>
    <n v="8.4503215288470255"/>
  </r>
  <r>
    <s v="A3369"/>
    <s v="Data Analytics Course"/>
    <n v="136"/>
    <n v="3318"/>
    <n v="215.86"/>
    <n v="20"/>
    <n v="8"/>
    <n v="3.2000000000000001E-2"/>
    <n v="1712"/>
    <d v="2024-11-21T00:00:00"/>
    <s v="Hyderabad"/>
    <x v="2"/>
    <s v="data analitics online"/>
    <d v="2024-11-21T00:00:00"/>
    <n v="4.0988547317661245E-2"/>
    <n v="1.5872058823529414"/>
    <n v="10.793000000000001"/>
    <n v="26.982500000000002"/>
    <n v="7.9310664319466317"/>
  </r>
  <r>
    <s v="A3370"/>
    <s v="Data Analytics Course"/>
    <n v="136"/>
    <n v="3939"/>
    <n v="213.66"/>
    <n v="16"/>
    <n v="6"/>
    <n v="4.3999999999999997E-2"/>
    <n v="1708"/>
    <s v="21-11-2024"/>
    <s v="Hyderabad"/>
    <x v="2"/>
    <s v="online data analytic"/>
    <d v="2024-11-21T00:00:00"/>
    <n v="3.4526529576034526E-2"/>
    <n v="1.5710294117647059"/>
    <n v="13.35375"/>
    <n v="35.61"/>
    <n v="7.9940091734531498"/>
  </r>
  <r>
    <s v="A3371"/>
    <s v="Data Analytics Course"/>
    <n v="166"/>
    <n v="3546"/>
    <n v="221.99"/>
    <n v="10"/>
    <n v="3"/>
    <n v="1.7999999999999999E-2"/>
    <n v="1796"/>
    <d v="2024-11-12T00:00:00"/>
    <s v="Hyderabad"/>
    <x v="0"/>
    <s v="learn data analytics"/>
    <d v="2024-11-12T00:00:00"/>
    <n v="4.6813310772701636E-2"/>
    <n v="1.3372891566265062"/>
    <n v="22.199000000000002"/>
    <n v="73.99666666666667"/>
    <n v="8.0904545249786022"/>
  </r>
  <r>
    <s v="A3372"/>
    <s v="Data Analytics Course"/>
    <n v="192"/>
    <n v="5845"/>
    <n v="247.56"/>
    <n v="28"/>
    <n v="3"/>
    <n v="4.5999999999999999E-2"/>
    <n v="1542"/>
    <s v="19-11-2024"/>
    <s v="Hyderabad"/>
    <x v="0"/>
    <s v="analytics for data"/>
    <d v="2024-11-19T00:00:00"/>
    <n v="3.2848588537211294E-2"/>
    <n v="1.2893749999999999"/>
    <n v="8.8414285714285707"/>
    <n v="82.52"/>
    <n v="6.2287930198739696"/>
  </r>
  <r>
    <s v="A3373"/>
    <s v="Data Analytics Course"/>
    <n v="139"/>
    <n v="3580"/>
    <n v="223.48"/>
    <n v="21"/>
    <n v="6"/>
    <n v="4.5999999999999999E-2"/>
    <n v="1555"/>
    <d v="2024-11-27T00:00:00"/>
    <s v="Hyderabad"/>
    <x v="2"/>
    <s v="data analytics course"/>
    <d v="2024-11-27T00:00:00"/>
    <n v="3.8826815642458101E-2"/>
    <n v="1.6077697841726617"/>
    <n v="10.641904761904762"/>
    <n v="37.246666666666663"/>
    <n v="6.9581170574548059"/>
  </r>
  <r>
    <s v="A3374"/>
    <s v="Data Analytics Course"/>
    <n v="108"/>
    <n v="4019"/>
    <n v="199.85"/>
    <n v="25"/>
    <n v="8"/>
    <n v="5.8999999999999997E-2"/>
    <n v="1657"/>
    <d v="2024-02-11T00:00:00"/>
    <s v="Hyderabad"/>
    <x v="2"/>
    <s v="learn data analytics"/>
    <d v="2024-02-11T00:00:00"/>
    <n v="2.6872356307539189E-2"/>
    <n v="1.850462962962963"/>
    <n v="7.9939999999999998"/>
    <n v="24.981249999999999"/>
    <n v="8.2912184138103573"/>
  </r>
  <r>
    <s v="A3375"/>
    <s v="Data Analytics Course"/>
    <n v="175"/>
    <n v="3345"/>
    <n v="185.48"/>
    <n v="23"/>
    <n v="9"/>
    <n v="5.0999999999999997E-2"/>
    <n v="1193"/>
    <s v="20-11-2024"/>
    <s v="Hyderabad"/>
    <x v="0"/>
    <s v="data analitics online"/>
    <d v="2024-11-20T00:00:00"/>
    <n v="5.2316890881913304E-2"/>
    <n v="1.0598857142857143"/>
    <n v="8.0643478260869568"/>
    <n v="20.608888888888888"/>
    <n v="6.4319603191718784"/>
  </r>
  <r>
    <s v="A3376"/>
    <s v="Data Analytics Course"/>
    <n v="80"/>
    <n v="4413"/>
    <n v="245.4"/>
    <n v="10"/>
    <n v="5"/>
    <n v="6.2E-2"/>
    <n v="1650"/>
    <d v="2024-11-03T00:00:00"/>
    <s v="Hyderabad"/>
    <x v="1"/>
    <s v="data analytics course"/>
    <d v="2024-11-03T00:00:00"/>
    <n v="1.8128257421255383E-2"/>
    <n v="3.0674999999999999"/>
    <n v="24.54"/>
    <n v="49.08"/>
    <n v="6.7237163814180931"/>
  </r>
  <r>
    <s v="A3377"/>
    <s v="Data Analytics Course"/>
    <n v="192"/>
    <n v="4969"/>
    <n v="234.27"/>
    <n v="30"/>
    <n v="5"/>
    <n v="2.5999999999999999E-2"/>
    <n v="1627"/>
    <s v="17-11-2024"/>
    <s v="Hyderabad"/>
    <x v="2"/>
    <s v="data analytics course"/>
    <d v="2024-11-17T00:00:00"/>
    <n v="3.8639565304890322E-2"/>
    <n v="1.2201562500000001"/>
    <n v="7.8090000000000002"/>
    <n v="46.853999999999999"/>
    <n v="6.9449780168182009"/>
  </r>
  <r>
    <s v="A3378"/>
    <s v="Data Analytics Course"/>
    <n v="85"/>
    <n v="5083"/>
    <n v="181.19"/>
    <n v="13"/>
    <n v="3"/>
    <n v="0.05"/>
    <n v="1048"/>
    <d v="2024-11-11T00:00:00"/>
    <s v="Hyderabad"/>
    <x v="1"/>
    <s v="data analytics course"/>
    <d v="2024-11-11T00:00:00"/>
    <n v="1.6722408026755852E-2"/>
    <n v="2.1316470588235292"/>
    <n v="13.937692307692307"/>
    <n v="60.396666666666668"/>
    <n v="5.7839836635575912"/>
  </r>
  <r>
    <s v="A3379"/>
    <s v="Data Analytics Course"/>
    <n v="91"/>
    <n v="4176"/>
    <n v="216.63"/>
    <n v="20"/>
    <n v="8"/>
    <n v="8.7999999999999995E-2"/>
    <n v="1502"/>
    <d v="2024-09-11T00:00:00"/>
    <s v="Hyderabad"/>
    <x v="1"/>
    <s v="data analytics course"/>
    <d v="2024-09-11T00:00:00"/>
    <n v="2.1791187739463602E-2"/>
    <n v="2.3805494505494504"/>
    <n v="10.8315"/>
    <n v="27.078749999999999"/>
    <n v="6.9334810506393394"/>
  </r>
  <r>
    <s v="A3380"/>
    <s v="Data Analytics Course"/>
    <n v="94"/>
    <n v="5389"/>
    <n v="220.53"/>
    <n v="11"/>
    <n v="10"/>
    <n v="0.106"/>
    <n v="1670"/>
    <s v="27-11-2024"/>
    <s v="Hyderabad"/>
    <x v="1"/>
    <s v="data anaytics training"/>
    <d v="2024-11-27T00:00:00"/>
    <n v="1.7442939320838746E-2"/>
    <n v="2.346063829787234"/>
    <n v="20.048181818181817"/>
    <n v="22.053000000000001"/>
    <n v="7.5726658504511857"/>
  </r>
  <r>
    <s v="A3381"/>
    <s v="Data Analytics Course"/>
    <n v="119"/>
    <n v="4653"/>
    <n v="224.68"/>
    <n v="20"/>
    <n v="4"/>
    <n v="4.5999999999999999E-2"/>
    <n v="1773"/>
    <s v="14-11-2024"/>
    <s v="Hyderabad"/>
    <x v="2"/>
    <s v="learn data analytics"/>
    <d v="2024-11-14T00:00:00"/>
    <n v="2.5574897915323448E-2"/>
    <n v="1.8880672268907563"/>
    <n v="11.234"/>
    <n v="56.17"/>
    <n v="7.8912230728146699"/>
  </r>
  <r>
    <s v="A3382"/>
    <s v="Data Analytics Course"/>
    <n v="198"/>
    <n v="3926"/>
    <n v="195.25"/>
    <n v="25"/>
    <n v="7"/>
    <n v="3.5000000000000003E-2"/>
    <n v="1060"/>
    <d v="2024-11-12T00:00:00"/>
    <s v="Hyderabad"/>
    <x v="0"/>
    <s v="data analitics online"/>
    <d v="2024-11-12T00:00:00"/>
    <n v="5.0433010697911361E-2"/>
    <n v="0.98611111111111116"/>
    <n v="7.81"/>
    <n v="27.892857142857142"/>
    <n v="5.4289372599231758"/>
  </r>
  <r>
    <s v="A3383"/>
    <s v="Data Analytics Course"/>
    <n v="87"/>
    <n v="4154"/>
    <n v="232.88"/>
    <n v="13"/>
    <n v="3"/>
    <n v="3.4000000000000002E-2"/>
    <n v="1099"/>
    <d v="2024-11-10T00:00:00"/>
    <s v="Hyderabad"/>
    <x v="0"/>
    <s v="online data analytic"/>
    <d v="2024-11-10T00:00:00"/>
    <n v="2.0943668753009147E-2"/>
    <n v="2.6767816091954022"/>
    <n v="17.913846153846155"/>
    <n v="77.626666666666665"/>
    <n v="4.7191686705599452"/>
  </r>
  <r>
    <s v="A3384"/>
    <s v="Data Analytics Course"/>
    <n v="101"/>
    <n v="3286"/>
    <n v="196.59"/>
    <n v="12"/>
    <n v="9"/>
    <n v="8.8999999999999996E-2"/>
    <n v="1034"/>
    <d v="2024-11-02T00:00:00"/>
    <s v="Hyderabad"/>
    <x v="2"/>
    <s v="analytics for data"/>
    <d v="2024-11-02T00:00:00"/>
    <n v="3.0736457699330495E-2"/>
    <n v="1.9464356435643564"/>
    <n v="16.3825"/>
    <n v="21.843333333333334"/>
    <n v="5.2596775013988504"/>
  </r>
  <r>
    <s v="A3385"/>
    <s v="Data Analytics Course"/>
    <n v="142"/>
    <n v="4593"/>
    <n v="230.69"/>
    <n v="20"/>
    <n v="5"/>
    <n v="3.5000000000000003E-2"/>
    <n v="1537"/>
    <d v="2024-11-22T00:00:00"/>
    <s v="Hyderabad"/>
    <x v="1"/>
    <s v="data analytics course"/>
    <d v="2024-11-22T00:00:00"/>
    <n v="3.0916612236011321E-2"/>
    <n v="1.6245774647887323"/>
    <n v="11.5345"/>
    <n v="46.137999999999998"/>
    <n v="6.6626208331527161"/>
  </r>
  <r>
    <s v="A3386"/>
    <s v="Data Analytics Course"/>
    <n v="111"/>
    <n v="5689"/>
    <n v="195.94"/>
    <n v="12"/>
    <n v="4"/>
    <n v="4.5999999999999999E-2"/>
    <n v="1377"/>
    <d v="2024-11-14T00:00:00"/>
    <s v="Hyderabad"/>
    <x v="0"/>
    <s v="analytics for data"/>
    <d v="2024-11-14T00:00:00"/>
    <n v="1.9511337669186148E-2"/>
    <n v="1.7652252252252252"/>
    <n v="16.328333333333333"/>
    <n v="48.984999999999999"/>
    <n v="7.0276615290395021"/>
  </r>
  <r>
    <s v="A3387"/>
    <s v="Data Analytics Course"/>
    <n v="152"/>
    <n v="5040"/>
    <n v="238.61"/>
    <n v="30"/>
    <n v="9"/>
    <n v="0.04"/>
    <n v="1795"/>
    <s v="15-11-2024"/>
    <s v="Hyderabad"/>
    <x v="0"/>
    <s v="data analytics course"/>
    <d v="2024-11-15T00:00:00"/>
    <n v="3.0158730158730159E-2"/>
    <n v="1.5698026315789475"/>
    <n v="7.9536666666666669"/>
    <n v="26.512222222222224"/>
    <n v="7.5227358451028872"/>
  </r>
  <r>
    <s v="A3388"/>
    <s v="Data Analytics Course"/>
    <n v="89"/>
    <n v="3623"/>
    <n v="218.35"/>
    <n v="22"/>
    <n v="6"/>
    <n v="6.7000000000000004E-2"/>
    <n v="1311"/>
    <d v="2024-11-01T00:00:00"/>
    <s v="Hyderabad"/>
    <x v="1"/>
    <s v="learn data analytics"/>
    <d v="2024-11-01T00:00:00"/>
    <n v="2.456527739442451E-2"/>
    <n v="2.4533707865168539"/>
    <n v="9.9249999999999989"/>
    <n v="36.391666666666666"/>
    <n v="6.0041218227616211"/>
  </r>
  <r>
    <s v="A3389"/>
    <s v="Data Analytics Course"/>
    <n v="115"/>
    <n v="3999"/>
    <n v="216.67"/>
    <n v="16"/>
    <n v="6"/>
    <n v="3.1E-2"/>
    <n v="1777"/>
    <d v="2024-11-05T00:00:00"/>
    <s v="Hyderabad"/>
    <x v="1"/>
    <s v="data analytics course"/>
    <d v="2024-11-05T00:00:00"/>
    <n v="2.8757189297324331E-2"/>
    <n v="1.8840869565217391"/>
    <n v="13.541874999999999"/>
    <n v="36.111666666666665"/>
    <n v="8.2014122859648317"/>
  </r>
  <r>
    <s v="A3390"/>
    <s v="Data Analytics Course"/>
    <n v="131"/>
    <n v="4320"/>
    <n v="223.08"/>
    <n v="30"/>
    <n v="7"/>
    <n v="5.8000000000000003E-2"/>
    <n v="1505"/>
    <d v="2024-11-04T00:00:00"/>
    <s v="Hyderabad"/>
    <x v="1"/>
    <s v="analytics for data"/>
    <d v="2024-11-04T00:00:00"/>
    <n v="3.0324074074074073E-2"/>
    <n v="1.7029007633587787"/>
    <n v="7.4360000000000008"/>
    <n v="31.868571428571432"/>
    <n v="6.7464586695355919"/>
  </r>
  <r>
    <s v="A3391"/>
    <s v="Data Analytics Course"/>
    <n v="153"/>
    <n v="4027"/>
    <n v="182.11"/>
    <n v="10"/>
    <n v="5"/>
    <n v="3.3000000000000002E-2"/>
    <n v="1332"/>
    <d v="2024-11-28T00:00:00"/>
    <s v="Hyderabad"/>
    <x v="2"/>
    <s v="learn data analytics"/>
    <d v="2024-11-28T00:00:00"/>
    <n v="3.7993543580829403E-2"/>
    <n v="1.1902614379084968"/>
    <n v="18.211000000000002"/>
    <n v="36.422000000000004"/>
    <n v="7.3142606117181916"/>
  </r>
  <r>
    <s v="A3392"/>
    <s v="Data Analytics Course"/>
    <n v="108"/>
    <n v="4518.5"/>
    <n v="208.9"/>
    <n v="10"/>
    <n v="7"/>
    <n v="4.5999999999999999E-2"/>
    <n v="1313"/>
    <d v="2024-11-29T00:00:00"/>
    <s v="Hyderabad"/>
    <x v="0"/>
    <s v="learn data analytics"/>
    <d v="2024-11-29T00:00:00"/>
    <n v="2.3901737302202058E-2"/>
    <n v="1.9342592592592593"/>
    <n v="20.89"/>
    <n v="29.842857142857145"/>
    <n v="6.2853039731929154"/>
  </r>
  <r>
    <s v="A3393"/>
    <s v="Data Analytics Course"/>
    <n v="172"/>
    <n v="5712"/>
    <n v="204.06"/>
    <n v="28"/>
    <n v="7"/>
    <n v="3.4000000000000002E-2"/>
    <n v="1407"/>
    <s v="21-11-2024"/>
    <s v="Hyderabad"/>
    <x v="2"/>
    <s v="analytics for data"/>
    <d v="2024-11-21T00:00:00"/>
    <n v="3.0112044817927171E-2"/>
    <n v="1.1863953488372092"/>
    <n v="7.2878571428571428"/>
    <n v="29.151428571428571"/>
    <n v="6.8950308732725665"/>
  </r>
  <r>
    <s v="A3394"/>
    <s v="Data Analytics Course"/>
    <n v="118"/>
    <n v="5514"/>
    <n v="237.88"/>
    <n v="27"/>
    <n v="9"/>
    <n v="7.5999999999999998E-2"/>
    <n v="1401"/>
    <s v="27-11-2024"/>
    <s v="Hyderabad"/>
    <x v="1"/>
    <s v="analytics for data"/>
    <d v="2024-11-27T00:00:00"/>
    <n v="2.1400072542618789E-2"/>
    <n v="2.0159322033898306"/>
    <n v="8.8103703703703697"/>
    <n v="26.431111111111111"/>
    <n v="5.8895241298133509"/>
  </r>
  <r>
    <s v="A3395"/>
    <s v="Data Analytics Course"/>
    <n v="90"/>
    <n v="3776"/>
    <n v="186.92"/>
    <n v="19"/>
    <n v="4"/>
    <n v="0.04"/>
    <n v="1053"/>
    <s v="15-11-2024"/>
    <s v="Hyderabad"/>
    <x v="2"/>
    <s v="learn data analytics"/>
    <d v="2024-11-15T00:00:00"/>
    <n v="2.3834745762711863E-2"/>
    <n v="2.0768888888888886"/>
    <n v="9.8378947368421041"/>
    <n v="46.73"/>
    <n v="5.6334260646265788"/>
  </r>
  <r>
    <s v="A3396"/>
    <s v="Data Analytics Course"/>
    <n v="97"/>
    <n v="3370"/>
    <n v="236.35"/>
    <n v="20"/>
    <n v="7"/>
    <n v="7.1999999999999995E-2"/>
    <n v="1505"/>
    <d v="2024-11-04T00:00:00"/>
    <s v="Hyderabad"/>
    <x v="1"/>
    <s v="data analytics course"/>
    <d v="2024-11-04T00:00:00"/>
    <n v="2.8783382789317507E-2"/>
    <n v="2.4365979381443297"/>
    <n v="11.817499999999999"/>
    <n v="33.764285714285712"/>
    <n v="6.3676750581764336"/>
  </r>
  <r>
    <s v="A3397"/>
    <s v="Data Analytics Course"/>
    <n v="149"/>
    <n v="3814"/>
    <n v="213.11"/>
    <n v="13"/>
    <n v="7"/>
    <n v="4.7E-2"/>
    <n v="1057"/>
    <d v="2024-11-06T00:00:00"/>
    <s v="Hyderabad"/>
    <x v="1"/>
    <s v="analytics for data"/>
    <d v="2024-11-06T00:00:00"/>
    <n v="3.9066596748820133E-2"/>
    <n v="1.430268456375839"/>
    <n v="16.393076923076926"/>
    <n v="30.444285714285716"/>
    <n v="4.9598798742433479"/>
  </r>
  <r>
    <s v="A3398"/>
    <s v="Data Analytics Course"/>
    <n v="137"/>
    <n v="5434"/>
    <n v="182.57"/>
    <n v="10"/>
    <n v="7"/>
    <n v="5.0999999999999997E-2"/>
    <n v="1852"/>
    <d v="2024-11-29T00:00:00"/>
    <s v="Hyderabad"/>
    <x v="0"/>
    <s v="online data analytic"/>
    <d v="2024-11-29T00:00:00"/>
    <n v="2.5211630474788371E-2"/>
    <n v="1.3326277372262774"/>
    <n v="18.256999999999998"/>
    <n v="26.081428571428571"/>
    <n v="10.144054335323437"/>
  </r>
  <r>
    <s v="A3399"/>
    <s v="Data Analytics Course"/>
    <n v="172"/>
    <n v="4079"/>
    <n v="183.05"/>
    <n v="20"/>
    <n v="8"/>
    <n v="4.7E-2"/>
    <n v="1988"/>
    <d v="2024-11-28T00:00:00"/>
    <s v="Hyderabad"/>
    <x v="0"/>
    <s v="data analytics course"/>
    <d v="2024-11-28T00:00:00"/>
    <n v="4.216719784260848E-2"/>
    <n v="1.0642441860465117"/>
    <n v="9.1524999999999999"/>
    <n v="22.881250000000001"/>
    <n v="10.860420650095602"/>
  </r>
  <r>
    <s v="A3400"/>
    <s v="Data Analytics Course"/>
    <n v="116"/>
    <n v="4252"/>
    <n v="180.05"/>
    <n v="18"/>
    <n v="8"/>
    <n v="6.9000000000000006E-2"/>
    <n v="1568"/>
    <s v="17-11-2024"/>
    <s v="Hyderabad"/>
    <x v="0"/>
    <s v="online data analytic"/>
    <d v="2024-11-17T00:00:00"/>
    <n v="2.7281279397930385E-2"/>
    <n v="1.5521551724137932"/>
    <n v="10.002777777777778"/>
    <n v="22.506250000000001"/>
    <n v="8.7086920299916688"/>
  </r>
  <r>
    <s v="A3401"/>
    <s v="Data Analytics Course"/>
    <n v="187"/>
    <n v="4793"/>
    <n v="186.41"/>
    <n v="30"/>
    <n v="9"/>
    <n v="4.5999999999999999E-2"/>
    <n v="1120"/>
    <d v="2024-11-03T00:00:00"/>
    <s v="Hyderabad"/>
    <x v="0"/>
    <s v="data analytics course"/>
    <d v="2024-11-03T00:00:00"/>
    <n v="3.901523054454413E-2"/>
    <n v="0.99684491978609624"/>
    <n v="6.2136666666666667"/>
    <n v="20.712222222222223"/>
    <n v="6.0082613593691327"/>
  </r>
  <r>
    <s v="A3402"/>
    <s v="Data Analytics Course"/>
    <n v="126"/>
    <n v="4140"/>
    <n v="193.49"/>
    <n v="19"/>
    <n v="7"/>
    <n v="4.5999999999999999E-2"/>
    <n v="1340"/>
    <s v="19-11-2024"/>
    <s v="Hyderabad"/>
    <x v="2"/>
    <s v="data analytics course"/>
    <d v="2024-11-19T00:00:00"/>
    <n v="3.0434782608695653E-2"/>
    <n v="1.5356349206349207"/>
    <n v="10.183684210526316"/>
    <n v="27.641428571428573"/>
    <n v="6.9254225024549072"/>
  </r>
  <r>
    <s v="A3403"/>
    <s v="Data Analytics Course"/>
    <n v="123"/>
    <n v="5844"/>
    <n v="201.7"/>
    <n v="12"/>
    <n v="6"/>
    <n v="4.5999999999999999E-2"/>
    <n v="1636"/>
    <d v="2024-10-11T00:00:00"/>
    <s v="Hyderabad"/>
    <x v="0"/>
    <s v="data analitics online"/>
    <d v="2024-10-11T00:00:00"/>
    <n v="2.1047227926078028E-2"/>
    <n v="1.6398373983739836"/>
    <n v="16.808333333333334"/>
    <n v="33.616666666666667"/>
    <n v="8.1110560237977207"/>
  </r>
  <r>
    <s v="A3404"/>
    <s v="Data Analytics Course"/>
    <n v="132"/>
    <n v="5845"/>
    <n v="249.74"/>
    <n v="19"/>
    <n v="7"/>
    <n v="0.05"/>
    <n v="1067"/>
    <d v="2024-03-11T00:00:00"/>
    <s v="Hyderabad"/>
    <x v="1"/>
    <s v="analytics for data"/>
    <d v="2024-03-11T00:00:00"/>
    <n v="2.2583404619332764E-2"/>
    <n v="1.8919696969696971"/>
    <n v="13.14421052631579"/>
    <n v="35.677142857142861"/>
    <n v="4.2724433410747178"/>
  </r>
  <r>
    <s v="A3405"/>
    <s v="Data Analytics Course"/>
    <n v="118"/>
    <n v="3371"/>
    <n v="191.98"/>
    <n v="10"/>
    <n v="6"/>
    <n v="4.5999999999999999E-2"/>
    <n v="1458"/>
    <s v="13-11-2024"/>
    <s v="Hyderabad"/>
    <x v="1"/>
    <s v="learn data analytics"/>
    <d v="2024-11-13T00:00:00"/>
    <n v="3.5004449718184512E-2"/>
    <n v="1.6269491525423727"/>
    <n v="19.198"/>
    <n v="31.996666666666666"/>
    <n v="7.594541098031045"/>
  </r>
  <r>
    <s v="A3406"/>
    <s v="Data Analytics Course"/>
    <n v="92"/>
    <n v="4853"/>
    <n v="189.19"/>
    <n v="23"/>
    <n v="9"/>
    <n v="4.5999999999999999E-2"/>
    <n v="1189"/>
    <s v="18-11-2024"/>
    <s v="Hyderabad"/>
    <x v="0"/>
    <s v="online data analytic"/>
    <d v="2024-11-18T00:00:00"/>
    <n v="1.8957345971563982E-2"/>
    <n v="2.056413043478261"/>
    <n v="8.2256521739130442"/>
    <n v="21.021111111111111"/>
    <n v="6.2846873513399233"/>
  </r>
  <r>
    <s v="A3407"/>
    <s v="Data Analytics Course"/>
    <n v="100"/>
    <n v="5781"/>
    <n v="202.96"/>
    <n v="30"/>
    <n v="7"/>
    <n v="7.0000000000000007E-2"/>
    <n v="1132"/>
    <d v="2024-11-18T00:00:00"/>
    <s v="Hyderabad"/>
    <x v="0"/>
    <s v="data anaytics training"/>
    <d v="2024-11-18T00:00:00"/>
    <n v="1.7298045320878742E-2"/>
    <n v="2.0296000000000003"/>
    <n v="6.7653333333333334"/>
    <n v="28.994285714285716"/>
    <n v="5.5774536854552617"/>
  </r>
  <r>
    <s v="A3408"/>
    <s v="Data Analytics Course"/>
    <n v="100"/>
    <n v="5435"/>
    <n v="205.99"/>
    <n v="13"/>
    <n v="6"/>
    <n v="3.1E-2"/>
    <n v="1607"/>
    <d v="2024-11-27T00:00:00"/>
    <s v="Hyderabad"/>
    <x v="2"/>
    <s v="analytics for data"/>
    <d v="2024-11-27T00:00:00"/>
    <n v="1.8399264029438821E-2"/>
    <n v="2.0599000000000003"/>
    <n v="15.845384615384615"/>
    <n v="34.331666666666671"/>
    <n v="7.8013495800767023"/>
  </r>
  <r>
    <s v="A3409"/>
    <s v="Data Analytics Course"/>
    <n v="89"/>
    <n v="3915"/>
    <n v="207.63"/>
    <n v="10"/>
    <n v="7"/>
    <n v="4.5999999999999999E-2"/>
    <n v="1454"/>
    <d v="2024-11-02T00:00:00"/>
    <s v="Hyderabad"/>
    <x v="0"/>
    <s v="data analytics course"/>
    <d v="2024-11-02T00:00:00"/>
    <n v="2.27330779054917E-2"/>
    <n v="2.3329213483146067"/>
    <n v="20.762999999999998"/>
    <n v="29.661428571428569"/>
    <n v="7.0028415932187063"/>
  </r>
  <r>
    <s v="A3410"/>
    <s v="Data Analytics Course"/>
    <n v="147"/>
    <n v="4231"/>
    <n v="186.73"/>
    <n v="20"/>
    <n v="5"/>
    <n v="4.5999999999999999E-2"/>
    <n v="1271"/>
    <d v="2024-11-15T00:00:00"/>
    <s v="Hyderabad"/>
    <x v="0"/>
    <s v="learn data analytics"/>
    <d v="2024-11-15T00:00:00"/>
    <n v="3.4743559442212246E-2"/>
    <n v="1.2702721088435374"/>
    <n v="9.3364999999999991"/>
    <n v="37.345999999999997"/>
    <n v="6.806619182777272"/>
  </r>
  <r>
    <s v="A3411"/>
    <s v="Data Analytics Course"/>
    <n v="153"/>
    <n v="3225"/>
    <n v="240.34"/>
    <n v="20"/>
    <n v="8"/>
    <n v="5.1999999999999998E-2"/>
    <n v="1313"/>
    <d v="2024-11-28T00:00:00"/>
    <s v="Hyderabad"/>
    <x v="2"/>
    <s v="data analitics online"/>
    <d v="2024-11-28T00:00:00"/>
    <n v="4.7441860465116281E-2"/>
    <n v="1.5708496732026145"/>
    <n v="12.016999999999999"/>
    <n v="30.0425"/>
    <n v="5.4630939502371643"/>
  </r>
  <r>
    <s v="A3412"/>
    <s v="Data Analytics Course"/>
    <n v="164"/>
    <n v="3996"/>
    <n v="202.56"/>
    <n v="19"/>
    <n v="10"/>
    <n v="6.0999999999999999E-2"/>
    <n v="1880"/>
    <s v="29-11-2024"/>
    <s v="Hyderabad"/>
    <x v="0"/>
    <s v="data analitics online"/>
    <d v="2024-11-29T00:00:00"/>
    <n v="4.1041041041041039E-2"/>
    <n v="1.2351219512195122"/>
    <n v="10.661052631578947"/>
    <n v="20.256"/>
    <n v="9.281200631911533"/>
  </r>
  <r>
    <s v="A3413"/>
    <s v="Data Analytics Course"/>
    <n v="124"/>
    <n v="5949"/>
    <n v="218.12"/>
    <n v="11"/>
    <n v="10"/>
    <n v="4.5999999999999999E-2"/>
    <n v="1019"/>
    <d v="2024-06-11T00:00:00"/>
    <s v="Hyderabad"/>
    <x v="1"/>
    <s v="online data analytic"/>
    <d v="2024-06-11T00:00:00"/>
    <n v="2.0843839300722811E-2"/>
    <n v="1.7590322580645161"/>
    <n v="19.829090909090908"/>
    <n v="21.812000000000001"/>
    <n v="4.6717403264258204"/>
  </r>
  <r>
    <s v="A3414"/>
    <s v="Data Analytics Course"/>
    <n v="189"/>
    <n v="5740"/>
    <n v="231.73"/>
    <n v="28"/>
    <n v="5"/>
    <n v="4.5999999999999999E-2"/>
    <n v="1306"/>
    <d v="2024-11-03T00:00:00"/>
    <s v="Hyderabad"/>
    <x v="2"/>
    <s v="online data analytic"/>
    <d v="2024-11-03T00:00:00"/>
    <n v="3.2926829268292684E-2"/>
    <n v="1.2260846560846561"/>
    <n v="8.276071428571429"/>
    <n v="46.345999999999997"/>
    <n v="5.6358693306865755"/>
  </r>
  <r>
    <s v="A3415"/>
    <s v="Data Analytics Course"/>
    <n v="142"/>
    <n v="5354"/>
    <n v="247.32"/>
    <n v="17"/>
    <n v="4"/>
    <n v="4.8000000000000001E-2"/>
    <n v="1828"/>
    <d v="2024-11-01T00:00:00"/>
    <s v="Hyderabad"/>
    <x v="0"/>
    <s v="online data analytic"/>
    <d v="2024-11-01T00:00:00"/>
    <n v="2.652222637280538E-2"/>
    <n v="1.7416901408450705"/>
    <n v="14.548235294117646"/>
    <n v="61.83"/>
    <n v="7.391234028788614"/>
  </r>
  <r>
    <s v="A3416"/>
    <s v="Data Analytics Course"/>
    <n v="127"/>
    <n v="4587"/>
    <n v="199.63"/>
    <n v="17"/>
    <n v="5"/>
    <n v="4.2999999999999997E-2"/>
    <n v="1319"/>
    <s v="27-11-2024"/>
    <s v="Hyderabad"/>
    <x v="2"/>
    <s v="data analytics course"/>
    <d v="2024-11-27T00:00:00"/>
    <n v="2.7686941356006103E-2"/>
    <n v="1.5718897637795275"/>
    <n v="11.742941176470588"/>
    <n v="39.926000000000002"/>
    <n v="6.6072233632219604"/>
  </r>
  <r>
    <s v="A3417"/>
    <s v="Data Analytics Course"/>
    <n v="174"/>
    <n v="3957"/>
    <n v="181.56"/>
    <n v="12"/>
    <n v="3"/>
    <n v="4.5999999999999999E-2"/>
    <n v="1385"/>
    <d v="2024-11-02T00:00:00"/>
    <s v="Hyderabad"/>
    <x v="0"/>
    <s v="data anaytics training"/>
    <d v="2024-11-02T00:00:00"/>
    <n v="4.3972706595905992E-2"/>
    <n v="1.0434482758620689"/>
    <n v="15.13"/>
    <n v="60.52"/>
    <n v="7.6283322317691118"/>
  </r>
  <r>
    <s v="A3418"/>
    <s v="Data Analytics Course"/>
    <n v="183"/>
    <n v="5971"/>
    <n v="207.43"/>
    <n v="10"/>
    <n v="7"/>
    <n v="3.7999999999999999E-2"/>
    <n v="1325"/>
    <d v="2024-11-25T00:00:00"/>
    <s v="Hyderabad"/>
    <x v="2"/>
    <s v="online data analytic"/>
    <d v="2024-11-25T00:00:00"/>
    <n v="3.0648132641098644E-2"/>
    <n v="1.1334972677595629"/>
    <n v="20.743000000000002"/>
    <n v="29.632857142857144"/>
    <n v="6.3876970544279992"/>
  </r>
  <r>
    <s v="A3419"/>
    <s v="Data Analytics Course"/>
    <n v="190"/>
    <n v="3455"/>
    <n v="213.11"/>
    <n v="18"/>
    <n v="7"/>
    <n v="3.6999999999999998E-2"/>
    <n v="1730"/>
    <d v="2024-11-13T00:00:00"/>
    <s v="Hyderabad"/>
    <x v="0"/>
    <s v="data anaytics training"/>
    <d v="2024-11-13T00:00:00"/>
    <n v="5.4992764109985527E-2"/>
    <n v="1.1216315789473685"/>
    <n v="11.839444444444446"/>
    <n v="30.444285714285716"/>
    <n v="8.1178733987142788"/>
  </r>
  <r>
    <s v="A3420"/>
    <s v="Data Analytics Course"/>
    <n v="116"/>
    <n v="5748"/>
    <n v="188.91"/>
    <n v="11"/>
    <n v="7"/>
    <n v="4.5999999999999999E-2"/>
    <n v="1368"/>
    <d v="2024-11-14T00:00:00"/>
    <s v="Hyderabad"/>
    <x v="0"/>
    <s v="data analitics online"/>
    <d v="2024-11-14T00:00:00"/>
    <n v="2.0180932498260265E-2"/>
    <n v="1.6285344827586206"/>
    <n v="17.173636363636362"/>
    <n v="26.987142857142857"/>
    <n v="7.2415435921867557"/>
  </r>
  <r>
    <s v="A3421"/>
    <s v="Data Analytics Course"/>
    <n v="199"/>
    <n v="4387"/>
    <n v="206.92"/>
    <n v="20"/>
    <n v="9"/>
    <n v="3.7999999999999999E-2"/>
    <n v="1054"/>
    <s v="24-11-2024"/>
    <s v="Hyderabad"/>
    <x v="1"/>
    <s v="data anaytics training"/>
    <d v="2024-11-24T00:00:00"/>
    <n v="4.536129473444267E-2"/>
    <n v="1.0397989949748743"/>
    <n v="10.346"/>
    <n v="22.99111111111111"/>
    <n v="5.0937560409820222"/>
  </r>
  <r>
    <s v="A3422"/>
    <s v="Data Analytics Course"/>
    <n v="181"/>
    <n v="4103"/>
    <n v="215.57"/>
    <n v="24"/>
    <n v="8"/>
    <n v="4.3999999999999997E-2"/>
    <n v="1103"/>
    <d v="2024-11-25T00:00:00"/>
    <s v="Hyderabad"/>
    <x v="1"/>
    <s v="data analitics online"/>
    <d v="2024-11-25T00:00:00"/>
    <n v="4.4114062880818913E-2"/>
    <n v="1.1909944751381214"/>
    <n v="8.9820833333333336"/>
    <n v="26.946249999999999"/>
    <n v="5.1166674398107341"/>
  </r>
  <r>
    <s v="A3423"/>
    <s v="Data Analytics Course"/>
    <n v="197"/>
    <n v="3253"/>
    <n v="243.38"/>
    <n v="17"/>
    <n v="3"/>
    <n v="3.4000000000000002E-2"/>
    <n v="1606"/>
    <d v="2024-11-22T00:00:00"/>
    <s v="Hyderabad"/>
    <x v="2"/>
    <s v="data analytics course"/>
    <d v="2024-11-22T00:00:00"/>
    <n v="6.0559483553642789E-2"/>
    <n v="1.2354314720812183"/>
    <n v="14.316470588235294"/>
    <n v="81.126666666666665"/>
    <n v="6.5987344892760298"/>
  </r>
  <r>
    <s v="A3424"/>
    <s v="Data Analytics Course"/>
    <n v="136"/>
    <n v="4492"/>
    <n v="205"/>
    <n v="10"/>
    <n v="4"/>
    <n v="4.5999999999999999E-2"/>
    <n v="1319"/>
    <s v="22-11-2024"/>
    <s v="Hyderabad"/>
    <x v="2"/>
    <s v="online data analytic"/>
    <d v="2024-11-22T00:00:00"/>
    <n v="3.0276046304541407E-2"/>
    <n v="1.5073529411764706"/>
    <n v="20.5"/>
    <n v="51.25"/>
    <n v="6.434146341463415"/>
  </r>
  <r>
    <s v="A3425"/>
    <s v="Data Analytics Course"/>
    <n v="128"/>
    <n v="3153"/>
    <n v="236.34"/>
    <n v="16"/>
    <n v="6"/>
    <n v="4.5999999999999999E-2"/>
    <n v="1050"/>
    <d v="2024-11-09T00:00:00"/>
    <s v="Hyderabad"/>
    <x v="0"/>
    <s v="online data analytic"/>
    <d v="2024-11-09T00:00:00"/>
    <n v="4.0596257532508721E-2"/>
    <n v="1.84640625"/>
    <n v="14.77125"/>
    <n v="39.39"/>
    <n v="4.4427519675044431"/>
  </r>
  <r>
    <s v="A3426"/>
    <s v="Data Analytics Course"/>
    <n v="163"/>
    <n v="4794"/>
    <n v="204.35"/>
    <n v="26"/>
    <n v="3"/>
    <n v="5.1999999999999998E-2"/>
    <n v="1978"/>
    <s v="16-11-2024"/>
    <s v="Hyderabad"/>
    <x v="2"/>
    <s v="data analitics online"/>
    <d v="2024-11-16T00:00:00"/>
    <n v="3.4000834376303711E-2"/>
    <n v="1.253680981595092"/>
    <n v="7.8596153846153847"/>
    <n v="68.11666666666666"/>
    <n v="9.6794714949840959"/>
  </r>
  <r>
    <s v="A3427"/>
    <s v="Data Analytics Course"/>
    <n v="199"/>
    <n v="5210"/>
    <n v="212.53"/>
    <n v="30"/>
    <n v="10"/>
    <n v="0.05"/>
    <n v="1749"/>
    <d v="2024-11-26T00:00:00"/>
    <s v="Hyderabad"/>
    <x v="1"/>
    <s v="analytics for data"/>
    <d v="2024-11-26T00:00:00"/>
    <n v="3.8195777351247601E-2"/>
    <n v="1.0679899497487437"/>
    <n v="7.0843333333333334"/>
    <n v="21.253"/>
    <n v="8.2294264339152114"/>
  </r>
  <r>
    <s v="A3428"/>
    <s v="Data Analytics Course"/>
    <n v="169"/>
    <n v="5326"/>
    <n v="215.57"/>
    <n v="30"/>
    <n v="5"/>
    <n v="0.03"/>
    <n v="1030"/>
    <s v="25-11-2024"/>
    <s v="Hyderabad"/>
    <x v="0"/>
    <s v="data analitics online"/>
    <d v="2024-11-25T00:00:00"/>
    <n v="3.1731130304168229E-2"/>
    <n v="1.2755621301775149"/>
    <n v="7.1856666666666662"/>
    <n v="43.113999999999997"/>
    <n v="4.778030338173215"/>
  </r>
  <r>
    <s v="A3429"/>
    <s v="Data Analytics Course"/>
    <n v="138"/>
    <n v="3961"/>
    <n v="247.45"/>
    <n v="13"/>
    <n v="3"/>
    <n v="2.1999999999999999E-2"/>
    <n v="1601"/>
    <d v="2024-11-18T00:00:00"/>
    <s v="Hyderabad"/>
    <x v="1"/>
    <s v="data analytics course"/>
    <d v="2024-11-18T00:00:00"/>
    <n v="3.4839686947740471E-2"/>
    <n v="1.7931159420289855"/>
    <n v="19.034615384615385"/>
    <n v="82.483333333333334"/>
    <n v="6.4699939381693277"/>
  </r>
  <r>
    <s v="A3430"/>
    <s v="Data Analytics Course"/>
    <n v="139"/>
    <n v="5937"/>
    <n v="231.01"/>
    <n v="25"/>
    <n v="4"/>
    <n v="5.7000000000000002E-2"/>
    <n v="1448"/>
    <s v="20-11-2024"/>
    <s v="Hyderabad"/>
    <x v="2"/>
    <s v="online data analytic"/>
    <d v="2024-11-20T00:00:00"/>
    <n v="2.3412497894559542E-2"/>
    <n v="1.6619424460431653"/>
    <n v="9.2403999999999993"/>
    <n v="57.752499999999998"/>
    <n v="6.2681269209125148"/>
  </r>
  <r>
    <s v="A3431"/>
    <s v="Data Analytics Course"/>
    <n v="154"/>
    <n v="4904"/>
    <n v="247.11"/>
    <n v="11"/>
    <n v="8"/>
    <n v="5.1999999999999998E-2"/>
    <n v="1505"/>
    <s v="22-11-2024"/>
    <s v="Hyderabad"/>
    <x v="2"/>
    <s v="learn data analytics"/>
    <d v="2024-11-22T00:00:00"/>
    <n v="3.1402936378466556E-2"/>
    <n v="1.6046103896103896"/>
    <n v="22.464545454545455"/>
    <n v="30.888750000000002"/>
    <n v="6.0904050827566669"/>
  </r>
  <r>
    <s v="A3432"/>
    <s v="Data Analytics Course"/>
    <n v="105"/>
    <n v="3149"/>
    <n v="233.19"/>
    <n v="13"/>
    <n v="10"/>
    <n v="9.5000000000000001E-2"/>
    <n v="1135"/>
    <d v="2024-11-09T00:00:00"/>
    <s v="Hyderabad"/>
    <x v="2"/>
    <s v="learn data analytics"/>
    <d v="2024-11-09T00:00:00"/>
    <n v="3.3343918704350585E-2"/>
    <n v="2.2208571428571426"/>
    <n v="17.937692307692309"/>
    <n v="23.318999999999999"/>
    <n v="4.8672756121617562"/>
  </r>
  <r>
    <s v="A3433"/>
    <s v="Data Analytics Course"/>
    <n v="89"/>
    <n v="5963"/>
    <n v="209.41"/>
    <n v="29"/>
    <n v="9"/>
    <n v="0.10100000000000001"/>
    <n v="1066"/>
    <d v="2024-11-18T00:00:00"/>
    <s v="Hyderabad"/>
    <x v="0"/>
    <s v="online data analytic"/>
    <d v="2024-11-18T00:00:00"/>
    <n v="1.4925373134328358E-2"/>
    <n v="2.3529213483146068"/>
    <n v="7.2210344827586201"/>
    <n v="23.267777777777777"/>
    <n v="5.0904923356095697"/>
  </r>
  <r>
    <s v="A3434"/>
    <s v="Data Analytics Course"/>
    <n v="125"/>
    <n v="3808"/>
    <n v="191.42"/>
    <n v="29"/>
    <n v="7"/>
    <n v="5.6000000000000001E-2"/>
    <n v="1783"/>
    <d v="2024-11-10T00:00:00"/>
    <s v="Hyderabad"/>
    <x v="2"/>
    <s v="data analytics course"/>
    <d v="2024-11-10T00:00:00"/>
    <n v="3.2825630252100842E-2"/>
    <n v="1.5313599999999998"/>
    <n v="6.6006896551724132"/>
    <n v="27.345714285714283"/>
    <n v="9.3145961759481768"/>
  </r>
  <r>
    <s v="A3435"/>
    <s v="Data Analytics Course"/>
    <n v="175"/>
    <n v="3938"/>
    <n v="186.09"/>
    <n v="22"/>
    <n v="9"/>
    <n v="4.5999999999999999E-2"/>
    <n v="1218"/>
    <d v="2024-11-05T00:00:00"/>
    <s v="Hyderabad"/>
    <x v="1"/>
    <s v="analytics for data"/>
    <d v="2024-11-05T00:00:00"/>
    <n v="4.4438801422041645E-2"/>
    <n v="1.0633714285714286"/>
    <n v="8.458636363636364"/>
    <n v="20.676666666666666"/>
    <n v="6.5452200548121873"/>
  </r>
  <r>
    <s v="A3436"/>
    <s v="Data Analytics Course"/>
    <n v="175"/>
    <n v="5521"/>
    <n v="207.4"/>
    <n v="25"/>
    <n v="3"/>
    <n v="1.7000000000000001E-2"/>
    <n v="1616"/>
    <d v="2024-04-11T00:00:00"/>
    <s v="Hyderabad"/>
    <x v="1"/>
    <s v="online data analytic"/>
    <d v="2024-04-11T00:00:00"/>
    <n v="3.1697156312262269E-2"/>
    <n v="1.1851428571428573"/>
    <n v="8.2959999999999994"/>
    <n v="69.13333333333334"/>
    <n v="7.7917068466730957"/>
  </r>
  <r>
    <s v="A3437"/>
    <s v="Data Analytics Course"/>
    <n v="183"/>
    <n v="4518.5"/>
    <n v="198.12"/>
    <n v="27"/>
    <n v="10"/>
    <n v="5.5E-2"/>
    <n v="1505"/>
    <d v="2024-11-22T00:00:00"/>
    <s v="Hyderabad"/>
    <x v="1"/>
    <s v="data analytics course"/>
    <d v="2024-11-22T00:00:00"/>
    <n v="4.0500165984286823E-2"/>
    <n v="1.0826229508196721"/>
    <n v="7.3377777777777782"/>
    <n v="19.812000000000001"/>
    <n v="7.5964062184534624"/>
  </r>
  <r>
    <s v="A3438"/>
    <s v="Data Analytics Course"/>
    <n v="182"/>
    <n v="5466"/>
    <n v="206.3"/>
    <n v="26"/>
    <n v="4"/>
    <n v="3.6999999999999998E-2"/>
    <n v="1816"/>
    <d v="2024-11-18T00:00:00"/>
    <s v="Hyderabad"/>
    <x v="2"/>
    <s v="data analytics course"/>
    <d v="2024-11-18T00:00:00"/>
    <n v="3.3296743505305523E-2"/>
    <n v="1.1335164835164835"/>
    <n v="7.9346153846153848"/>
    <n v="51.575000000000003"/>
    <n v="8.802714493456131"/>
  </r>
  <r>
    <s v="A3439"/>
    <s v="Data Analytics Course"/>
    <n v="139"/>
    <n v="4528"/>
    <n v="235.96"/>
    <n v="30"/>
    <n v="4"/>
    <n v="4.5999999999999999E-2"/>
    <n v="1926"/>
    <s v="28-11-2024"/>
    <s v="Hyderabad"/>
    <x v="1"/>
    <s v="data anaytics training"/>
    <d v="2024-11-28T00:00:00"/>
    <n v="3.0697879858657243E-2"/>
    <n v="1.6975539568345324"/>
    <n v="7.865333333333334"/>
    <n v="58.99"/>
    <n v="8.1624004068486187"/>
  </r>
  <r>
    <s v="A3440"/>
    <s v="Data Analytics Course"/>
    <n v="168"/>
    <n v="4904"/>
    <n v="220.19"/>
    <n v="23"/>
    <n v="6"/>
    <n v="3.5999999999999997E-2"/>
    <n v="1870"/>
    <d v="2024-11-11T00:00:00"/>
    <s v="Hyderabad"/>
    <x v="0"/>
    <s v="learn data analytics"/>
    <d v="2024-11-11T00:00:00"/>
    <n v="3.4257748776508973E-2"/>
    <n v="1.3106547619047619"/>
    <n v="9.5734782608695657"/>
    <n v="36.698333333333331"/>
    <n v="8.4926654253145006"/>
  </r>
  <r>
    <s v="A3441"/>
    <s v="Data Analytics Course"/>
    <n v="150"/>
    <n v="5057"/>
    <n v="220.26"/>
    <n v="24"/>
    <n v="5"/>
    <n v="3.3000000000000002E-2"/>
    <n v="1505"/>
    <d v="2024-01-11T00:00:00"/>
    <s v="Hyderabad"/>
    <x v="0"/>
    <s v="data anaytics training"/>
    <d v="2024-01-11T00:00:00"/>
    <n v="2.9661854854656913E-2"/>
    <n v="1.4683999999999999"/>
    <n v="9.1775000000000002"/>
    <n v="44.052"/>
    <n v="6.8328339235449018"/>
  </r>
  <r>
    <s v="A3442"/>
    <s v="Data Analytics Course"/>
    <n v="152"/>
    <n v="3390"/>
    <n v="209.39"/>
    <n v="18"/>
    <n v="6"/>
    <n v="3.9E-2"/>
    <n v="1620"/>
    <d v="2024-11-04T00:00:00"/>
    <s v="Hyderabad"/>
    <x v="0"/>
    <s v="online data analytic"/>
    <d v="2024-11-04T00:00:00"/>
    <n v="4.4837758112094395E-2"/>
    <n v="1.3775657894736841"/>
    <n v="11.632777777777777"/>
    <n v="34.898333333333333"/>
    <n v="7.7367591575528927"/>
  </r>
  <r>
    <s v="A3443"/>
    <s v="Data Analytics Course"/>
    <n v="113"/>
    <n v="3532"/>
    <n v="247.57"/>
    <n v="29"/>
    <n v="6"/>
    <n v="5.5E-2"/>
    <n v="1273"/>
    <d v="2024-11-20T00:00:00"/>
    <s v="Hyderabad"/>
    <x v="1"/>
    <s v="learn data analytics"/>
    <d v="2024-11-20T00:00:00"/>
    <n v="3.199320498301246E-2"/>
    <n v="2.1908849557522125"/>
    <n v="8.5368965517241371"/>
    <n v="41.261666666666663"/>
    <n v="5.1419800460475829"/>
  </r>
  <r>
    <s v="A3444"/>
    <s v="Data Analytics Course"/>
    <n v="93"/>
    <n v="3683"/>
    <n v="201.45"/>
    <n v="11"/>
    <n v="10"/>
    <n v="0.108"/>
    <n v="1331"/>
    <d v="2024-11-14T00:00:00"/>
    <s v="Hyderabad"/>
    <x v="1"/>
    <s v="learn data analytics"/>
    <d v="2024-11-14T00:00:00"/>
    <n v="2.5251153950583763E-2"/>
    <n v="2.1661290322580644"/>
    <n v="18.313636363636363"/>
    <n v="20.145"/>
    <n v="6.6070985356167791"/>
  </r>
  <r>
    <s v="A3445"/>
    <s v="Data Analytics Course"/>
    <n v="141"/>
    <n v="5031"/>
    <n v="189.92"/>
    <n v="23"/>
    <n v="5"/>
    <n v="3.5000000000000003E-2"/>
    <n v="1093"/>
    <d v="2024-11-01T00:00:00"/>
    <s v="Hyderabad"/>
    <x v="0"/>
    <s v="data analitics online"/>
    <d v="2024-11-01T00:00:00"/>
    <n v="2.8026237328562909E-2"/>
    <n v="1.3469503546099291"/>
    <n v="8.2573913043478253"/>
    <n v="37.983999999999995"/>
    <n v="5.755054759898905"/>
  </r>
  <r>
    <s v="A3446"/>
    <s v="Data Analytics Course"/>
    <n v="191"/>
    <n v="5660"/>
    <n v="192.49"/>
    <n v="21"/>
    <n v="5"/>
    <n v="5.6000000000000001E-2"/>
    <n v="1023"/>
    <d v="2024-03-11T00:00:00"/>
    <s v="Hyderabad"/>
    <x v="1"/>
    <s v="data analytics course"/>
    <d v="2024-03-11T00:00:00"/>
    <n v="3.3745583038869258E-2"/>
    <n v="1.0078010471204188"/>
    <n v="9.1661904761904758"/>
    <n v="38.498000000000005"/>
    <n v="5.3145617954179434"/>
  </r>
  <r>
    <s v="A3447"/>
    <s v="Data Analytics Course"/>
    <n v="187"/>
    <n v="3450"/>
    <n v="234.31"/>
    <n v="18"/>
    <n v="9"/>
    <n v="4.5999999999999999E-2"/>
    <n v="1609"/>
    <d v="2024-11-18T00:00:00"/>
    <s v="Hyderabad"/>
    <x v="2"/>
    <s v="online data analytic"/>
    <d v="2024-11-18T00:00:00"/>
    <n v="5.4202898550724639E-2"/>
    <n v="1.2529946524064171"/>
    <n v="13.017222222222223"/>
    <n v="26.034444444444446"/>
    <n v="6.8669711066535788"/>
  </r>
  <r>
    <s v="A3448"/>
    <s v="Data Analytics Course"/>
    <n v="118"/>
    <n v="4804"/>
    <n v="227.98"/>
    <n v="28"/>
    <n v="9"/>
    <n v="3.9E-2"/>
    <n v="1064"/>
    <s v="28-11-2024"/>
    <s v="Hyderabad"/>
    <x v="1"/>
    <s v="learn data analytics"/>
    <d v="2024-11-28T00:00:00"/>
    <n v="2.4562864279766863E-2"/>
    <n v="1.9320338983050847"/>
    <n v="8.142142857142856"/>
    <n v="25.33111111111111"/>
    <n v="4.6670760593034482"/>
  </r>
  <r>
    <s v="A3449"/>
    <s v="Data Analytics Course"/>
    <n v="184"/>
    <n v="5983"/>
    <n v="242.62"/>
    <n v="25"/>
    <n v="6"/>
    <n v="4.5999999999999999E-2"/>
    <n v="1538"/>
    <d v="2024-11-03T00:00:00"/>
    <s v="Hyderabad"/>
    <x v="0"/>
    <s v="data analytics course"/>
    <d v="2024-11-03T00:00:00"/>
    <n v="3.0753802440247367E-2"/>
    <n v="1.3185869565217392"/>
    <n v="9.7048000000000005"/>
    <n v="40.436666666666667"/>
    <n v="6.3391311515950868"/>
  </r>
  <r>
    <s v="A3450"/>
    <s v="Data Analytics Course"/>
    <n v="167"/>
    <n v="5051"/>
    <n v="202.95"/>
    <n v="21"/>
    <n v="10"/>
    <n v="0.06"/>
    <n v="1812"/>
    <d v="2024-11-10T00:00:00"/>
    <s v="Hyderabad"/>
    <x v="1"/>
    <s v="learn data analytics"/>
    <d v="2024-11-10T00:00:00"/>
    <n v="3.3062759849534745E-2"/>
    <n v="1.2152694610778443"/>
    <n v="9.6642857142857146"/>
    <n v="20.294999999999998"/>
    <n v="8.928307464892832"/>
  </r>
  <r>
    <s v="A3451"/>
    <s v="Data Analytics Course"/>
    <n v="162"/>
    <n v="3815"/>
    <n v="221.44"/>
    <n v="13"/>
    <n v="7"/>
    <n v="0.04"/>
    <n v="1728"/>
    <d v="2024-11-21T00:00:00"/>
    <s v="Hyderabad"/>
    <x v="0"/>
    <s v="data analytics course"/>
    <d v="2024-11-21T00:00:00"/>
    <n v="4.2463958060288333E-2"/>
    <n v="1.3669135802469137"/>
    <n v="17.033846153846152"/>
    <n v="31.634285714285713"/>
    <n v="7.803468208092486"/>
  </r>
  <r>
    <s v="A3452"/>
    <s v="Data Analytics Course"/>
    <n v="125"/>
    <n v="5370"/>
    <n v="183.67"/>
    <n v="18"/>
    <n v="10"/>
    <n v="4.2000000000000003E-2"/>
    <n v="1815"/>
    <s v="14-11-2024"/>
    <s v="Hyderabad"/>
    <x v="2"/>
    <s v="data analytics course"/>
    <d v="2024-11-14T00:00:00"/>
    <n v="2.3277467411545624E-2"/>
    <n v="1.46936"/>
    <n v="10.203888888888889"/>
    <n v="18.366999999999997"/>
    <n v="9.8818533238961184"/>
  </r>
  <r>
    <s v="A3453"/>
    <s v="Data Analytics Course"/>
    <n v="102"/>
    <n v="4451"/>
    <n v="219.15"/>
    <n v="29"/>
    <n v="7"/>
    <n v="4.5999999999999999E-2"/>
    <n v="1491"/>
    <s v="29-11-2024"/>
    <s v="Hyderabad"/>
    <x v="1"/>
    <s v="data analitics online"/>
    <d v="2024-11-29T00:00:00"/>
    <n v="2.2916198607054593E-2"/>
    <n v="2.1485294117647058"/>
    <n v="7.5568965517241384"/>
    <n v="31.307142857142857"/>
    <n v="6.8035592060232712"/>
  </r>
  <r>
    <s v="A3454"/>
    <s v="Data Analytics Course"/>
    <n v="141"/>
    <n v="4243"/>
    <n v="190.94"/>
    <n v="24"/>
    <n v="6"/>
    <n v="4.5999999999999999E-2"/>
    <n v="1505"/>
    <d v="2024-11-22T00:00:00"/>
    <s v="Hyderabad"/>
    <x v="0"/>
    <s v="data anaytics training"/>
    <d v="2024-11-22T00:00:00"/>
    <n v="3.3231204336554326E-2"/>
    <n v="1.3541843971631204"/>
    <n v="7.9558333333333335"/>
    <n v="31.823333333333334"/>
    <n v="7.8820571907405466"/>
  </r>
  <r>
    <s v="A3455"/>
    <s v="Data Analytics Course"/>
    <n v="121"/>
    <n v="3844"/>
    <n v="242.19"/>
    <n v="29"/>
    <n v="3"/>
    <n v="4.5999999999999999E-2"/>
    <n v="1897"/>
    <d v="2024-11-10T00:00:00"/>
    <s v="Hyderabad"/>
    <x v="1"/>
    <s v="learn data analytics"/>
    <d v="2024-11-10T00:00:00"/>
    <n v="3.1477627471383975E-2"/>
    <n v="2.0015702479338842"/>
    <n v="8.3513793103448268"/>
    <n v="80.73"/>
    <n v="7.8326933399397172"/>
  </r>
  <r>
    <s v="A3456"/>
    <s v="Data Analytics Course"/>
    <n v="142"/>
    <n v="4023"/>
    <n v="186.79"/>
    <n v="17"/>
    <n v="3"/>
    <n v="2.1000000000000001E-2"/>
    <n v="1172"/>
    <d v="2024-11-23T00:00:00"/>
    <s v="Hyderabad"/>
    <x v="2"/>
    <s v="data anaytics training"/>
    <d v="2024-11-23T00:00:00"/>
    <n v="3.5297042008451407E-2"/>
    <n v="1.3154225352112676"/>
    <n v="10.987647058823528"/>
    <n v="62.263333333333328"/>
    <n v="6.2744258257936725"/>
  </r>
  <r>
    <s v="A3457"/>
    <s v="Data Analytics Course"/>
    <n v="150"/>
    <n v="4409"/>
    <n v="223.45"/>
    <n v="23"/>
    <n v="7"/>
    <n v="4.7E-2"/>
    <n v="1578"/>
    <d v="2024-11-13T00:00:00"/>
    <s v="Hyderabad"/>
    <x v="0"/>
    <s v="learn data analytics"/>
    <d v="2024-11-13T00:00:00"/>
    <n v="3.4021320027217056E-2"/>
    <n v="1.4896666666666667"/>
    <n v="9.715217391304348"/>
    <n v="31.921428571428571"/>
    <n v="7.0619825464309693"/>
  </r>
  <r>
    <s v="A3458"/>
    <s v="Data Analytics Course"/>
    <n v="117"/>
    <n v="3109"/>
    <n v="239.1"/>
    <n v="21"/>
    <n v="3"/>
    <n v="2.5999999999999999E-2"/>
    <n v="1505"/>
    <d v="2024-11-27T00:00:00"/>
    <s v="Hyderabad"/>
    <x v="2"/>
    <s v="data analytics course"/>
    <d v="2024-11-27T00:00:00"/>
    <n v="3.7632679318108715E-2"/>
    <n v="2.0435897435897434"/>
    <n v="11.385714285714286"/>
    <n v="79.7"/>
    <n v="6.2944374738603095"/>
  </r>
  <r>
    <s v="A3459"/>
    <s v="Data Analytics Course"/>
    <n v="142"/>
    <n v="5613"/>
    <n v="180.45"/>
    <n v="11"/>
    <n v="9"/>
    <n v="6.3E-2"/>
    <n v="1978"/>
    <d v="2024-11-28T00:00:00"/>
    <s v="Hyderabad"/>
    <x v="1"/>
    <s v="data anaytics training"/>
    <d v="2024-11-28T00:00:00"/>
    <n v="2.5298414395154106E-2"/>
    <n v="1.2707746478873239"/>
    <n v="16.404545454545453"/>
    <n v="20.049999999999997"/>
    <n v="10.961485175949017"/>
  </r>
  <r>
    <s v="A3460"/>
    <s v="Data Analytics Course"/>
    <n v="103"/>
    <n v="4821"/>
    <n v="214.54"/>
    <n v="30"/>
    <n v="6"/>
    <n v="5.8000000000000003E-2"/>
    <n v="1408"/>
    <s v="13-11-2024"/>
    <s v="Hyderabad"/>
    <x v="2"/>
    <s v="data analitics online"/>
    <d v="2024-11-13T00:00:00"/>
    <n v="2.13648620618129E-2"/>
    <n v="2.0829126213592231"/>
    <n v="7.1513333333333327"/>
    <n v="35.756666666666668"/>
    <n v="6.5628787172555239"/>
  </r>
  <r>
    <s v="A3461"/>
    <s v="Data Analytics Course"/>
    <n v="187"/>
    <n v="3289"/>
    <n v="186.04"/>
    <n v="23"/>
    <n v="5"/>
    <n v="2.7E-2"/>
    <n v="1645"/>
    <d v="2024-11-06T00:00:00"/>
    <s v="Hyderabad"/>
    <x v="0"/>
    <s v="data analytics course"/>
    <d v="2024-11-06T00:00:00"/>
    <n v="5.6856187290969896E-2"/>
    <n v="0.99486631016042781"/>
    <n v="8.0886956521739126"/>
    <n v="37.207999999999998"/>
    <n v="8.8421844764566764"/>
  </r>
  <r>
    <s v="A3462"/>
    <s v="Data Analytics Course"/>
    <n v="172"/>
    <n v="4441"/>
    <n v="209.18"/>
    <n v="17"/>
    <n v="10"/>
    <n v="4.2999999999999997E-2"/>
    <n v="1505"/>
    <d v="2024-11-29T00:00:00"/>
    <s v="Hyderabad"/>
    <x v="0"/>
    <s v="data analitics online"/>
    <d v="2024-11-29T00:00:00"/>
    <n v="3.8730015762215714E-2"/>
    <n v="1.2161627906976744"/>
    <n v="12.304705882352941"/>
    <n v="20.917999999999999"/>
    <n v="7.1947604933550053"/>
  </r>
  <r>
    <s v="A3463"/>
    <s v="Data Analytics Course"/>
    <n v="105"/>
    <n v="3000"/>
    <n v="185.97"/>
    <n v="17"/>
    <n v="6"/>
    <n v="5.7000000000000002E-2"/>
    <n v="1993"/>
    <d v="2024-11-29T00:00:00"/>
    <s v="Hyderabad"/>
    <x v="1"/>
    <s v="data analitics online"/>
    <d v="2024-11-29T00:00:00"/>
    <n v="3.5000000000000003E-2"/>
    <n v="1.7711428571428571"/>
    <n v="10.939411764705882"/>
    <n v="30.995000000000001"/>
    <n v="10.716782276711298"/>
  </r>
  <r>
    <s v="A3464"/>
    <s v="Data Analytics Course"/>
    <n v="181"/>
    <n v="4156"/>
    <n v="245.68"/>
    <n v="22"/>
    <n v="10"/>
    <n v="3.1E-2"/>
    <n v="1336"/>
    <d v="2024-11-14T00:00:00"/>
    <s v="Hyderabad"/>
    <x v="1"/>
    <s v="learn data analytics"/>
    <d v="2024-11-14T00:00:00"/>
    <n v="4.3551491819056785E-2"/>
    <n v="1.3573480662983426"/>
    <n v="11.167272727272728"/>
    <n v="24.568000000000001"/>
    <n v="5.4379680885704982"/>
  </r>
  <r>
    <s v="A3465"/>
    <s v="Data Analytics Course"/>
    <n v="172"/>
    <n v="5314"/>
    <n v="240.69"/>
    <n v="14"/>
    <n v="9"/>
    <n v="4.5999999999999999E-2"/>
    <n v="1998"/>
    <d v="2024-11-23T00:00:00"/>
    <s v="Hyderabad"/>
    <x v="2"/>
    <s v="learn data analytics"/>
    <d v="2024-11-23T00:00:00"/>
    <n v="3.2367331576966502E-2"/>
    <n v="1.399360465116279"/>
    <n v="17.192142857142859"/>
    <n v="26.743333333333332"/>
    <n v="8.3011342390626943"/>
  </r>
  <r>
    <s v="A3466"/>
    <s v="Data Analytics Course"/>
    <n v="98"/>
    <n v="4655"/>
    <n v="182.99"/>
    <n v="21"/>
    <n v="10"/>
    <n v="0.10199999999999999"/>
    <n v="1918"/>
    <s v="25-11-2024"/>
    <s v="Hyderabad"/>
    <x v="0"/>
    <s v="data analytics course"/>
    <d v="2024-11-25T00:00:00"/>
    <n v="2.1052631578947368E-2"/>
    <n v="1.8672448979591838"/>
    <n v="8.713809523809525"/>
    <n v="18.298999999999999"/>
    <n v="10.48144707361058"/>
  </r>
  <r>
    <s v="A3467"/>
    <s v="Data Analytics Course"/>
    <n v="92"/>
    <n v="3226"/>
    <n v="236.27"/>
    <n v="17"/>
    <n v="6"/>
    <n v="4.5999999999999999E-2"/>
    <n v="1473"/>
    <d v="2024-10-11T00:00:00"/>
    <s v="Hyderabad"/>
    <x v="2"/>
    <s v="data anaytics training"/>
    <d v="2024-10-11T00:00:00"/>
    <n v="2.8518288902665841E-2"/>
    <n v="2.5681521739130435"/>
    <n v="13.898235294117647"/>
    <n v="39.378333333333337"/>
    <n v="6.2343928556312687"/>
  </r>
  <r>
    <s v="A3468"/>
    <s v="Data Analytics Course"/>
    <n v="102"/>
    <n v="5246"/>
    <n v="234.71"/>
    <n v="20"/>
    <n v="4"/>
    <n v="3.9E-2"/>
    <n v="1903"/>
    <s v="25-11-2024"/>
    <s v="Hyderabad"/>
    <x v="2"/>
    <s v="data anaytics training"/>
    <d v="2024-11-25T00:00:00"/>
    <n v="1.9443385436523065E-2"/>
    <n v="2.3010784313725492"/>
    <n v="11.7355"/>
    <n v="58.677500000000002"/>
    <n v="8.1078778066550203"/>
  </r>
  <r>
    <s v="A3469"/>
    <s v="Data Analytics Course"/>
    <n v="143"/>
    <n v="5545"/>
    <n v="246.64"/>
    <n v="26"/>
    <n v="9"/>
    <n v="6.3E-2"/>
    <n v="1105"/>
    <d v="2024-11-08T00:00:00"/>
    <s v="Hyderabad"/>
    <x v="1"/>
    <s v="learn data analytics"/>
    <d v="2024-11-08T00:00:00"/>
    <n v="2.5788999098286743E-2"/>
    <n v="1.7247552447552446"/>
    <n v="9.4861538461538455"/>
    <n v="27.404444444444444"/>
    <n v="4.4802140771975347"/>
  </r>
  <r>
    <s v="A3470"/>
    <s v="Data Analytics Course"/>
    <n v="111"/>
    <n v="4069"/>
    <n v="203.57"/>
    <n v="25"/>
    <n v="4"/>
    <n v="3.3000000000000002E-2"/>
    <n v="1724"/>
    <d v="2024-11-07T00:00:00"/>
    <s v="Hyderabad"/>
    <x v="1"/>
    <s v="data anaytics training"/>
    <d v="2024-11-07T00:00:00"/>
    <n v="2.7279429835340378E-2"/>
    <n v="1.833963963963964"/>
    <n v="8.1427999999999994"/>
    <n v="50.892499999999998"/>
    <n v="8.4688313602200722"/>
  </r>
  <r>
    <s v="A3471"/>
    <s v="Data Analytics Course"/>
    <n v="116"/>
    <n v="4689"/>
    <n v="198.9"/>
    <n v="27"/>
    <n v="3"/>
    <n v="2.5999999999999999E-2"/>
    <n v="1553"/>
    <d v="2024-11-24T00:00:00"/>
    <s v="Hyderabad"/>
    <x v="1"/>
    <s v="data anaytics training"/>
    <d v="2024-11-24T00:00:00"/>
    <n v="2.4738750266581361E-2"/>
    <n v="1.7146551724137931"/>
    <n v="7.3666666666666671"/>
    <n v="66.3"/>
    <n v="7.8079436902966313"/>
  </r>
  <r>
    <s v="A3472"/>
    <s v="Data Analytics Course"/>
    <n v="148"/>
    <n v="3907"/>
    <n v="199.43"/>
    <n v="11"/>
    <n v="7"/>
    <n v="4.7E-2"/>
    <n v="1253"/>
    <d v="2024-11-20T00:00:00"/>
    <s v="Hyderabad"/>
    <x v="0"/>
    <s v="data analitics online"/>
    <d v="2024-11-20T00:00:00"/>
    <n v="3.7880726900435119E-2"/>
    <n v="1.3475000000000001"/>
    <n v="18.13"/>
    <n v="28.490000000000002"/>
    <n v="6.2829062829062829"/>
  </r>
  <r>
    <s v="A3473"/>
    <s v="Data Analytics Course"/>
    <n v="90"/>
    <n v="5137"/>
    <n v="219.64"/>
    <n v="21"/>
    <n v="7"/>
    <n v="7.8E-2"/>
    <n v="1958"/>
    <d v="2024-11-30T00:00:00"/>
    <s v="Hyderabad"/>
    <x v="1"/>
    <s v="online data analytic"/>
    <d v="2024-11-30T00:00:00"/>
    <n v="1.7519953280124588E-2"/>
    <n v="2.4404444444444442"/>
    <n v="10.459047619047618"/>
    <n v="31.377142857142854"/>
    <n v="8.9145875068293581"/>
  </r>
  <r>
    <s v="A3474"/>
    <s v="Data Analytics Course"/>
    <n v="80"/>
    <n v="3836"/>
    <n v="209.37"/>
    <n v="20"/>
    <n v="7"/>
    <n v="4.5999999999999999E-2"/>
    <n v="1937"/>
    <s v="28-11-2024"/>
    <s v="Hyderabad"/>
    <x v="2"/>
    <s v="online data analytic"/>
    <d v="2024-11-28T00:00:00"/>
    <n v="2.0855057351407715E-2"/>
    <n v="2.6171250000000001"/>
    <n v="10.468500000000001"/>
    <n v="29.91"/>
    <n v="9.2515642164589007"/>
  </r>
  <r>
    <s v="A3475"/>
    <s v="Data Analytics Course"/>
    <n v="188"/>
    <n v="4727"/>
    <n v="245.59"/>
    <n v="12"/>
    <n v="6"/>
    <n v="3.2000000000000001E-2"/>
    <n v="1321"/>
    <s v="24-11-2024"/>
    <s v="Hyderabad"/>
    <x v="1"/>
    <s v="learn data analytics"/>
    <d v="2024-11-24T00:00:00"/>
    <n v="3.9771525280304636E-2"/>
    <n v="1.3063297872340425"/>
    <n v="20.465833333333332"/>
    <n v="40.931666666666665"/>
    <n v="5.378883505028706"/>
  </r>
  <r>
    <s v="A3476"/>
    <s v="Data Analytics Course"/>
    <n v="114"/>
    <n v="3880"/>
    <n v="215.57"/>
    <n v="18"/>
    <n v="3"/>
    <n v="2.5999999999999999E-2"/>
    <n v="1217"/>
    <d v="2024-11-18T00:00:00"/>
    <s v="Hyderabad"/>
    <x v="1"/>
    <s v="data analitics online"/>
    <d v="2024-11-18T00:00:00"/>
    <n v="2.9381443298969072E-2"/>
    <n v="1.8909649122807017"/>
    <n v="11.976111111111111"/>
    <n v="71.856666666666669"/>
    <n v="5.6454979820939837"/>
  </r>
  <r>
    <s v="A3477"/>
    <s v="Data Analytics Course"/>
    <n v="112"/>
    <n v="3639"/>
    <n v="185.6"/>
    <n v="27"/>
    <n v="7"/>
    <n v="6.2E-2"/>
    <n v="1517"/>
    <d v="2024-11-17T00:00:00"/>
    <s v="Hyderabad"/>
    <x v="2"/>
    <s v="analytics for data"/>
    <d v="2024-11-17T00:00:00"/>
    <n v="3.0777686177521298E-2"/>
    <n v="1.657142857142857"/>
    <n v="6.8740740740740742"/>
    <n v="26.514285714285712"/>
    <n v="8.1734913793103452"/>
  </r>
  <r>
    <s v="A3478"/>
    <s v="Data Analytics Course"/>
    <n v="96"/>
    <n v="3858"/>
    <n v="199.81"/>
    <n v="15"/>
    <n v="7"/>
    <n v="4.5999999999999999E-2"/>
    <n v="1672"/>
    <s v="15-11-2024"/>
    <s v="Hyderabad"/>
    <x v="1"/>
    <s v="data analitics online"/>
    <d v="2024-11-15T00:00:00"/>
    <n v="2.4883359253499222E-2"/>
    <n v="2.0813541666666668"/>
    <n v="13.320666666666666"/>
    <n v="28.544285714285714"/>
    <n v="8.3679495520744709"/>
  </r>
  <r>
    <s v="A3479"/>
    <s v="Data Analytics Course"/>
    <n v="139"/>
    <n v="3699"/>
    <n v="186.22"/>
    <n v="23"/>
    <n v="7"/>
    <n v="4.5999999999999999E-2"/>
    <n v="1218"/>
    <d v="2024-11-23T00:00:00"/>
    <s v="Hyderabad"/>
    <x v="2"/>
    <s v="analytics for data"/>
    <d v="2024-11-23T00:00:00"/>
    <n v="3.7577723709110569E-2"/>
    <n v="1.3397122302158273"/>
    <n v="8.0965217391304343"/>
    <n v="26.602857142857143"/>
    <n v="6.5406508430888195"/>
  </r>
  <r>
    <s v="A3480"/>
    <s v="Data Analytics Course"/>
    <n v="172"/>
    <n v="5955"/>
    <n v="216.07"/>
    <n v="15"/>
    <n v="7"/>
    <n v="3.7999999999999999E-2"/>
    <n v="1323"/>
    <d v="2024-11-02T00:00:00"/>
    <s v="Hyderabad"/>
    <x v="1"/>
    <s v="learn data analytics"/>
    <d v="2024-11-02T00:00:00"/>
    <n v="2.8883291351805205E-2"/>
    <n v="1.2562209302325582"/>
    <n v="14.404666666666666"/>
    <n v="30.867142857142856"/>
    <n v="6.1230156893599297"/>
  </r>
  <r>
    <s v="A3481"/>
    <s v="Data Analytics Course"/>
    <n v="134"/>
    <n v="5520"/>
    <n v="189.43"/>
    <n v="22"/>
    <n v="10"/>
    <n v="4.5999999999999999E-2"/>
    <n v="1319"/>
    <s v="30-11-2024"/>
    <s v="Hyderabad"/>
    <x v="0"/>
    <s v="data analitics online"/>
    <d v="2024-11-30T00:00:00"/>
    <n v="2.4275362318840581E-2"/>
    <n v="1.4136567164179106"/>
    <n v="8.6104545454545462"/>
    <n v="18.943000000000001"/>
    <n v="6.9629942458955814"/>
  </r>
  <r>
    <s v="A3482"/>
    <s v="Data Analytics Course"/>
    <n v="148"/>
    <n v="3884"/>
    <n v="233.46"/>
    <n v="14"/>
    <n v="5"/>
    <n v="3.4000000000000002E-2"/>
    <n v="1138"/>
    <d v="2024-11-11T00:00:00"/>
    <s v="Hyderabad"/>
    <x v="1"/>
    <s v="data analitics online"/>
    <d v="2024-11-11T00:00:00"/>
    <n v="3.8105046343975282E-2"/>
    <n v="1.5774324324324325"/>
    <n v="16.675714285714285"/>
    <n v="46.692"/>
    <n v="4.8744967017904566"/>
  </r>
  <r>
    <s v="A3483"/>
    <s v="Data Analytics Course"/>
    <n v="191"/>
    <n v="5361"/>
    <n v="220.04"/>
    <n v="17"/>
    <n v="10"/>
    <n v="5.1999999999999998E-2"/>
    <n v="1034"/>
    <d v="2024-11-09T00:00:00"/>
    <s v="Hyderabad"/>
    <x v="1"/>
    <s v="analytics for data"/>
    <d v="2024-11-09T00:00:00"/>
    <n v="3.562768140272337E-2"/>
    <n v="1.152041884816754"/>
    <n v="12.943529411764706"/>
    <n v="22.003999999999998"/>
    <n v="4.6991456098891113"/>
  </r>
  <r>
    <s v="A3484"/>
    <s v="Data Analytics Course"/>
    <n v="168"/>
    <n v="5384"/>
    <n v="235.64"/>
    <n v="28"/>
    <n v="3"/>
    <n v="1.7999999999999999E-2"/>
    <n v="1505"/>
    <d v="2024-11-16T00:00:00"/>
    <s v="Hyderabad"/>
    <x v="1"/>
    <s v="data analytics course"/>
    <d v="2024-11-16T00:00:00"/>
    <n v="3.1203566121842496E-2"/>
    <n v="1.4026190476190474"/>
    <n v="8.4157142857142855"/>
    <n v="78.546666666666667"/>
    <n v="6.3868613138686134"/>
  </r>
  <r>
    <s v="A3485"/>
    <s v="Data Analytics Course"/>
    <n v="84"/>
    <n v="4388"/>
    <n v="238.98"/>
    <n v="29"/>
    <n v="4"/>
    <n v="4.8000000000000001E-2"/>
    <n v="1271"/>
    <s v="14-11-2024"/>
    <s v="Hyderabad"/>
    <x v="1"/>
    <s v="analytics for data"/>
    <d v="2024-11-14T00:00:00"/>
    <n v="1.9143117593436645E-2"/>
    <n v="2.8449999999999998"/>
    <n v="8.2406896551724138"/>
    <n v="59.744999999999997"/>
    <n v="5.3184366892627004"/>
  </r>
  <r>
    <s v="A3486"/>
    <s v="Data Analytics Course"/>
    <n v="80"/>
    <n v="5699"/>
    <n v="213.94"/>
    <n v="17"/>
    <n v="6"/>
    <n v="7.4999999999999997E-2"/>
    <n v="1511"/>
    <s v="25-11-2024"/>
    <s v="Hyderabad"/>
    <x v="1"/>
    <s v="learn data analytics"/>
    <d v="2024-11-25T00:00:00"/>
    <n v="1.4037550447446921E-2"/>
    <n v="2.6742499999999998"/>
    <n v="12.584705882352941"/>
    <n v="35.656666666666666"/>
    <n v="7.0627278676264371"/>
  </r>
  <r>
    <s v="A3487"/>
    <s v="Data Analytics Course"/>
    <n v="136"/>
    <n v="3705"/>
    <n v="212.05"/>
    <n v="16"/>
    <n v="9"/>
    <n v="4.5999999999999999E-2"/>
    <n v="1471"/>
    <d v="2024-11-14T00:00:00"/>
    <s v="Hyderabad"/>
    <x v="0"/>
    <s v="analytics for data"/>
    <d v="2024-11-14T00:00:00"/>
    <n v="3.6707152496626178E-2"/>
    <n v="1.5591911764705884"/>
    <n v="13.253125000000001"/>
    <n v="23.561111111111114"/>
    <n v="6.9370431502004237"/>
  </r>
  <r>
    <s v="A3488"/>
    <s v="Data Analytics Course"/>
    <n v="139"/>
    <n v="3256"/>
    <n v="233.35"/>
    <n v="15"/>
    <n v="7"/>
    <n v="4.5999999999999999E-2"/>
    <n v="1106"/>
    <d v="2024-10-11T00:00:00"/>
    <s v="Hyderabad"/>
    <x v="2"/>
    <s v="analytics for data"/>
    <d v="2024-10-11T00:00:00"/>
    <n v="4.269041769041769E-2"/>
    <n v="1.6787769784172661"/>
    <n v="15.556666666666667"/>
    <n v="33.335714285714282"/>
    <n v="4.7396614527533751"/>
  </r>
  <r>
    <s v="A3489"/>
    <s v="Data Analytics Course"/>
    <n v="157"/>
    <n v="4026"/>
    <n v="192.69"/>
    <n v="19"/>
    <n v="3"/>
    <n v="1.9E-2"/>
    <n v="1028"/>
    <d v="2024-11-09T00:00:00"/>
    <s v="Hyderabad"/>
    <x v="2"/>
    <s v="analytics for data"/>
    <d v="2024-11-09T00:00:00"/>
    <n v="3.8996522603079981E-2"/>
    <n v="1.2273248407643311"/>
    <n v="10.141578947368421"/>
    <n v="64.23"/>
    <n v="5.3349940318646532"/>
  </r>
  <r>
    <s v="A3490"/>
    <s v="Data Analytics Course"/>
    <n v="139"/>
    <n v="3148"/>
    <n v="182.49"/>
    <n v="21"/>
    <n v="3"/>
    <n v="3.2000000000000001E-2"/>
    <n v="1493"/>
    <d v="2024-11-22T00:00:00"/>
    <s v="Hyderabad"/>
    <x v="2"/>
    <s v="data analytics course"/>
    <d v="2024-11-22T00:00:00"/>
    <n v="4.4155019059720454E-2"/>
    <n v="1.3128776978417267"/>
    <n v="8.6900000000000013"/>
    <n v="60.830000000000005"/>
    <n v="8.181270206586662"/>
  </r>
  <r>
    <s v="A3491"/>
    <s v="Data Analytics Course"/>
    <n v="137"/>
    <n v="5244"/>
    <n v="187.79"/>
    <n v="20"/>
    <n v="7"/>
    <n v="4.5999999999999999E-2"/>
    <n v="1915"/>
    <d v="2024-11-11T00:00:00"/>
    <s v="Hyderabad"/>
    <x v="2"/>
    <s v="online data analytic"/>
    <d v="2024-11-11T00:00:00"/>
    <n v="2.612509534706331E-2"/>
    <n v="1.3707299270072992"/>
    <n v="9.3895"/>
    <n v="26.827142857142857"/>
    <n v="10.197561105490175"/>
  </r>
  <r>
    <s v="A3492"/>
    <s v="Data Analytics Course"/>
    <n v="121"/>
    <n v="5220"/>
    <n v="200.98"/>
    <n v="21"/>
    <n v="5"/>
    <n v="4.1000000000000002E-2"/>
    <n v="1773"/>
    <d v="2024-11-13T00:00:00"/>
    <s v="Hyderabad"/>
    <x v="0"/>
    <s v="data analitics online"/>
    <d v="2024-11-13T00:00:00"/>
    <n v="2.3180076628352489E-2"/>
    <n v="1.6609917355371899"/>
    <n v="9.5704761904761906"/>
    <n v="40.195999999999998"/>
    <n v="8.8217733107771927"/>
  </r>
  <r>
    <s v="A3493"/>
    <s v="Data Analytics Course"/>
    <n v="169"/>
    <n v="5430"/>
    <n v="233.01"/>
    <n v="27"/>
    <n v="7"/>
    <n v="5.2999999999999999E-2"/>
    <n v="2000"/>
    <d v="2024-11-10T00:00:00"/>
    <s v="Hyderabad"/>
    <x v="1"/>
    <s v="learn data analytics"/>
    <d v="2024-11-10T00:00:00"/>
    <n v="3.1123388581952117E-2"/>
    <n v="1.3787573964497042"/>
    <n v="8.629999999999999"/>
    <n v="33.287142857142854"/>
    <n v="8.5833226041800792"/>
  </r>
  <r>
    <s v="A3494"/>
    <s v="Data Analytics Course"/>
    <n v="83"/>
    <n v="4693"/>
    <n v="188.45"/>
    <n v="24"/>
    <n v="6"/>
    <n v="7.1999999999999995E-2"/>
    <n v="1539"/>
    <d v="2024-11-16T00:00:00"/>
    <s v="Hyderabad"/>
    <x v="1"/>
    <s v="analytics for data"/>
    <d v="2024-11-16T00:00:00"/>
    <n v="1.76859151928404E-2"/>
    <n v="2.2704819277108435"/>
    <n v="7.8520833333333329"/>
    <n v="31.408333333333331"/>
    <n v="8.1666224462722212"/>
  </r>
  <r>
    <s v="A3495"/>
    <s v="Data Analytics Course"/>
    <n v="175"/>
    <n v="4723"/>
    <n v="237.92"/>
    <n v="19"/>
    <n v="7"/>
    <n v="4.5999999999999999E-2"/>
    <n v="1906"/>
    <d v="2024-11-12T00:00:00"/>
    <s v="Hyderabad"/>
    <x v="1"/>
    <s v="online data analytic"/>
    <d v="2024-11-12T00:00:00"/>
    <n v="3.7052720728350627E-2"/>
    <n v="1.3595428571428572"/>
    <n v="12.522105263157894"/>
    <n v="33.988571428571426"/>
    <n v="8.0110961667787493"/>
  </r>
  <r>
    <s v="A3496"/>
    <s v="Data Analytics Course"/>
    <n v="123"/>
    <n v="5812"/>
    <n v="180.11"/>
    <n v="25"/>
    <n v="4"/>
    <n v="3.3000000000000002E-2"/>
    <n v="1293"/>
    <d v="2024-11-21T00:00:00"/>
    <s v="Hyderabad"/>
    <x v="2"/>
    <s v="data analitics online"/>
    <d v="2024-11-21T00:00:00"/>
    <n v="2.1163110805230558E-2"/>
    <n v="1.4643089430894309"/>
    <n v="7.2044000000000006"/>
    <n v="45.027500000000003"/>
    <n v="7.1789461995447219"/>
  </r>
  <r>
    <s v="A3497"/>
    <s v="Data Analytics Course"/>
    <n v="135"/>
    <n v="4611"/>
    <n v="215.57"/>
    <n v="17"/>
    <n v="7"/>
    <n v="4.5999999999999999E-2"/>
    <n v="1697"/>
    <s v="14-11-2024"/>
    <s v="Hyderabad"/>
    <x v="0"/>
    <s v="online data analytic"/>
    <d v="2024-11-14T00:00:00"/>
    <n v="2.9277813923227064E-2"/>
    <n v="1.5968148148148147"/>
    <n v="12.680588235294117"/>
    <n v="30.795714285714286"/>
    <n v="7.8721528969708219"/>
  </r>
  <r>
    <s v="A3498"/>
    <s v="Data Analytics Course"/>
    <n v="126"/>
    <n v="4960"/>
    <n v="228.68"/>
    <n v="30"/>
    <n v="3"/>
    <n v="5.8000000000000003E-2"/>
    <n v="1114"/>
    <s v="26-11-2024"/>
    <s v="Hyderabad"/>
    <x v="1"/>
    <s v="online data analytic"/>
    <d v="2024-11-26T00:00:00"/>
    <n v="2.5403225806451612E-2"/>
    <n v="1.814920634920635"/>
    <n v="7.6226666666666665"/>
    <n v="76.226666666666674"/>
    <n v="4.8714360678677631"/>
  </r>
  <r>
    <s v="A3499"/>
    <s v="Data Analytics Course"/>
    <n v="171"/>
    <n v="4549"/>
    <n v="181.87"/>
    <n v="18"/>
    <n v="3"/>
    <n v="4.5999999999999999E-2"/>
    <n v="1965"/>
    <d v="2024-09-11T00:00:00"/>
    <s v="Hyderabad"/>
    <x v="1"/>
    <s v="analytics for data"/>
    <d v="2024-09-11T00:00:00"/>
    <n v="3.7590679270169271E-2"/>
    <n v="1.0635672514619883"/>
    <n v="10.103888888888889"/>
    <n v="60.623333333333335"/>
    <n v="10.804420740089075"/>
  </r>
  <r>
    <s v="A3500"/>
    <s v="Data Analytics Course"/>
    <n v="185"/>
    <n v="4803"/>
    <n v="248.77"/>
    <n v="30"/>
    <n v="5"/>
    <n v="2.7E-2"/>
    <n v="1806"/>
    <d v="2024-11-05T00:00:00"/>
    <s v="Hyderabad"/>
    <x v="1"/>
    <s v="learn data analytics"/>
    <d v="2024-11-05T00:00:00"/>
    <n v="3.8517593170934832E-2"/>
    <n v="1.3447027027027028"/>
    <n v="8.2923333333333336"/>
    <n v="49.754000000000005"/>
    <n v="7.2597178116332355"/>
  </r>
  <r>
    <s v="A3501"/>
    <s v="Data Analytics Course"/>
    <n v="157"/>
    <n v="3164"/>
    <n v="227.73"/>
    <n v="20"/>
    <n v="3"/>
    <n v="3.4000000000000002E-2"/>
    <n v="1505"/>
    <s v="20-11-2024"/>
    <s v="Hyderabad"/>
    <x v="1"/>
    <s v="data anaytics training"/>
    <d v="2024-11-20T00:00:00"/>
    <n v="4.9620733249051835E-2"/>
    <n v="1.4505095541401274"/>
    <n v="11.3865"/>
    <n v="75.91"/>
    <n v="6.608703288982567"/>
  </r>
  <r>
    <s v="A3502"/>
    <s v="Data Analytics Course"/>
    <n v="123"/>
    <n v="3343"/>
    <n v="190.66"/>
    <n v="14"/>
    <n v="5"/>
    <n v="4.1000000000000002E-2"/>
    <n v="1562"/>
    <s v="17-11-2024"/>
    <s v="Hyderabad"/>
    <x v="1"/>
    <s v="data analytics course"/>
    <d v="2024-11-17T00:00:00"/>
    <n v="3.6793299431648219E-2"/>
    <n v="1.5500813008130081"/>
    <n v="13.618571428571428"/>
    <n v="38.131999999999998"/>
    <n v="8.1925941466484851"/>
  </r>
  <r>
    <s v="A3503"/>
    <s v="Data Analytics Course"/>
    <n v="122"/>
    <n v="5718"/>
    <n v="211.65"/>
    <n v="14"/>
    <n v="4"/>
    <n v="3.3000000000000002E-2"/>
    <n v="1857"/>
    <s v="19-11-2024"/>
    <s v="Hyderabad"/>
    <x v="2"/>
    <s v="data analitics online"/>
    <d v="2024-11-19T00:00:00"/>
    <n v="2.1336131514515563E-2"/>
    <n v="1.7348360655737705"/>
    <n v="15.117857142857144"/>
    <n v="52.912500000000001"/>
    <n v="8.7739192062367106"/>
  </r>
  <r>
    <s v="A3504"/>
    <s v="Data Analytics Course"/>
    <n v="97"/>
    <n v="3754"/>
    <n v="180.42"/>
    <n v="24"/>
    <n v="10"/>
    <n v="0.10299999999999999"/>
    <n v="1011"/>
    <d v="2024-11-16T00:00:00"/>
    <s v="Hyderabad"/>
    <x v="2"/>
    <s v="analytics for data"/>
    <d v="2024-11-16T00:00:00"/>
    <n v="2.5839104954714972E-2"/>
    <n v="1.8599999999999999"/>
    <n v="7.5174999999999992"/>
    <n v="18.041999999999998"/>
    <n v="5.6035916195543738"/>
  </r>
  <r>
    <s v="A3505"/>
    <s v="Data Analytics Course"/>
    <n v="88"/>
    <n v="3684"/>
    <n v="198.73"/>
    <n v="30"/>
    <n v="4"/>
    <n v="4.4999999999999998E-2"/>
    <n v="1195"/>
    <d v="2024-02-11T00:00:00"/>
    <s v="Hyderabad"/>
    <x v="1"/>
    <s v="online data analytic"/>
    <d v="2024-02-11T00:00:00"/>
    <n v="2.3887079261672096E-2"/>
    <n v="2.2582954545454546"/>
    <n v="6.6243333333333334"/>
    <n v="49.682499999999997"/>
    <n v="6.0131837166004125"/>
  </r>
  <r>
    <s v="A3506"/>
    <s v="Data Analytics Course"/>
    <n v="81"/>
    <n v="5068"/>
    <n v="204.53"/>
    <n v="20"/>
    <n v="9"/>
    <n v="4.3999999999999997E-2"/>
    <n v="1773"/>
    <d v="2024-11-03T00:00:00"/>
    <s v="Hyderabad"/>
    <x v="2"/>
    <s v="data analitics online"/>
    <d v="2024-11-03T00:00:00"/>
    <n v="1.5982636148382006E-2"/>
    <n v="2.5250617283950616"/>
    <n v="10.2265"/>
    <n v="22.725555555555555"/>
    <n v="8.668654965041803"/>
  </r>
  <r>
    <s v="A3507"/>
    <s v="Data Analytics Course"/>
    <n v="96"/>
    <n v="5538"/>
    <n v="188.79"/>
    <n v="28"/>
    <n v="6"/>
    <n v="6.2E-2"/>
    <n v="1181"/>
    <d v="2024-11-18T00:00:00"/>
    <s v="Hyderabad"/>
    <x v="1"/>
    <s v="online data analytic"/>
    <d v="2024-11-18T00:00:00"/>
    <n v="1.7334777898158179E-2"/>
    <n v="1.9665625"/>
    <n v="6.7424999999999997"/>
    <n v="31.465"/>
    <n v="6.2556279463954665"/>
  </r>
  <r>
    <s v="A3508"/>
    <s v="Data Analytics Course"/>
    <n v="163"/>
    <n v="4813"/>
    <n v="190.77"/>
    <n v="22"/>
    <n v="8"/>
    <n v="4.9000000000000002E-2"/>
    <n v="1505"/>
    <d v="2024-11-25T00:00:00"/>
    <s v="Hyderabad"/>
    <x v="0"/>
    <s v="online data analytic"/>
    <d v="2024-11-25T00:00:00"/>
    <n v="3.3866611261167669E-2"/>
    <n v="1.1703680981595093"/>
    <n v="8.6713636363636368"/>
    <n v="23.846250000000001"/>
    <n v="7.8890810924149495"/>
  </r>
  <r>
    <s v="A3509"/>
    <s v="Data Analytics Course"/>
    <n v="139"/>
    <n v="3003"/>
    <n v="210.63"/>
    <n v="16"/>
    <n v="10"/>
    <n v="4.5999999999999999E-2"/>
    <n v="1756"/>
    <d v="2024-11-16T00:00:00"/>
    <s v="Hyderabad"/>
    <x v="2"/>
    <s v="data anaytics training"/>
    <d v="2024-11-16T00:00:00"/>
    <n v="4.6287046287046288E-2"/>
    <n v="1.5153237410071942"/>
    <n v="13.164375"/>
    <n v="21.062999999999999"/>
    <n v="8.3368940796657647"/>
  </r>
  <r>
    <s v="A3510"/>
    <s v="Data Analytics Course"/>
    <n v="142"/>
    <n v="3348"/>
    <n v="242.31"/>
    <n v="12"/>
    <n v="8"/>
    <n v="4.5999999999999999E-2"/>
    <n v="1220"/>
    <d v="2024-11-21T00:00:00"/>
    <s v="Hyderabad"/>
    <x v="2"/>
    <s v="online data analytic"/>
    <d v="2024-11-21T00:00:00"/>
    <n v="4.2413381123058543E-2"/>
    <n v="1.7064084507042254"/>
    <n v="20.192499999999999"/>
    <n v="30.28875"/>
    <n v="5.0348726837522184"/>
  </r>
  <r>
    <s v="A3511"/>
    <s v="Data Analytics Course"/>
    <n v="83"/>
    <n v="3926"/>
    <n v="186.63"/>
    <n v="21"/>
    <n v="5"/>
    <n v="0.06"/>
    <n v="1407"/>
    <d v="2024-11-06T00:00:00"/>
    <s v="Hyderabad"/>
    <x v="2"/>
    <s v="data analitics online"/>
    <d v="2024-11-06T00:00:00"/>
    <n v="2.1141110545084055E-2"/>
    <n v="2.2485542168674697"/>
    <n v="8.887142857142857"/>
    <n v="37.326000000000001"/>
    <n v="7.5389808712425657"/>
  </r>
  <r>
    <s v="A3512"/>
    <s v="Data Analytics Course"/>
    <n v="188"/>
    <n v="3069"/>
    <n v="214.16"/>
    <n v="26"/>
    <n v="4"/>
    <n v="2.1000000000000001E-2"/>
    <n v="1563"/>
    <d v="2024-11-14T00:00:00"/>
    <s v="Hyderabad"/>
    <x v="0"/>
    <s v="learn data analytics"/>
    <d v="2024-11-14T00:00:00"/>
    <n v="6.1257738677093519E-2"/>
    <n v="1.1391489361702127"/>
    <n v="8.2369230769230768"/>
    <n v="53.54"/>
    <n v="7.2982816585730292"/>
  </r>
  <r>
    <s v="A3513"/>
    <s v="Data Analytics Course"/>
    <n v="193"/>
    <n v="3978"/>
    <n v="231.8"/>
    <n v="20"/>
    <n v="3"/>
    <n v="4.5999999999999999E-2"/>
    <n v="1126"/>
    <d v="2024-11-16T00:00:00"/>
    <s v="Hyderabad"/>
    <x v="1"/>
    <s v="online data analytic"/>
    <d v="2024-11-16T00:00:00"/>
    <n v="4.8516842634489694E-2"/>
    <n v="1.2010362694300518"/>
    <n v="11.59"/>
    <n v="77.266666666666666"/>
    <n v="4.8576358930112162"/>
  </r>
  <r>
    <s v="A3514"/>
    <s v="Data Analytics Course"/>
    <n v="181"/>
    <n v="3652"/>
    <n v="206.2"/>
    <n v="27"/>
    <n v="7"/>
    <n v="3.9E-2"/>
    <n v="1690"/>
    <d v="2024-11-03T00:00:00"/>
    <s v="Hyderabad"/>
    <x v="2"/>
    <s v="analytics for data"/>
    <d v="2024-11-03T00:00:00"/>
    <n v="4.95618838992333E-2"/>
    <n v="1.1392265193370166"/>
    <n v="7.6370370370370368"/>
    <n v="29.457142857142856"/>
    <n v="8.1959262851600396"/>
  </r>
  <r>
    <s v="A3515"/>
    <s v="Data Analytics Course"/>
    <n v="199"/>
    <n v="4400"/>
    <n v="228.05"/>
    <n v="26"/>
    <n v="8"/>
    <n v="0.04"/>
    <n v="1025"/>
    <d v="2024-11-09T00:00:00"/>
    <s v="Hyderabad"/>
    <x v="2"/>
    <s v="learn data analytics"/>
    <d v="2024-11-09T00:00:00"/>
    <n v="4.5227272727272727E-2"/>
    <n v="1.1459798994974875"/>
    <n v="8.7711538461538474"/>
    <n v="28.506250000000001"/>
    <n v="4.4946283709712782"/>
  </r>
  <r>
    <s v="A3516"/>
    <s v="Data Analytics Course"/>
    <n v="167"/>
    <n v="5503"/>
    <n v="232.28"/>
    <n v="19"/>
    <n v="9"/>
    <n v="5.3999999999999999E-2"/>
    <n v="1644"/>
    <d v="2024-11-05T00:00:00"/>
    <s v="Hyderabad"/>
    <x v="1"/>
    <s v="data anaytics training"/>
    <d v="2024-11-05T00:00:00"/>
    <n v="3.0347083409049611E-2"/>
    <n v="1.3908982035928144"/>
    <n v="12.225263157894737"/>
    <n v="25.808888888888887"/>
    <n v="7.0776648872050973"/>
  </r>
  <r>
    <s v="A3517"/>
    <s v="Data Analytics Course"/>
    <n v="189"/>
    <n v="4955"/>
    <n v="215.87"/>
    <n v="21"/>
    <n v="3"/>
    <n v="3.3000000000000002E-2"/>
    <n v="1238"/>
    <d v="2024-11-17T00:00:00"/>
    <s v="Hyderabad"/>
    <x v="1"/>
    <s v="data analitics online"/>
    <d v="2024-11-17T00:00:00"/>
    <n v="3.8143289606458124E-2"/>
    <n v="1.1421693121693122"/>
    <n v="10.279523809523809"/>
    <n v="71.956666666666663"/>
    <n v="5.7349330615648304"/>
  </r>
  <r>
    <s v="A3518"/>
    <s v="Data Analytics Course"/>
    <n v="125"/>
    <n v="3469"/>
    <n v="192.84"/>
    <n v="16"/>
    <n v="8"/>
    <n v="3.5999999999999997E-2"/>
    <n v="1259"/>
    <d v="2024-11-17T00:00:00"/>
    <s v="Hyderabad"/>
    <x v="0"/>
    <s v="data analytics course"/>
    <d v="2024-11-17T00:00:00"/>
    <n v="3.6033439031421158E-2"/>
    <n v="1.5427200000000001"/>
    <n v="12.0525"/>
    <n v="24.105"/>
    <n v="6.5287284795685538"/>
  </r>
  <r>
    <s v="A3519"/>
    <s v="Data Analytics Course"/>
    <n v="166"/>
    <n v="4096"/>
    <n v="204.43"/>
    <n v="28"/>
    <n v="5"/>
    <n v="0.03"/>
    <n v="1579"/>
    <d v="2024-06-11T00:00:00"/>
    <s v="Hyderabad"/>
    <x v="0"/>
    <s v="learn data analytics"/>
    <d v="2024-06-11T00:00:00"/>
    <n v="4.052734375E-2"/>
    <n v="1.2315060240963855"/>
    <n v="7.3010714285714284"/>
    <n v="40.886000000000003"/>
    <n v="7.7239152766228045"/>
  </r>
  <r>
    <s v="A3520"/>
    <s v="Data Analytics Course"/>
    <n v="181"/>
    <n v="5171"/>
    <n v="208.69"/>
    <n v="14"/>
    <n v="4"/>
    <n v="2.1999999999999999E-2"/>
    <n v="1628"/>
    <d v="2024-11-23T00:00:00"/>
    <s v="Hyderabad"/>
    <x v="1"/>
    <s v="data analytics course"/>
    <d v="2024-11-23T00:00:00"/>
    <n v="3.5002900792883387E-2"/>
    <n v="1.1529834254143647"/>
    <n v="14.906428571428572"/>
    <n v="52.172499999999999"/>
    <n v="7.8010446116248984"/>
  </r>
  <r>
    <s v="A3521"/>
    <s v="Data Analytics Course"/>
    <n v="139"/>
    <n v="4878"/>
    <n v="183.26"/>
    <n v="25"/>
    <n v="3"/>
    <n v="4.5999999999999999E-2"/>
    <n v="1986"/>
    <d v="2024-11-23T00:00:00"/>
    <s v="Hyderabad"/>
    <x v="0"/>
    <s v="learn data analytics"/>
    <d v="2024-11-23T00:00:00"/>
    <n v="2.8495284952849528E-2"/>
    <n v="1.3184172661870504"/>
    <n v="7.3304"/>
    <n v="61.086666666666666"/>
    <n v="10.837062097566299"/>
  </r>
  <r>
    <s v="A3522"/>
    <s v="Data Analytics Course"/>
    <n v="127"/>
    <n v="3682"/>
    <n v="215.57"/>
    <n v="21"/>
    <n v="9"/>
    <n v="7.0999999999999994E-2"/>
    <n v="1384"/>
    <d v="2024-11-22T00:00:00"/>
    <s v="Hyderabad"/>
    <x v="2"/>
    <s v="data anaytics training"/>
    <d v="2024-11-22T00:00:00"/>
    <n v="3.4492123845736015E-2"/>
    <n v="1.6974015748031495"/>
    <n v="10.265238095238095"/>
    <n v="23.952222222222222"/>
    <n v="6.4201883378948832"/>
  </r>
  <r>
    <s v="A3523"/>
    <s v="Data Analytics Course"/>
    <n v="83"/>
    <n v="3933"/>
    <n v="214.61"/>
    <n v="29"/>
    <n v="6"/>
    <n v="4.8000000000000001E-2"/>
    <n v="1427"/>
    <s v="20-11-2024"/>
    <s v="Hyderabad"/>
    <x v="2"/>
    <s v="data anaytics training"/>
    <d v="2024-11-20T00:00:00"/>
    <n v="2.1103483346046274E-2"/>
    <n v="2.5856626506024099"/>
    <n v="7.4003448275862072"/>
    <n v="35.768333333333338"/>
    <n v="6.6492707702343781"/>
  </r>
  <r>
    <s v="A3524"/>
    <s v="Data Analytics Course"/>
    <n v="80"/>
    <n v="3240"/>
    <n v="221.11"/>
    <n v="29"/>
    <n v="7"/>
    <n v="4.5999999999999999E-2"/>
    <n v="1263"/>
    <s v="14-11-2024"/>
    <s v="Hyderabad"/>
    <x v="0"/>
    <s v="learn data analytics"/>
    <d v="2024-11-14T00:00:00"/>
    <n v="2.4691358024691357E-2"/>
    <n v="2.7638750000000001"/>
    <n v="7.6244827586206902"/>
    <n v="31.587142857142858"/>
    <n v="5.7120890054723885"/>
  </r>
  <r>
    <s v="A3525"/>
    <s v="Data Analytics Course"/>
    <n v="105"/>
    <n v="3030"/>
    <n v="185.91"/>
    <n v="24"/>
    <n v="5"/>
    <n v="4.8000000000000001E-2"/>
    <n v="1263"/>
    <d v="2024-11-02T00:00:00"/>
    <s v="Hyderabad"/>
    <x v="0"/>
    <s v="data analytics course"/>
    <d v="2024-11-02T00:00:00"/>
    <n v="3.4653465346534656E-2"/>
    <n v="1.7705714285714285"/>
    <n v="7.7462499999999999"/>
    <n v="37.182000000000002"/>
    <n v="6.7936098111989676"/>
  </r>
  <r>
    <s v="A3526"/>
    <s v="Data Analytics Course"/>
    <n v="155"/>
    <n v="4676"/>
    <n v="219.3"/>
    <n v="26"/>
    <n v="7"/>
    <n v="4.5999999999999999E-2"/>
    <n v="1787"/>
    <d v="2024-11-02T00:00:00"/>
    <s v="Hyderabad"/>
    <x v="2"/>
    <s v="learn data analytics"/>
    <d v="2024-11-02T00:00:00"/>
    <n v="3.3147989734816079E-2"/>
    <n v="1.4148387096774195"/>
    <n v="8.4346153846153857"/>
    <n v="31.328571428571429"/>
    <n v="8.1486548107615135"/>
  </r>
  <r>
    <s v="A3527"/>
    <s v="Data Analytics Course"/>
    <n v="185"/>
    <n v="4518.5"/>
    <n v="208.41"/>
    <n v="25"/>
    <n v="3"/>
    <n v="4.7E-2"/>
    <n v="1006"/>
    <d v="2024-11-13T00:00:00"/>
    <s v="Hyderabad"/>
    <x v="1"/>
    <s v="data anaytics training"/>
    <d v="2024-11-13T00:00:00"/>
    <n v="4.0942790749142415E-2"/>
    <n v="1.1265405405405404"/>
    <n v="8.3363999999999994"/>
    <n v="69.47"/>
    <n v="4.8270236552948518"/>
  </r>
  <r>
    <s v="A3528"/>
    <s v="Data Analytics Course"/>
    <n v="132"/>
    <n v="5616"/>
    <n v="215.57"/>
    <n v="28"/>
    <n v="7"/>
    <n v="5.2999999999999999E-2"/>
    <n v="1491"/>
    <s v="26-11-2024"/>
    <s v="Hyderabad"/>
    <x v="0"/>
    <s v="data analitics online"/>
    <d v="2024-11-26T00:00:00"/>
    <n v="2.3504273504273504E-2"/>
    <n v="1.6331060606060606"/>
    <n v="7.6989285714285716"/>
    <n v="30.795714285714286"/>
    <n v="6.9165468293361787"/>
  </r>
  <r>
    <s v="A3529"/>
    <s v="Data Analytics Course"/>
    <n v="198"/>
    <n v="5736"/>
    <n v="227.53"/>
    <n v="14"/>
    <n v="9"/>
    <n v="4.4999999999999998E-2"/>
    <n v="1607"/>
    <d v="2024-11-18T00:00:00"/>
    <s v="Hyderabad"/>
    <x v="1"/>
    <s v="learn data analytics"/>
    <d v="2024-11-18T00:00:00"/>
    <n v="3.4518828451882845E-2"/>
    <n v="1.1491414141414142"/>
    <n v="16.252142857142857"/>
    <n v="25.281111111111112"/>
    <n v="7.0628049048477122"/>
  </r>
  <r>
    <s v="A3530"/>
    <s v="Data Analytics Course"/>
    <n v="184"/>
    <n v="3641"/>
    <n v="189"/>
    <n v="22"/>
    <n v="7"/>
    <n v="3.7999999999999999E-2"/>
    <n v="1905"/>
    <d v="2024-11-15T00:00:00"/>
    <s v="Hyderabad"/>
    <x v="2"/>
    <s v="data anaytics training"/>
    <d v="2024-11-15T00:00:00"/>
    <n v="5.0535567151881351E-2"/>
    <n v="1.0271739130434783"/>
    <n v="8.5909090909090917"/>
    <n v="27"/>
    <n v="10.079365079365079"/>
  </r>
  <r>
    <s v="A3531"/>
    <s v="Data Analytics Course"/>
    <n v="190"/>
    <n v="5429"/>
    <n v="243.6"/>
    <n v="23"/>
    <n v="8"/>
    <n v="3.6999999999999998E-2"/>
    <n v="1505"/>
    <d v="2024-11-23T00:00:00"/>
    <s v="Hyderabad"/>
    <x v="2"/>
    <s v="data analytics course"/>
    <d v="2024-11-23T00:00:00"/>
    <n v="3.4997237060232084E-2"/>
    <n v="1.2821052631578946"/>
    <n v="10.591304347826087"/>
    <n v="30.45"/>
    <n v="6.1781609195402298"/>
  </r>
  <r>
    <s v="A3532"/>
    <s v="Data Analytics Course"/>
    <n v="127"/>
    <n v="4327"/>
    <n v="220.57"/>
    <n v="24"/>
    <n v="5"/>
    <n v="4.5999999999999999E-2"/>
    <n v="1017"/>
    <s v="21-11-2024"/>
    <s v="Hyderabad"/>
    <x v="1"/>
    <s v="data analytics course"/>
    <d v="2024-11-21T00:00:00"/>
    <n v="2.9350589322856481E-2"/>
    <n v="1.7367716535433071"/>
    <n v="9.1904166666666658"/>
    <n v="44.113999999999997"/>
    <n v="4.6107811579090541"/>
  </r>
  <r>
    <s v="A3533"/>
    <s v="Data Analytics Course"/>
    <n v="130"/>
    <n v="5340"/>
    <n v="221.95"/>
    <n v="27"/>
    <n v="7"/>
    <n v="4.5999999999999999E-2"/>
    <n v="1488"/>
    <d v="2024-11-02T00:00:00"/>
    <s v="Hyderabad"/>
    <x v="2"/>
    <s v="data analitics online"/>
    <d v="2024-11-02T00:00:00"/>
    <n v="2.4344569288389514E-2"/>
    <n v="1.7073076923076922"/>
    <n v="8.2203703703703699"/>
    <n v="31.707142857142856"/>
    <n v="6.7042126605091239"/>
  </r>
  <r>
    <s v="A3534"/>
    <s v="Data Analytics Course"/>
    <n v="172"/>
    <n v="3612"/>
    <n v="191.27"/>
    <n v="25"/>
    <n v="10"/>
    <n v="4.5999999999999999E-2"/>
    <n v="1243"/>
    <d v="2024-11-18T00:00:00"/>
    <s v="Hyderabad"/>
    <x v="1"/>
    <s v="analytics for data"/>
    <d v="2024-11-18T00:00:00"/>
    <n v="4.7619047619047616E-2"/>
    <n v="1.1120348837209304"/>
    <n v="7.6508000000000003"/>
    <n v="19.127000000000002"/>
    <n v="6.4986668060856374"/>
  </r>
  <r>
    <s v="A3535"/>
    <s v="Data Analytics Course"/>
    <n v="139"/>
    <n v="4195"/>
    <n v="226.79"/>
    <n v="27"/>
    <n v="3"/>
    <n v="0.05"/>
    <n v="1117"/>
    <s v="13-11-2024"/>
    <s v="Hyderabad"/>
    <x v="0"/>
    <s v="data analytics course"/>
    <d v="2024-11-13T00:00:00"/>
    <n v="3.3134684147794996E-2"/>
    <n v="1.6315827338129496"/>
    <n v="8.3996296296296293"/>
    <n v="75.596666666666664"/>
    <n v="4.9252612549054193"/>
  </r>
  <r>
    <s v="A3536"/>
    <s v="Data Analytics Course"/>
    <n v="144"/>
    <n v="5968"/>
    <n v="224.21"/>
    <n v="21"/>
    <n v="6"/>
    <n v="3.2000000000000001E-2"/>
    <n v="1993"/>
    <d v="2024-11-10T00:00:00"/>
    <s v="Hyderabad"/>
    <x v="0"/>
    <s v="online data analytic"/>
    <d v="2024-11-10T00:00:00"/>
    <n v="2.4128686327077747E-2"/>
    <n v="1.5570138888888889"/>
    <n v="10.676666666666668"/>
    <n v="37.368333333333332"/>
    <n v="8.8889880023192536"/>
  </r>
  <r>
    <s v="A3537"/>
    <s v="Data Analytics Course"/>
    <n v="148"/>
    <n v="5431"/>
    <n v="216.71"/>
    <n v="20"/>
    <n v="6"/>
    <n v="4.1000000000000002E-2"/>
    <n v="1200"/>
    <d v="2024-11-20T00:00:00"/>
    <s v="Hyderabad"/>
    <x v="1"/>
    <s v="online data analytic"/>
    <d v="2024-11-20T00:00:00"/>
    <n v="2.7250966672804272E-2"/>
    <n v="1.4642567567567568"/>
    <n v="10.8355"/>
    <n v="36.118333333333332"/>
    <n v="5.5373540676480086"/>
  </r>
  <r>
    <s v="A3538"/>
    <s v="Data Analytics Course"/>
    <n v="189"/>
    <n v="3420"/>
    <n v="181.35"/>
    <n v="26"/>
    <n v="6"/>
    <n v="3.2000000000000001E-2"/>
    <n v="1692"/>
    <s v="18-11-2024"/>
    <s v="Hyderabad"/>
    <x v="0"/>
    <s v="data anaytics training"/>
    <d v="2024-11-18T00:00:00"/>
    <n v="5.526315789473684E-2"/>
    <n v="0.95952380952380945"/>
    <n v="6.9749999999999996"/>
    <n v="30.224999999999998"/>
    <n v="9.3300248138957826"/>
  </r>
  <r>
    <s v="A3539"/>
    <s v="Data Analytics Course"/>
    <n v="143"/>
    <n v="4701"/>
    <n v="222.43"/>
    <n v="29"/>
    <n v="4"/>
    <n v="2.8000000000000001E-2"/>
    <n v="1953"/>
    <d v="2024-11-07T00:00:00"/>
    <s v="Hyderabad"/>
    <x v="2"/>
    <s v="data analitics online"/>
    <d v="2024-11-07T00:00:00"/>
    <n v="3.0419059774516061E-2"/>
    <n v="1.5554545454545454"/>
    <n v="7.67"/>
    <n v="55.607500000000002"/>
    <n v="8.7802904284493994"/>
  </r>
  <r>
    <s v="A3540"/>
    <s v="Data Analytics Course"/>
    <n v="185"/>
    <n v="4958"/>
    <n v="201.3"/>
    <n v="21"/>
    <n v="5"/>
    <n v="2.7E-2"/>
    <n v="1965"/>
    <d v="2024-06-11T00:00:00"/>
    <s v="Hyderabad"/>
    <x v="0"/>
    <s v="analytics for data"/>
    <d v="2024-06-11T00:00:00"/>
    <n v="3.7313432835820892E-2"/>
    <n v="1.0881081081081081"/>
    <n v="9.5857142857142854"/>
    <n v="40.260000000000005"/>
    <n v="9.761549925484351"/>
  </r>
  <r>
    <s v="A3541"/>
    <s v="Data Analytics Course"/>
    <n v="172"/>
    <n v="5295"/>
    <n v="204.31"/>
    <n v="26"/>
    <n v="8"/>
    <n v="4.5999999999999999E-2"/>
    <n v="1218"/>
    <d v="2024-11-29T00:00:00"/>
    <s v="Hyderabad"/>
    <x v="2"/>
    <s v="data analytics course"/>
    <d v="2024-11-29T00:00:00"/>
    <n v="3.2483474976392826E-2"/>
    <n v="1.1878488372093023"/>
    <n v="7.858076923076923"/>
    <n v="25.53875"/>
    <n v="5.9615290489941755"/>
  </r>
  <r>
    <s v="A3542"/>
    <s v="Data Analytics Course"/>
    <n v="121"/>
    <n v="3577"/>
    <n v="239.27"/>
    <n v="29"/>
    <n v="3"/>
    <n v="4.5999999999999999E-2"/>
    <n v="1735"/>
    <d v="2024-11-26T00:00:00"/>
    <s v="Hyderabad"/>
    <x v="0"/>
    <s v="data analitics online"/>
    <d v="2024-11-26T00:00:00"/>
    <n v="3.3827229521945765E-2"/>
    <n v="1.9774380165289258"/>
    <n v="8.2506896551724136"/>
    <n v="79.756666666666675"/>
    <n v="7.2512224683412043"/>
  </r>
  <r>
    <s v="A3543"/>
    <s v="Data Analytics Course"/>
    <n v="158"/>
    <n v="3766"/>
    <n v="222.89"/>
    <n v="27"/>
    <n v="7"/>
    <n v="5.6000000000000001E-2"/>
    <n v="1673"/>
    <d v="2024-11-22T00:00:00"/>
    <s v="Hyderabad"/>
    <x v="1"/>
    <s v="learn data analytics"/>
    <d v="2024-11-22T00:00:00"/>
    <n v="4.1954328199681361E-2"/>
    <n v="1.4106962025316454"/>
    <n v="8.2551851851851854"/>
    <n v="31.841428571428569"/>
    <n v="7.5059446363677154"/>
  </r>
  <r>
    <s v="A3544"/>
    <s v="Data Analytics Course"/>
    <n v="137"/>
    <n v="4287"/>
    <n v="231.9"/>
    <n v="14"/>
    <n v="7"/>
    <n v="4.5999999999999999E-2"/>
    <n v="1829"/>
    <d v="2024-11-29T00:00:00"/>
    <s v="Hyderabad"/>
    <x v="0"/>
    <s v="analytics for data"/>
    <d v="2024-11-29T00:00:00"/>
    <n v="3.1957079542803822E-2"/>
    <n v="1.6927007299270074"/>
    <n v="16.564285714285713"/>
    <n v="33.128571428571426"/>
    <n v="7.8870202673566192"/>
  </r>
  <r>
    <s v="A3545"/>
    <s v="Data Analytics Course"/>
    <n v="150"/>
    <n v="5630"/>
    <n v="239.21"/>
    <n v="26"/>
    <n v="4"/>
    <n v="2.7E-2"/>
    <n v="1302"/>
    <s v="30-11-2024"/>
    <s v="Hyderabad"/>
    <x v="2"/>
    <s v="analytics for data"/>
    <d v="2024-11-30T00:00:00"/>
    <n v="2.664298401420959E-2"/>
    <n v="1.5947333333333333"/>
    <n v="9.2003846153846158"/>
    <n v="59.802500000000002"/>
    <n v="5.4429162660423893"/>
  </r>
  <r>
    <s v="A3546"/>
    <s v="Data Analytics Course"/>
    <n v="93"/>
    <n v="4157"/>
    <n v="206.1"/>
    <n v="30"/>
    <n v="8"/>
    <n v="8.5999999999999993E-2"/>
    <n v="1129"/>
    <d v="2024-08-11T00:00:00"/>
    <s v="Hyderabad"/>
    <x v="1"/>
    <s v="learn data analytics"/>
    <d v="2024-08-11T00:00:00"/>
    <n v="2.237190281452971E-2"/>
    <n v="2.2161290322580642"/>
    <n v="6.87"/>
    <n v="25.762499999999999"/>
    <n v="5.4779233381853469"/>
  </r>
  <r>
    <s v="A3547"/>
    <s v="Data Analytics Course"/>
    <n v="101"/>
    <n v="5983"/>
    <n v="185.86"/>
    <n v="10"/>
    <n v="5"/>
    <n v="0.05"/>
    <n v="1019"/>
    <d v="2024-06-11T00:00:00"/>
    <s v="Hyderabad"/>
    <x v="2"/>
    <s v="online data analytic"/>
    <d v="2024-06-11T00:00:00"/>
    <n v="1.688116329600535E-2"/>
    <n v="1.8401980198019803"/>
    <n v="18.586000000000002"/>
    <n v="37.172000000000004"/>
    <n v="5.4826213278812004"/>
  </r>
  <r>
    <s v="A3548"/>
    <s v="Data Analytics Course"/>
    <n v="178"/>
    <n v="3109"/>
    <n v="180.7"/>
    <n v="25"/>
    <n v="10"/>
    <n v="5.6000000000000001E-2"/>
    <n v="1709"/>
    <d v="2024-12-11T00:00:00"/>
    <s v="Hyderabad"/>
    <x v="0"/>
    <s v="data analytics course"/>
    <d v="2024-12-11T00:00:00"/>
    <n v="5.7253136056609845E-2"/>
    <n v="1.0151685393258427"/>
    <n v="7.2279999999999998"/>
    <n v="18.07"/>
    <n v="9.4576646375207538"/>
  </r>
  <r>
    <s v="A3549"/>
    <s v="Data Analytics Course"/>
    <n v="96"/>
    <n v="3365"/>
    <n v="225.77"/>
    <n v="27"/>
    <n v="8"/>
    <n v="8.3000000000000004E-2"/>
    <n v="1884"/>
    <s v="30-11-2024"/>
    <s v="Hyderabad"/>
    <x v="2"/>
    <s v="data analytics course"/>
    <d v="2024-11-30T00:00:00"/>
    <n v="2.8528974739970282E-2"/>
    <n v="2.3517708333333336"/>
    <n v="8.3618518518518528"/>
    <n v="28.221250000000001"/>
    <n v="8.3447756566417155"/>
  </r>
  <r>
    <s v="A3550"/>
    <s v="Data Analytics Course"/>
    <n v="170"/>
    <n v="5380"/>
    <n v="204.62"/>
    <n v="20"/>
    <n v="4"/>
    <n v="2.4E-2"/>
    <n v="1473"/>
    <d v="2024-11-15T00:00:00"/>
    <s v="Hyderabad"/>
    <x v="0"/>
    <s v="data analytics course"/>
    <d v="2024-11-15T00:00:00"/>
    <n v="3.1598513011152414E-2"/>
    <n v="1.2036470588235295"/>
    <n v="10.231"/>
    <n v="51.155000000000001"/>
    <n v="7.1987098035382662"/>
  </r>
  <r>
    <s v="A3551"/>
    <s v="Data Analytics Course"/>
    <n v="176"/>
    <n v="5036"/>
    <n v="221.48"/>
    <n v="13"/>
    <n v="3"/>
    <n v="3.1E-2"/>
    <n v="1072"/>
    <s v="22-11-2024"/>
    <s v="Hyderabad"/>
    <x v="1"/>
    <s v="data anaytics training"/>
    <d v="2024-11-22T00:00:00"/>
    <n v="3.4948371723590152E-2"/>
    <n v="1.2584090909090908"/>
    <n v="17.036923076923078"/>
    <n v="73.826666666666668"/>
    <n v="4.8401661549575588"/>
  </r>
  <r>
    <s v="A3552"/>
    <s v="Data Analytics Course"/>
    <n v="178"/>
    <n v="4176"/>
    <n v="198.49"/>
    <n v="30"/>
    <n v="4"/>
    <n v="2.1999999999999999E-2"/>
    <n v="1717"/>
    <d v="2024-12-11T00:00:00"/>
    <s v="Hyderabad"/>
    <x v="0"/>
    <s v="learn data analytics"/>
    <d v="2024-12-11T00:00:00"/>
    <n v="4.2624521072796934E-2"/>
    <n v="1.1151123595505619"/>
    <n v="6.6163333333333334"/>
    <n v="49.622500000000002"/>
    <n v="8.6503098392866136"/>
  </r>
  <r>
    <s v="A3553"/>
    <s v="Data Analytics Course"/>
    <n v="99"/>
    <n v="5663"/>
    <n v="187.48"/>
    <n v="22"/>
    <n v="5"/>
    <n v="3.4000000000000002E-2"/>
    <n v="1394"/>
    <d v="2024-11-29T00:00:00"/>
    <s v="Hyderabad"/>
    <x v="0"/>
    <s v="online data analytic"/>
    <d v="2024-11-29T00:00:00"/>
    <n v="1.7481900052975455E-2"/>
    <n v="1.8937373737373737"/>
    <n v="8.5218181818181815"/>
    <n v="37.495999999999995"/>
    <n v="7.4354597823767872"/>
  </r>
  <r>
    <s v="A3554"/>
    <s v="Data Analytics Course"/>
    <n v="139"/>
    <n v="5852"/>
    <n v="181.96"/>
    <n v="19"/>
    <n v="4"/>
    <n v="4.5999999999999999E-2"/>
    <n v="1816"/>
    <d v="2024-11-22T00:00:00"/>
    <s v="Hyderabad"/>
    <x v="2"/>
    <s v="data analitics online"/>
    <d v="2024-11-22T00:00:00"/>
    <n v="2.3752563226247438E-2"/>
    <n v="1.3090647482014388"/>
    <n v="9.5768421052631592"/>
    <n v="45.49"/>
    <n v="9.9802154319630692"/>
  </r>
  <r>
    <s v="A3555"/>
    <s v="Data Analytics Course"/>
    <n v="164"/>
    <n v="4725"/>
    <n v="224.43"/>
    <n v="18"/>
    <n v="10"/>
    <n v="6.0999999999999999E-2"/>
    <n v="1140"/>
    <d v="2024-11-30T00:00:00"/>
    <s v="Hyderabad"/>
    <x v="1"/>
    <s v="data anaytics training"/>
    <d v="2024-11-30T00:00:00"/>
    <n v="3.470899470899471E-2"/>
    <n v="1.3684756097560975"/>
    <n v="12.468333333333334"/>
    <n v="22.443000000000001"/>
    <n v="5.079534821547921"/>
  </r>
  <r>
    <s v="A3556"/>
    <s v="Data Analytics Course"/>
    <n v="94"/>
    <n v="5762"/>
    <n v="202.12"/>
    <n v="23"/>
    <n v="5"/>
    <n v="5.2999999999999999E-2"/>
    <n v="1694"/>
    <d v="2024-11-23T00:00:00"/>
    <s v="Hyderabad"/>
    <x v="2"/>
    <s v="online data analytic"/>
    <d v="2024-11-23T00:00:00"/>
    <n v="1.6313779937521693E-2"/>
    <n v="2.150212765957447"/>
    <n v="8.7878260869565228"/>
    <n v="40.423999999999999"/>
    <n v="8.3811597071046897"/>
  </r>
  <r>
    <s v="A3557"/>
    <s v="Data Analytics Course"/>
    <n v="82"/>
    <n v="4773"/>
    <n v="226.66"/>
    <n v="10"/>
    <n v="6"/>
    <n v="3.3000000000000002E-2"/>
    <n v="1189"/>
    <d v="2024-11-20T00:00:00"/>
    <s v="Hyderabad"/>
    <x v="0"/>
    <s v="data anaytics training"/>
    <d v="2024-11-20T00:00:00"/>
    <n v="1.7179970668342762E-2"/>
    <n v="2.7641463414634146"/>
    <n v="22.666"/>
    <n v="37.776666666666664"/>
    <n v="5.2457425218388778"/>
  </r>
  <r>
    <s v="A3558"/>
    <s v="Data Analytics Course"/>
    <n v="194"/>
    <n v="4198"/>
    <n v="217.66"/>
    <n v="16"/>
    <n v="10"/>
    <n v="5.1999999999999998E-2"/>
    <n v="1619"/>
    <d v="2024-11-29T00:00:00"/>
    <s v="Hyderabad"/>
    <x v="2"/>
    <s v="online data analytic"/>
    <d v="2024-11-29T00:00:00"/>
    <n v="4.621248213434969E-2"/>
    <n v="1.1219587628865979"/>
    <n v="13.60375"/>
    <n v="21.765999999999998"/>
    <n v="7.4382063769181297"/>
  </r>
  <r>
    <s v="A3559"/>
    <s v="Data Analytics Course"/>
    <n v="176"/>
    <n v="5314"/>
    <n v="188.23"/>
    <n v="17"/>
    <n v="8"/>
    <n v="4.4999999999999998E-2"/>
    <n v="1725"/>
    <d v="2024-11-04T00:00:00"/>
    <s v="Hyderabad"/>
    <x v="1"/>
    <s v="analytics for data"/>
    <d v="2024-11-04T00:00:00"/>
    <n v="3.3120060218291308E-2"/>
    <n v="1.0694886363636362"/>
    <n v="11.072352941176471"/>
    <n v="23.528749999999999"/>
    <n v="9.164320246506934"/>
  </r>
  <r>
    <s v="A3560"/>
    <s v="Data Analytics Course"/>
    <n v="170"/>
    <n v="3401"/>
    <n v="235.7"/>
    <n v="10"/>
    <n v="7"/>
    <n v="4.5999999999999999E-2"/>
    <n v="1047"/>
    <d v="2024-11-15T00:00:00"/>
    <s v="Hyderabad"/>
    <x v="1"/>
    <s v="online data analytic"/>
    <d v="2024-11-15T00:00:00"/>
    <n v="4.9985298441634816E-2"/>
    <n v="1.3864705882352941"/>
    <n v="23.57"/>
    <n v="33.671428571428571"/>
    <n v="4.4420873992363177"/>
  </r>
  <r>
    <s v="A3561"/>
    <s v="Data Analytics Course"/>
    <n v="144"/>
    <n v="3509"/>
    <n v="193.65"/>
    <n v="28"/>
    <n v="3"/>
    <n v="2.1000000000000001E-2"/>
    <n v="1361"/>
    <s v="16-11-2024"/>
    <s v="Hyderabad"/>
    <x v="2"/>
    <s v="analytics for data"/>
    <d v="2024-11-16T00:00:00"/>
    <n v="4.1037332573382733E-2"/>
    <n v="1.3447916666666666"/>
    <n v="6.9160714285714286"/>
    <n v="64.55"/>
    <n v="7.028143557965401"/>
  </r>
  <r>
    <s v="A3562"/>
    <s v="Data Analytics Course"/>
    <n v="127"/>
    <n v="4850"/>
    <n v="235.92"/>
    <n v="25"/>
    <n v="10"/>
    <n v="7.9000000000000001E-2"/>
    <n v="1057"/>
    <d v="2024-11-12T00:00:00"/>
    <s v="Hyderabad"/>
    <x v="0"/>
    <s v="data analytics course"/>
    <d v="2024-11-12T00:00:00"/>
    <n v="2.6185567010309278E-2"/>
    <n v="1.8576377952755905"/>
    <n v="9.4367999999999999"/>
    <n v="23.591999999999999"/>
    <n v="4.4803323160393358"/>
  </r>
  <r>
    <s v="A3563"/>
    <s v="Data Analytics Course"/>
    <n v="108"/>
    <n v="5245"/>
    <n v="227.35"/>
    <n v="12"/>
    <n v="5"/>
    <n v="4.5999999999999999E-2"/>
    <n v="1384"/>
    <d v="2024-11-27T00:00:00"/>
    <s v="Hyderabad"/>
    <x v="2"/>
    <s v="data anaytics training"/>
    <d v="2024-11-27T00:00:00"/>
    <n v="2.0591039084842708E-2"/>
    <n v="2.1050925925925927"/>
    <n v="18.945833333333333"/>
    <n v="45.47"/>
    <n v="6.0875302397184958"/>
  </r>
  <r>
    <s v="A3564"/>
    <s v="Data Analytics Course"/>
    <n v="96"/>
    <n v="5474"/>
    <n v="201.65"/>
    <n v="16"/>
    <n v="8"/>
    <n v="0.03"/>
    <n v="1376"/>
    <s v="29-11-2024"/>
    <s v="Hyderabad"/>
    <x v="1"/>
    <s v="learn data analytics"/>
    <d v="2024-11-29T00:00:00"/>
    <n v="1.7537449762513702E-2"/>
    <n v="2.1005208333333334"/>
    <n v="12.603125"/>
    <n v="25.206250000000001"/>
    <n v="6.823704438383337"/>
  </r>
  <r>
    <s v="A3565"/>
    <s v="Data Analytics Course"/>
    <n v="103"/>
    <n v="4913"/>
    <n v="180.45"/>
    <n v="12"/>
    <n v="3"/>
    <n v="2.9000000000000001E-2"/>
    <n v="1178"/>
    <s v="28-11-2024"/>
    <s v="Hyderabad"/>
    <x v="1"/>
    <s v="learn data analytics"/>
    <d v="2024-11-28T00:00:00"/>
    <n v="2.0964787299002648E-2"/>
    <n v="1.7519417475728154"/>
    <n v="15.0375"/>
    <n v="60.15"/>
    <n v="6.5281241341091718"/>
  </r>
  <r>
    <s v="A3566"/>
    <s v="Data Analytics Course"/>
    <n v="160"/>
    <n v="5975"/>
    <n v="212.18"/>
    <n v="14"/>
    <n v="7"/>
    <n v="4.5999999999999999E-2"/>
    <n v="1507"/>
    <d v="2024-11-04T00:00:00"/>
    <s v="Hyderabad"/>
    <x v="2"/>
    <s v="data analytics course"/>
    <d v="2024-11-04T00:00:00"/>
    <n v="2.6778242677824266E-2"/>
    <n v="1.326125"/>
    <n v="15.155714285714286"/>
    <n v="30.311428571428571"/>
    <n v="7.1024601753228387"/>
  </r>
  <r>
    <s v="A3567"/>
    <s v="Data Analytics Course"/>
    <n v="141"/>
    <n v="5451"/>
    <n v="246.96"/>
    <n v="13"/>
    <n v="4"/>
    <n v="2.8000000000000001E-2"/>
    <n v="1725"/>
    <d v="2024-11-12T00:00:00"/>
    <s v="Hyderabad"/>
    <x v="2"/>
    <s v="learn data analytics"/>
    <d v="2024-11-12T00:00:00"/>
    <n v="2.5866813428728673E-2"/>
    <n v="1.7514893617021277"/>
    <n v="18.996923076923078"/>
    <n v="61.74"/>
    <n v="6.9849368318756069"/>
  </r>
  <r>
    <s v="A3568"/>
    <s v="Data Analytics Course"/>
    <n v="121"/>
    <n v="4538"/>
    <n v="216.98"/>
    <n v="27"/>
    <n v="4"/>
    <n v="3.3000000000000002E-2"/>
    <n v="1874"/>
    <s v="19-11-2024"/>
    <s v="Hyderabad"/>
    <x v="0"/>
    <s v="data analytics course"/>
    <d v="2024-11-19T00:00:00"/>
    <n v="2.6663728514764215E-2"/>
    <n v="1.7932231404958676"/>
    <n v="8.036296296296296"/>
    <n v="54.244999999999997"/>
    <n v="8.6367407134298091"/>
  </r>
  <r>
    <s v="A3569"/>
    <s v="Data Analytics Course"/>
    <n v="176"/>
    <n v="4285"/>
    <n v="245.13"/>
    <n v="28"/>
    <n v="9"/>
    <n v="4.5999999999999999E-2"/>
    <n v="1321"/>
    <d v="2024-11-08T00:00:00"/>
    <s v="Hyderabad"/>
    <x v="1"/>
    <s v="learn data analytics"/>
    <d v="2024-11-08T00:00:00"/>
    <n v="4.1073512252042005E-2"/>
    <n v="1.3927840909090909"/>
    <n v="8.7546428571428567"/>
    <n v="27.236666666666665"/>
    <n v="5.3889772773630318"/>
  </r>
  <r>
    <s v="A3570"/>
    <s v="Data Analytics Course"/>
    <n v="125"/>
    <n v="5041"/>
    <n v="228.64"/>
    <n v="21"/>
    <n v="6"/>
    <n v="4.8000000000000001E-2"/>
    <n v="1403"/>
    <d v="2024-11-29T00:00:00"/>
    <s v="Hyderabad"/>
    <x v="0"/>
    <s v="online data analytic"/>
    <d v="2024-11-29T00:00:00"/>
    <n v="2.479666732791113E-2"/>
    <n v="1.8291199999999999"/>
    <n v="10.887619047619047"/>
    <n v="38.106666666666662"/>
    <n v="6.1362841147655711"/>
  </r>
  <r>
    <s v="A3571"/>
    <s v="Data Analytics Course"/>
    <n v="139"/>
    <n v="5386"/>
    <n v="220.23"/>
    <n v="23"/>
    <n v="5"/>
    <n v="4.5999999999999999E-2"/>
    <n v="1462"/>
    <d v="2024-08-11T00:00:00"/>
    <s v="Hyderabad"/>
    <x v="0"/>
    <s v="data analitics online"/>
    <d v="2024-08-11T00:00:00"/>
    <n v="2.5807649461567026E-2"/>
    <n v="1.5843884892086331"/>
    <n v="9.5752173913043475"/>
    <n v="44.045999999999999"/>
    <n v="6.6385142805249062"/>
  </r>
  <r>
    <s v="A3572"/>
    <s v="Data Analytics Course"/>
    <n v="137"/>
    <n v="5168"/>
    <n v="230.04"/>
    <n v="20"/>
    <n v="7"/>
    <n v="5.0999999999999997E-2"/>
    <n v="1377"/>
    <s v="13-11-2024"/>
    <s v="Hyderabad"/>
    <x v="0"/>
    <s v="data analytics course"/>
    <d v="2024-11-13T00:00:00"/>
    <n v="2.6509287925696595E-2"/>
    <n v="1.6791240875912408"/>
    <n v="11.501999999999999"/>
    <n v="32.862857142857145"/>
    <n v="5.9859154929577469"/>
  </r>
  <r>
    <s v="A3573"/>
    <s v="Data Analytics Course"/>
    <n v="174"/>
    <n v="4308"/>
    <n v="190.54"/>
    <n v="24"/>
    <n v="10"/>
    <n v="5.7000000000000002E-2"/>
    <n v="1948"/>
    <d v="2024-11-21T00:00:00"/>
    <s v="Hyderabad"/>
    <x v="2"/>
    <s v="data analitics online"/>
    <d v="2024-11-21T00:00:00"/>
    <n v="4.0389972144846797E-2"/>
    <n v="1.0950574712643677"/>
    <n v="7.939166666666666"/>
    <n v="19.053999999999998"/>
    <n v="10.223575102340716"/>
  </r>
  <r>
    <s v="A3574"/>
    <s v="Data Analytics Course"/>
    <n v="177"/>
    <n v="3884"/>
    <n v="219.75"/>
    <n v="29"/>
    <n v="5"/>
    <n v="2.8000000000000001E-2"/>
    <n v="1626"/>
    <d v="2024-05-11T00:00:00"/>
    <s v="Hyderabad"/>
    <x v="0"/>
    <s v="analytics for data"/>
    <d v="2024-05-11T00:00:00"/>
    <n v="4.5571575695159627E-2"/>
    <n v="1.2415254237288136"/>
    <n v="7.5775862068965516"/>
    <n v="43.95"/>
    <n v="7.3993174061433447"/>
  </r>
  <r>
    <s v="A3575"/>
    <s v="Data Analytics Course"/>
    <n v="155"/>
    <n v="4312"/>
    <n v="231.52"/>
    <n v="30"/>
    <n v="3"/>
    <n v="1.9E-2"/>
    <n v="1003"/>
    <d v="2024-11-06T00:00:00"/>
    <s v="Hyderabad"/>
    <x v="1"/>
    <s v="data analytics course"/>
    <d v="2024-11-06T00:00:00"/>
    <n v="3.5946196660482377E-2"/>
    <n v="1.4936774193548388"/>
    <n v="7.7173333333333334"/>
    <n v="77.173333333333332"/>
    <n v="4.3322391154111957"/>
  </r>
  <r>
    <s v="A3576"/>
    <s v="Data Analytics Course"/>
    <n v="129"/>
    <n v="3482"/>
    <n v="184.89"/>
    <n v="23"/>
    <n v="9"/>
    <n v="4.5999999999999999E-2"/>
    <n v="1667"/>
    <d v="2024-11-29T00:00:00"/>
    <s v="Hyderabad"/>
    <x v="1"/>
    <s v="online data analytic"/>
    <d v="2024-11-29T00:00:00"/>
    <n v="3.7047673750717977E-2"/>
    <n v="1.4332558139534883"/>
    <n v="8.0386956521739119"/>
    <n v="20.543333333333333"/>
    <n v="9.0161717778138364"/>
  </r>
  <r>
    <s v="A3577"/>
    <s v="Data Analytics Course"/>
    <n v="91"/>
    <n v="4893"/>
    <n v="222.3"/>
    <n v="29"/>
    <n v="10"/>
    <n v="0.11"/>
    <n v="1430"/>
    <d v="2024-11-21T00:00:00"/>
    <s v="Hyderabad"/>
    <x v="1"/>
    <s v="learn data analytics"/>
    <d v="2024-11-21T00:00:00"/>
    <n v="1.8597997138769671E-2"/>
    <n v="2.4428571428571431"/>
    <n v="7.6655172413793107"/>
    <n v="22.23"/>
    <n v="6.4327485380116958"/>
  </r>
  <r>
    <s v="A3578"/>
    <s v="Data Analytics Course"/>
    <n v="139"/>
    <n v="3075"/>
    <n v="239.32"/>
    <n v="12"/>
    <n v="10"/>
    <n v="4.5999999999999999E-2"/>
    <n v="1966"/>
    <d v="2024-11-22T00:00:00"/>
    <s v="Hyderabad"/>
    <x v="1"/>
    <s v="data analytics course"/>
    <d v="2024-11-22T00:00:00"/>
    <n v="4.5203252032520326E-2"/>
    <n v="1.721726618705036"/>
    <n v="19.943333333333332"/>
    <n v="23.931999999999999"/>
    <n v="8.2149423366204246"/>
  </r>
  <r>
    <s v="A3579"/>
    <s v="Data Analytics Course"/>
    <n v="126"/>
    <n v="4558"/>
    <n v="195.36"/>
    <n v="23"/>
    <n v="3"/>
    <n v="2.4E-2"/>
    <n v="1020"/>
    <d v="2024-11-26T00:00:00"/>
    <s v="Hyderabad"/>
    <x v="0"/>
    <s v="online data analytic"/>
    <d v="2024-11-26T00:00:00"/>
    <n v="2.7643703378674857E-2"/>
    <n v="1.5504761904761906"/>
    <n v="8.4939130434782619"/>
    <n v="65.12"/>
    <n v="5.2211302211302204"/>
  </r>
  <r>
    <s v="A3580"/>
    <s v="Data Analytics Course"/>
    <n v="87"/>
    <n v="3248"/>
    <n v="220.5"/>
    <n v="13"/>
    <n v="6"/>
    <n v="4.5999999999999999E-2"/>
    <n v="1871"/>
    <d v="2024-11-28T00:00:00"/>
    <s v="Hyderabad"/>
    <x v="1"/>
    <s v="data analitics online"/>
    <d v="2024-11-28T00:00:00"/>
    <n v="2.6785714285714284E-2"/>
    <n v="2.5344827586206895"/>
    <n v="16.96153846153846"/>
    <n v="36.75"/>
    <n v="8.4852607709750565"/>
  </r>
  <r>
    <s v="A3581"/>
    <s v="Data Analytics Course"/>
    <n v="139"/>
    <n v="5297"/>
    <n v="215.57"/>
    <n v="27"/>
    <n v="9"/>
    <n v="4.5999999999999999E-2"/>
    <n v="1268"/>
    <s v="23-11-2024"/>
    <s v="Hyderabad"/>
    <x v="0"/>
    <s v="data analytics course"/>
    <d v="2024-11-23T00:00:00"/>
    <n v="2.6241268642627904E-2"/>
    <n v="1.5508633093525179"/>
    <n v="7.9840740740740737"/>
    <n v="23.952222222222222"/>
    <n v="5.8820800667996478"/>
  </r>
  <r>
    <s v="A3582"/>
    <s v="Data Analytics Course"/>
    <n v="107"/>
    <n v="3589"/>
    <n v="183.25"/>
    <n v="19"/>
    <n v="7"/>
    <n v="4.5999999999999999E-2"/>
    <n v="1571"/>
    <s v="29-11-2024"/>
    <s v="Hyderabad"/>
    <x v="0"/>
    <s v="data analytics course"/>
    <d v="2024-11-29T00:00:00"/>
    <n v="2.9813318473112287E-2"/>
    <n v="1.7126168224299065"/>
    <n v="9.6447368421052637"/>
    <n v="26.178571428571427"/>
    <n v="8.5729877216916783"/>
  </r>
  <r>
    <s v="A3583"/>
    <s v="Data Analytics Course"/>
    <n v="124"/>
    <n v="3383"/>
    <n v="224.63"/>
    <n v="21"/>
    <n v="7"/>
    <n v="4.5999999999999999E-2"/>
    <n v="1263"/>
    <d v="2024-11-10T00:00:00"/>
    <s v="Hyderabad"/>
    <x v="0"/>
    <s v="data analitics online"/>
    <d v="2024-11-10T00:00:00"/>
    <n v="3.6653857522908659E-2"/>
    <n v="1.8115322580645161"/>
    <n v="10.696666666666667"/>
    <n v="32.089999999999996"/>
    <n v="5.622579352713351"/>
  </r>
  <r>
    <s v="A3584"/>
    <s v="Data Analytics Course"/>
    <n v="124"/>
    <n v="5629"/>
    <n v="189.62"/>
    <n v="14"/>
    <n v="9"/>
    <n v="7.2999999999999995E-2"/>
    <n v="1626"/>
    <d v="2024-11-27T00:00:00"/>
    <s v="Hyderabad"/>
    <x v="0"/>
    <s v="data anaytics training"/>
    <d v="2024-11-27T00:00:00"/>
    <n v="2.2028779534553206E-2"/>
    <n v="1.5291935483870969"/>
    <n v="13.544285714285715"/>
    <n v="21.068888888888889"/>
    <n v="8.5750448264950947"/>
  </r>
  <r>
    <s v="A3585"/>
    <s v="Data Analytics Course"/>
    <n v="97"/>
    <n v="5914"/>
    <n v="226.47"/>
    <n v="15"/>
    <n v="7"/>
    <n v="4.5999999999999999E-2"/>
    <n v="1889"/>
    <d v="2024-11-08T00:00:00"/>
    <s v="Hyderabad"/>
    <x v="2"/>
    <s v="online data analytic"/>
    <d v="2024-11-08T00:00:00"/>
    <n v="1.6401758539059858E-2"/>
    <n v="2.3347422680412371"/>
    <n v="15.098000000000001"/>
    <n v="32.35285714285714"/>
    <n v="8.3410606261314957"/>
  </r>
  <r>
    <s v="A3586"/>
    <s v="Data Analytics Course"/>
    <n v="186"/>
    <n v="3314"/>
    <n v="237.84"/>
    <n v="11"/>
    <n v="5"/>
    <n v="4.5999999999999999E-2"/>
    <n v="1864"/>
    <d v="2024-11-05T00:00:00"/>
    <s v="Hyderabad"/>
    <x v="2"/>
    <s v="data analitics online"/>
    <d v="2024-11-05T00:00:00"/>
    <n v="5.6125528062764031E-2"/>
    <n v="1.2787096774193549"/>
    <n v="21.621818181818181"/>
    <n v="47.567999999999998"/>
    <n v="7.837201479986545"/>
  </r>
  <r>
    <s v="A3587"/>
    <s v="Data Analytics Course"/>
    <n v="165"/>
    <n v="5262"/>
    <n v="211.33"/>
    <n v="24"/>
    <n v="3"/>
    <n v="1.7999999999999999E-2"/>
    <n v="1075"/>
    <s v="20-11-2024"/>
    <s v="Hyderabad"/>
    <x v="0"/>
    <s v="data analitics online"/>
    <d v="2024-11-20T00:00:00"/>
    <n v="3.1356898517673891E-2"/>
    <n v="1.2807878787878788"/>
    <n v="8.8054166666666678"/>
    <n v="70.443333333333342"/>
    <n v="5.0868310225713333"/>
  </r>
  <r>
    <s v="A3588"/>
    <s v="Data Analytics Course"/>
    <n v="110"/>
    <n v="3088"/>
    <n v="205.09"/>
    <n v="13"/>
    <n v="7"/>
    <n v="6.4000000000000001E-2"/>
    <n v="1061"/>
    <d v="2024-05-11T00:00:00"/>
    <s v="Hyderabad"/>
    <x v="2"/>
    <s v="data analytics course"/>
    <d v="2024-05-11T00:00:00"/>
    <n v="3.562176165803109E-2"/>
    <n v="1.8644545454545456"/>
    <n v="15.776153846153846"/>
    <n v="29.298571428571428"/>
    <n v="5.1733385343020135"/>
  </r>
  <r>
    <s v="A3589"/>
    <s v="Data Analytics Course"/>
    <n v="191"/>
    <n v="4753"/>
    <n v="200.39"/>
    <n v="24"/>
    <n v="9"/>
    <n v="4.7E-2"/>
    <n v="1702"/>
    <d v="2024-11-05T00:00:00"/>
    <s v="Hyderabad"/>
    <x v="1"/>
    <s v="analytics for data"/>
    <d v="2024-11-05T00:00:00"/>
    <n v="4.0185146223437829E-2"/>
    <n v="1.0491623036649214"/>
    <n v="8.3495833333333334"/>
    <n v="22.265555555555554"/>
    <n v="8.4934377962972203"/>
  </r>
  <r>
    <s v="A3590"/>
    <s v="Data Analytics Course"/>
    <n v="136"/>
    <n v="3036"/>
    <n v="201.48"/>
    <n v="20"/>
    <n v="7"/>
    <n v="4.5999999999999999E-2"/>
    <n v="1811"/>
    <d v="2024-11-13T00:00:00"/>
    <s v="Hyderabad"/>
    <x v="2"/>
    <s v="data anaytics training"/>
    <d v="2024-11-13T00:00:00"/>
    <n v="4.4795783926218712E-2"/>
    <n v="1.4814705882352941"/>
    <n v="10.074"/>
    <n v="28.782857142857143"/>
    <n v="8.9884852094500705"/>
  </r>
  <r>
    <s v="A3591"/>
    <s v="Data Analytics Course"/>
    <n v="146"/>
    <n v="5743"/>
    <n v="190.39"/>
    <n v="18"/>
    <n v="3"/>
    <n v="2.1000000000000001E-2"/>
    <n v="1108"/>
    <s v="13-11-2024"/>
    <s v="Hyderabad"/>
    <x v="1"/>
    <s v="data anaytics training"/>
    <d v="2024-11-13T00:00:00"/>
    <n v="2.5422253177781646E-2"/>
    <n v="1.304041095890411"/>
    <n v="10.577222222222222"/>
    <n v="63.463333333333331"/>
    <n v="5.8196333841063081"/>
  </r>
  <r>
    <s v="A3592"/>
    <s v="Data Analytics Course"/>
    <n v="152"/>
    <n v="5061"/>
    <n v="234.42"/>
    <n v="12"/>
    <n v="5"/>
    <n v="4.5999999999999999E-2"/>
    <n v="1566"/>
    <d v="2024-10-11T00:00:00"/>
    <s v="Hyderabad"/>
    <x v="2"/>
    <s v="online data analytic"/>
    <d v="2024-10-11T00:00:00"/>
    <n v="3.0033590199565304E-2"/>
    <n v="1.542236842105263"/>
    <n v="19.535"/>
    <n v="46.884"/>
    <n v="6.6803173790632204"/>
  </r>
  <r>
    <s v="A3593"/>
    <s v="Data Analytics Course"/>
    <n v="189"/>
    <n v="5944"/>
    <n v="202.89"/>
    <n v="28"/>
    <n v="5"/>
    <n v="4.5999999999999999E-2"/>
    <n v="1360"/>
    <d v="2024-08-11T00:00:00"/>
    <s v="Hyderabad"/>
    <x v="1"/>
    <s v="data analytics course"/>
    <d v="2024-08-11T00:00:00"/>
    <n v="3.1796769851951547E-2"/>
    <n v="1.0734920634920635"/>
    <n v="7.2460714285714278"/>
    <n v="40.577999999999996"/>
    <n v="6.7031396323130767"/>
  </r>
  <r>
    <s v="A3594"/>
    <s v="Data Analytics Course"/>
    <n v="99"/>
    <n v="4446"/>
    <n v="233.53"/>
    <n v="11"/>
    <n v="6"/>
    <n v="6.0999999999999999E-2"/>
    <n v="1189"/>
    <d v="2024-11-05T00:00:00"/>
    <s v="Hyderabad"/>
    <x v="2"/>
    <s v="data anaytics training"/>
    <d v="2024-11-05T00:00:00"/>
    <n v="2.2267206477732792E-2"/>
    <n v="2.358888888888889"/>
    <n v="21.23"/>
    <n v="38.921666666666667"/>
    <n v="5.0914229435190341"/>
  </r>
  <r>
    <s v="A3595"/>
    <s v="Data Analytics Course"/>
    <n v="88"/>
    <n v="5344"/>
    <n v="242.07"/>
    <n v="17"/>
    <n v="9"/>
    <n v="5.3999999999999999E-2"/>
    <n v="1418"/>
    <s v="29-11-2024"/>
    <s v="Hyderabad"/>
    <x v="1"/>
    <s v="online data analytic"/>
    <d v="2024-11-29T00:00:00"/>
    <n v="1.6467065868263474E-2"/>
    <n v="2.7507954545454543"/>
    <n v="14.239411764705881"/>
    <n v="26.896666666666665"/>
    <n v="5.8578097244598668"/>
  </r>
  <r>
    <s v="A3596"/>
    <s v="Data Analytics Course"/>
    <n v="154"/>
    <n v="3211"/>
    <n v="248.28"/>
    <n v="14"/>
    <n v="6"/>
    <n v="3.9E-2"/>
    <n v="1950"/>
    <d v="2024-11-28T00:00:00"/>
    <s v="Hyderabad"/>
    <x v="2"/>
    <s v="data analitics online"/>
    <d v="2024-11-28T00:00:00"/>
    <n v="4.7960137028962943E-2"/>
    <n v="1.6122077922077922"/>
    <n v="17.734285714285715"/>
    <n v="41.38"/>
    <n v="7.8540357660705657"/>
  </r>
  <r>
    <s v="A3597"/>
    <s v="Data Analytics Course"/>
    <n v="113"/>
    <n v="3808"/>
    <n v="233.25"/>
    <n v="18"/>
    <n v="4"/>
    <n v="3.5000000000000003E-2"/>
    <n v="1085"/>
    <d v="2024-11-02T00:00:00"/>
    <s v="Hyderabad"/>
    <x v="0"/>
    <s v="data anaytics training"/>
    <d v="2024-11-02T00:00:00"/>
    <n v="2.9674369747899158E-2"/>
    <n v="2.0641592920353982"/>
    <n v="12.958333333333334"/>
    <n v="58.3125"/>
    <n v="4.651661307609861"/>
  </r>
  <r>
    <s v="A3598"/>
    <s v="Data Analytics Course"/>
    <n v="196"/>
    <n v="5853"/>
    <n v="220.13"/>
    <n v="16"/>
    <n v="7"/>
    <n v="3.5999999999999997E-2"/>
    <n v="1558"/>
    <d v="2024-11-08T00:00:00"/>
    <s v="Hyderabad"/>
    <x v="2"/>
    <s v="data anaytics training"/>
    <d v="2024-11-08T00:00:00"/>
    <n v="3.3487100632154453E-2"/>
    <n v="1.1231122448979591"/>
    <n v="13.758125"/>
    <n v="31.447142857142858"/>
    <n v="7.0776359423976745"/>
  </r>
  <r>
    <s v="A3599"/>
    <s v="Data Analytics Course"/>
    <n v="139"/>
    <n v="5453"/>
    <n v="215.57"/>
    <n v="12"/>
    <n v="5"/>
    <n v="4.5999999999999999E-2"/>
    <n v="1174"/>
    <d v="2024-11-22T00:00:00"/>
    <s v="Hyderabad"/>
    <x v="0"/>
    <s v="analytics for data"/>
    <d v="2024-11-22T00:00:00"/>
    <n v="2.5490555657436274E-2"/>
    <n v="1.5508633093525179"/>
    <n v="17.964166666666667"/>
    <n v="43.113999999999997"/>
    <n v="5.446026812636266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4CA09D-2E78-401A-8FEE-C01D907D8875}" name="PivotTable1" cacheId="2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4">
  <location ref="A3:G7" firstHeaderRow="0" firstDataRow="1" firstDataCol="1"/>
  <pivotFields count="19">
    <pivotField compact="0" outline="0" showAll="0"/>
    <pivotField compact="0" outline="0" showAll="0"/>
    <pivotField dataField="1" compact="0" outline="0" showAll="0"/>
    <pivotField dataField="1" compact="0" outline="0" showAll="0"/>
    <pivotField dataField="1" compact="0" numFmtId="2" outline="0" showAll="0"/>
    <pivotField dataField="1" compact="0" outline="0" showAll="0"/>
    <pivotField dataField="1" compact="0" outline="0" showAll="0"/>
    <pivotField compact="0" outline="0" showAll="0"/>
    <pivotField dataField="1" compact="0" numFmtId="2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numFmtId="14" outline="0" showAll="0"/>
    <pivotField compact="0" numFmtId="1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</pivotFields>
  <rowFields count="1">
    <field x="11"/>
  </rowFields>
  <rowItems count="4">
    <i>
      <x/>
    </i>
    <i>
      <x v="1"/>
    </i>
    <i>
      <x v="2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Sum of Clicks" fld="2" baseField="0" baseItem="0"/>
    <dataField name="Sum of Impressions" fld="3" baseField="0" baseItem="0"/>
    <dataField name="Sum of Cost" fld="4" baseField="0" baseItem="0" numFmtId="2"/>
    <dataField name="Sum of Leads" fld="5" baseField="0" baseItem="0"/>
    <dataField name="Sum of Conversions" fld="6" baseField="0" baseItem="0"/>
    <dataField name="Sum of Sale_Amount" fld="8" baseField="0" baseItem="0" numFmtId="2"/>
  </dataFields>
  <chartFormats count="2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Device" xr10:uid="{0E5E159C-150C-4589-9144-68E52ADB3265}" sourceName="Device">
  <pivotTables>
    <pivotTable tabId="3" name="PivotTable1"/>
  </pivotTables>
  <data>
    <tabular pivotCacheId="1838886395">
      <items count="3">
        <i x="0" s="1"/>
        <i x="1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Device" xr10:uid="{F7B50976-C9F4-4DDE-9F6E-CD54DAEEB66E}" cache="Slicer_Device" caption="Device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9C6D9F-5816-4D84-A0BC-E431E9208460}" name="GoogleAds_Raw" displayName="GoogleAds_Raw" ref="A1:S2605" totalsRowShown="0">
  <autoFilter ref="A1:S2605" xr:uid="{419C6D9F-5816-4D84-A0BC-E431E9208460}">
    <filterColumn colId="7">
      <filters blank="1"/>
    </filterColumn>
  </autoFilter>
  <tableColumns count="19">
    <tableColumn id="1" xr3:uid="{D0880662-23D8-45FF-AF28-4DBB4062DB0D}" name="Ad_ID"/>
    <tableColumn id="2" xr3:uid="{22A9D5ED-8881-4DD8-80EE-F5326C6C5777}" name="Campaign_Name"/>
    <tableColumn id="3" xr3:uid="{C496661F-1D59-4538-B49D-1292C2E9D303}" name="Clicks"/>
    <tableColumn id="4" xr3:uid="{07974038-B41C-47F6-BB41-8A01CDD63FD8}" name="Impressions"/>
    <tableColumn id="5" xr3:uid="{F088B72F-B8CA-4581-B132-35D36744FC11}" name="Cost" dataDxfId="8"/>
    <tableColumn id="6" xr3:uid="{94BE1796-65AF-495B-A354-1E87933342EA}" name="Leads"/>
    <tableColumn id="7" xr3:uid="{34114BDB-41F6-4CB9-8908-0A353AA2E196}" name="Conversions"/>
    <tableColumn id="8" xr3:uid="{C10DD51F-2A26-4114-A3B7-1FEAC710BBB9}" name="Conversion Rate"/>
    <tableColumn id="9" xr3:uid="{48EB7D94-E47C-4FAB-BC4A-49B42AE0846A}" name="Sale_Amount" dataDxfId="7"/>
    <tableColumn id="10" xr3:uid="{EED54E79-E74C-4A35-8D95-F85F5C397695}" name="Ad_Date" dataDxfId="6"/>
    <tableColumn id="11" xr3:uid="{2FCAB061-E77D-40E0-8309-5EF9DF5F9D77}" name="Location"/>
    <tableColumn id="12" xr3:uid="{42B7C8D0-5F74-42D3-B82E-55AC5B061DB6}" name="Device"/>
    <tableColumn id="13" xr3:uid="{AE73651C-0556-4367-A752-1BD2FFCFB374}" name="Keyword"/>
    <tableColumn id="14" xr3:uid="{A2BEBCA8-9866-45C2-999F-DA851D0FDA65}" name="Clean_Date" dataDxfId="5">
      <calculatedColumnFormula>IF(A2="","",IF(ISNUMBER(J2),J2,IF(MID(J2,5,1)="-",DATE(LEFT(J2,4),MID(J2,6,2),RIGHT(J2,2)),IF(MID(J2,5,1)="/",DATE(LEFT(J2,4),MID(J2,6,2),RIGHT(J2,2)),DATE(RIGHT(J2,4),MID(J2,4,2),LEFT(J2,2))))))</calculatedColumnFormula>
    </tableColumn>
    <tableColumn id="15" xr3:uid="{50F0EBE8-680C-4F40-A547-58AE03495C39}" name="CTR" dataDxfId="4">
      <calculatedColumnFormula>IFERROR(C2/D2,0)</calculatedColumnFormula>
    </tableColumn>
    <tableColumn id="16" xr3:uid="{74B9A0FE-6EC1-46E3-9B23-781A3777605F}" name="CPC" dataDxfId="3">
      <calculatedColumnFormula>IFERROR(E2/C2,0)</calculatedColumnFormula>
    </tableColumn>
    <tableColumn id="17" xr3:uid="{05C5E7B6-4456-4033-877E-F1A2539EBF4E}" name="CPL" dataDxfId="2">
      <calculatedColumnFormula>IFERROR(E2/F2,0)</calculatedColumnFormula>
    </tableColumn>
    <tableColumn id="18" xr3:uid="{61A9F23E-C18B-473A-AB35-773A1DA02840}" name="CPCONV" dataDxfId="1">
      <calculatedColumnFormula>IFERROR(E2/G2,0)</calculatedColumnFormula>
    </tableColumn>
    <tableColumn id="19" xr3:uid="{85AF4451-864C-4001-A588-EE0F6832EFC1}" name="ROAS" dataDxfId="0">
      <calculatedColumnFormula>IFERROR(I2/E2,0)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FF6C887-D9A2-4205-B2E1-B3CE32588D3B}" name="Table8" displayName="Table8" ref="A1:E9" totalsRowShown="0">
  <autoFilter ref="A1:E9" xr:uid="{0FF6C887-D9A2-4205-B2E1-B3CE32588D3B}"/>
  <tableColumns count="5">
    <tableColumn id="1" xr3:uid="{929D99E3-7AD9-49BC-B638-44301BCE546B}" name="Metric"/>
    <tableColumn id="2" xr3:uid="{F6E0A40C-5503-4CEF-AE58-EED3E920A72D}" name="Mean"/>
    <tableColumn id="3" xr3:uid="{92AF16A7-1C3D-4F0C-8468-CA3B129F89D5}" name="Median"/>
    <tableColumn id="4" xr3:uid="{AD973AA1-B78E-4D78-876C-977B03872F33}" name="Mode"/>
    <tableColumn id="5" xr3:uid="{23DCD832-BF5A-4FD7-83C0-3EB118FD181B}" name="Standard Deviation"/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761FC84-D2B9-4547-A377-0C09860A63BA}" name="Table3" displayName="Table3" ref="A1:B4" totalsRowShown="0">
  <autoFilter ref="A1:B4" xr:uid="{C761FC84-D2B9-4547-A377-0C09860A63BA}"/>
  <tableColumns count="2">
    <tableColumn id="1" xr3:uid="{3295B087-BFCB-4D5A-97DE-BAB5AA5DA6B5}" name="Device"/>
    <tableColumn id="2" xr3:uid="{5DC8A58B-250D-4F2E-97A7-16F9A131296B}" name="Count">
      <calculatedColumnFormula>COUNTIF(Cleaned_Data!L2:L2601,A2)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8C1127F-ED4C-43BF-B30B-81A791188A57}" name="Table4" displayName="Table4" ref="D1:E4" totalsRowShown="0">
  <autoFilter ref="D1:E4" xr:uid="{78C1127F-ED4C-43BF-B30B-81A791188A57}"/>
  <tableColumns count="2">
    <tableColumn id="1" xr3:uid="{6BF9E7B6-CBF8-4849-A8A0-E4BF1830A82D}" name="Metric"/>
    <tableColumn id="2" xr3:uid="{CFF758C2-BFCD-46D2-ACAF-6C17B0A9F807}" name="Total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313C479-EC48-434F-A62F-9DFE2B9ACAC9}" name="Table6" displayName="Table6" ref="G1:H3" totalsRowShown="0">
  <autoFilter ref="G1:H3" xr:uid="{C313C479-EC48-434F-A62F-9DFE2B9ACAC9}"/>
  <tableColumns count="2">
    <tableColumn id="1" xr3:uid="{93081B5F-3F86-4F25-9D77-CE87DB2D4478}" name="Column1"/>
    <tableColumn id="2" xr3:uid="{EF40C260-A528-48BE-B4BA-3DFFB0EAE4B9}" name="Column2">
      <calculatedColumnFormula>TEXT(Cleaned_Data!N1,"dd-mmm-yyyy")</calculatedColumnFormula>
    </tableColumn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6E147B5-FD1A-47E6-BE35-C826D1B8C23A}" name="Table7" displayName="Table7" ref="A7:B14" totalsRowShown="0">
  <autoFilter ref="A7:B14" xr:uid="{76E147B5-FD1A-47E6-BE35-C826D1B8C23A}"/>
  <tableColumns count="2">
    <tableColumn id="1" xr3:uid="{529F1BFA-9722-4E41-968D-48201CB1C87F}" name="Insight"/>
    <tableColumn id="2" xr3:uid="{237029CA-0013-44F2-98E4-951DCC062A7E}" name="Finding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E88B8-41C5-495F-AA67-897028EEAFBE}">
  <dimension ref="A3:G7"/>
  <sheetViews>
    <sheetView workbookViewId="0">
      <selection activeCell="J5" sqref="J5"/>
    </sheetView>
  </sheetViews>
  <sheetFormatPr defaultRowHeight="15"/>
  <cols>
    <col min="1" max="1" width="11.7109375" bestFit="1" customWidth="1"/>
    <col min="2" max="2" width="12.85546875" bestFit="1" customWidth="1"/>
    <col min="3" max="3" width="18.85546875" bestFit="1" customWidth="1"/>
    <col min="4" max="4" width="11.7109375" bestFit="1" customWidth="1"/>
    <col min="5" max="5" width="12.85546875" bestFit="1" customWidth="1"/>
    <col min="6" max="6" width="19" bestFit="1" customWidth="1"/>
    <col min="7" max="7" width="20.140625" bestFit="1" customWidth="1"/>
  </cols>
  <sheetData>
    <row r="3" spans="1:7">
      <c r="A3" s="6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</row>
    <row r="4" spans="1:7">
      <c r="A4" t="s">
        <v>7</v>
      </c>
      <c r="B4" s="5">
        <v>121887</v>
      </c>
      <c r="C4" s="5">
        <v>4019108.5</v>
      </c>
      <c r="D4" s="2">
        <v>190468.70999999996</v>
      </c>
      <c r="E4" s="5">
        <v>17690</v>
      </c>
      <c r="F4" s="5">
        <v>5828</v>
      </c>
      <c r="G4" s="2">
        <v>1331958</v>
      </c>
    </row>
    <row r="5" spans="1:7">
      <c r="A5" t="s">
        <v>8</v>
      </c>
      <c r="B5" s="5">
        <v>123068</v>
      </c>
      <c r="C5" s="5">
        <v>3980624.5</v>
      </c>
      <c r="D5" s="2">
        <v>189809.84000000035</v>
      </c>
      <c r="E5" s="5">
        <v>17647</v>
      </c>
      <c r="F5" s="5">
        <v>5799</v>
      </c>
      <c r="G5" s="2">
        <v>1314069</v>
      </c>
    </row>
    <row r="6" spans="1:7">
      <c r="A6" t="s">
        <v>9</v>
      </c>
      <c r="B6" s="5">
        <v>116338</v>
      </c>
      <c r="C6" s="5">
        <v>3760539</v>
      </c>
      <c r="D6" s="2">
        <v>179003.56999999992</v>
      </c>
      <c r="E6" s="5">
        <v>16673</v>
      </c>
      <c r="F6" s="5">
        <v>5358</v>
      </c>
      <c r="G6" s="2">
        <v>1251341</v>
      </c>
    </row>
    <row r="7" spans="1:7">
      <c r="A7" t="s">
        <v>10</v>
      </c>
      <c r="B7" s="5">
        <v>361293</v>
      </c>
      <c r="C7" s="5">
        <v>11760272</v>
      </c>
      <c r="D7" s="2">
        <v>559282.12000000023</v>
      </c>
      <c r="E7" s="5">
        <v>52010</v>
      </c>
      <c r="F7" s="5">
        <v>16985</v>
      </c>
      <c r="G7" s="2">
        <v>3897368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0DC1-8878-4B5A-88C4-DE255A407B95}">
  <dimension ref="A1:S2605"/>
  <sheetViews>
    <sheetView topLeftCell="A2571" workbookViewId="0">
      <selection activeCell="I1" sqref="I1:I1048576"/>
    </sheetView>
  </sheetViews>
  <sheetFormatPr defaultRowHeight="15"/>
  <cols>
    <col min="2" max="2" width="20.42578125" bestFit="1" customWidth="1"/>
    <col min="4" max="4" width="14.140625" bestFit="1" customWidth="1"/>
    <col min="5" max="5" width="9.140625" style="2"/>
    <col min="7" max="7" width="14.28515625" bestFit="1" customWidth="1"/>
    <col min="8" max="8" width="18.140625" bestFit="1" customWidth="1"/>
    <col min="9" max="9" width="15.5703125" style="3" bestFit="1" customWidth="1"/>
    <col min="10" max="10" width="11.42578125" style="1" bestFit="1" customWidth="1"/>
    <col min="11" max="11" width="12" bestFit="1" customWidth="1"/>
    <col min="12" max="12" width="9.42578125" bestFit="1" customWidth="1"/>
    <col min="13" max="13" width="20.140625" bestFit="1" customWidth="1"/>
    <col min="14" max="14" width="11.140625" style="1" customWidth="1"/>
    <col min="15" max="15" width="10.28515625" style="4" customWidth="1"/>
    <col min="16" max="16" width="10.7109375" customWidth="1"/>
    <col min="17" max="19" width="9.140625" style="2"/>
  </cols>
  <sheetData>
    <row r="1" spans="1:19">
      <c r="A1" t="s">
        <v>11</v>
      </c>
      <c r="B1" t="s">
        <v>12</v>
      </c>
      <c r="C1" t="s">
        <v>13</v>
      </c>
      <c r="D1" t="s">
        <v>14</v>
      </c>
      <c r="E1" s="2" t="s">
        <v>15</v>
      </c>
      <c r="F1" t="s">
        <v>16</v>
      </c>
      <c r="G1" t="s">
        <v>17</v>
      </c>
      <c r="H1" t="s">
        <v>18</v>
      </c>
      <c r="I1" s="3" t="s">
        <v>19</v>
      </c>
      <c r="J1" s="1" t="s">
        <v>20</v>
      </c>
      <c r="K1" t="s">
        <v>21</v>
      </c>
      <c r="L1" t="s">
        <v>0</v>
      </c>
      <c r="M1" t="s">
        <v>22</v>
      </c>
      <c r="N1" s="1" t="s">
        <v>23</v>
      </c>
      <c r="O1" s="4" t="s">
        <v>24</v>
      </c>
      <c r="P1" s="2" t="s">
        <v>25</v>
      </c>
      <c r="Q1" s="2" t="s">
        <v>26</v>
      </c>
      <c r="R1" s="2" t="s">
        <v>27</v>
      </c>
      <c r="S1" s="2" t="s">
        <v>28</v>
      </c>
    </row>
    <row r="2" spans="1:19" hidden="1">
      <c r="A2" t="s">
        <v>29</v>
      </c>
      <c r="B2" t="s">
        <v>30</v>
      </c>
      <c r="C2">
        <v>104</v>
      </c>
      <c r="D2">
        <v>4498</v>
      </c>
      <c r="E2" s="2">
        <v>231.88</v>
      </c>
      <c r="F2">
        <v>14</v>
      </c>
      <c r="G2">
        <v>7</v>
      </c>
      <c r="H2">
        <v>5.8000000000000003E-2</v>
      </c>
      <c r="I2" s="3">
        <v>1892</v>
      </c>
      <c r="J2" s="1">
        <v>45612</v>
      </c>
      <c r="K2" t="s">
        <v>31</v>
      </c>
      <c r="L2" t="s">
        <v>7</v>
      </c>
      <c r="M2" t="s">
        <v>32</v>
      </c>
      <c r="N2" s="1">
        <f t="shared" ref="N2:N65" si="0">IF(A2="","",IF(ISNUMBER(J2),J2,IF(MID(J2,5,1)="-",DATE(LEFT(J2,4),MID(J2,6,2),RIGHT(J2,2)),IF(MID(J2,5,1)="/",DATE(LEFT(J2,4),MID(J2,6,2),RIGHT(J2,2)),DATE(RIGHT(J2,4),MID(J2,4,2),LEFT(J2,2))))))</f>
        <v>45612</v>
      </c>
      <c r="O2" s="4">
        <f t="shared" ref="O2:O65" si="1">IFERROR(C2/D2,0)</f>
        <v>2.3121387283236993E-2</v>
      </c>
      <c r="P2" s="2">
        <f t="shared" ref="P2:P65" si="2">IFERROR(E2/C2,0)</f>
        <v>2.2296153846153848</v>
      </c>
      <c r="Q2" s="2">
        <f t="shared" ref="Q2:Q65" si="3">IFERROR(E2/F2,0)</f>
        <v>16.562857142857144</v>
      </c>
      <c r="R2" s="2">
        <f t="shared" ref="R2:R65" si="4">IFERROR(E2/G2,0)</f>
        <v>33.125714285714288</v>
      </c>
      <c r="S2" s="2">
        <f t="shared" ref="S2:S65" si="5">IFERROR(I2/E2,0)</f>
        <v>8.1593927893738147</v>
      </c>
    </row>
    <row r="3" spans="1:19" hidden="1">
      <c r="A3" t="s">
        <v>33</v>
      </c>
      <c r="B3" t="s">
        <v>30</v>
      </c>
      <c r="C3">
        <v>173</v>
      </c>
      <c r="D3">
        <v>5107</v>
      </c>
      <c r="E3" s="2">
        <v>216.84</v>
      </c>
      <c r="F3">
        <v>10</v>
      </c>
      <c r="G3">
        <v>8</v>
      </c>
      <c r="H3">
        <v>4.5999999999999999E-2</v>
      </c>
      <c r="I3" s="3">
        <v>1679</v>
      </c>
      <c r="J3" s="1" t="s">
        <v>34</v>
      </c>
      <c r="K3" t="s">
        <v>31</v>
      </c>
      <c r="L3" t="s">
        <v>8</v>
      </c>
      <c r="M3" t="s">
        <v>35</v>
      </c>
      <c r="N3" s="1">
        <f t="shared" si="0"/>
        <v>45616</v>
      </c>
      <c r="O3" s="4">
        <f t="shared" si="1"/>
        <v>3.3875073428627375E-2</v>
      </c>
      <c r="P3" s="2">
        <f t="shared" si="2"/>
        <v>1.2534104046242776</v>
      </c>
      <c r="Q3" s="2">
        <f t="shared" si="3"/>
        <v>21.684000000000001</v>
      </c>
      <c r="R3" s="2">
        <f t="shared" si="4"/>
        <v>27.105</v>
      </c>
      <c r="S3" s="2">
        <f t="shared" si="5"/>
        <v>7.7430363401586426</v>
      </c>
    </row>
    <row r="4" spans="1:19">
      <c r="A4" t="s">
        <v>36</v>
      </c>
      <c r="B4" t="s">
        <v>30</v>
      </c>
      <c r="C4">
        <v>90</v>
      </c>
      <c r="D4">
        <v>4544</v>
      </c>
      <c r="E4" s="2">
        <v>203.66</v>
      </c>
      <c r="F4">
        <v>26</v>
      </c>
      <c r="G4">
        <v>9</v>
      </c>
      <c r="H4">
        <v>4.5999999999999999E-2</v>
      </c>
      <c r="I4" s="3">
        <v>1624</v>
      </c>
      <c r="J4" s="1">
        <v>45612</v>
      </c>
      <c r="K4" t="s">
        <v>31</v>
      </c>
      <c r="L4" t="s">
        <v>7</v>
      </c>
      <c r="M4" t="s">
        <v>37</v>
      </c>
      <c r="N4" s="1">
        <f t="shared" si="0"/>
        <v>45612</v>
      </c>
      <c r="O4" s="4">
        <f t="shared" si="1"/>
        <v>1.9806338028169015E-2</v>
      </c>
      <c r="P4" s="2">
        <f t="shared" si="2"/>
        <v>2.2628888888888889</v>
      </c>
      <c r="Q4" s="2">
        <f t="shared" si="3"/>
        <v>7.8330769230769226</v>
      </c>
      <c r="R4" s="2">
        <f t="shared" si="4"/>
        <v>22.628888888888888</v>
      </c>
      <c r="S4" s="2">
        <f t="shared" si="5"/>
        <v>7.9740744377884711</v>
      </c>
    </row>
    <row r="5" spans="1:19">
      <c r="A5" t="s">
        <v>38</v>
      </c>
      <c r="B5" t="s">
        <v>30</v>
      </c>
      <c r="C5">
        <v>142</v>
      </c>
      <c r="D5">
        <v>3185</v>
      </c>
      <c r="E5" s="2">
        <v>237.66</v>
      </c>
      <c r="F5">
        <v>17</v>
      </c>
      <c r="G5">
        <v>6</v>
      </c>
      <c r="H5">
        <v>4.5999999999999999E-2</v>
      </c>
      <c r="I5" s="3">
        <v>1225</v>
      </c>
      <c r="J5" s="1">
        <v>45622</v>
      </c>
      <c r="K5" t="s">
        <v>31</v>
      </c>
      <c r="L5" t="s">
        <v>9</v>
      </c>
      <c r="M5" t="s">
        <v>39</v>
      </c>
      <c r="N5" s="1">
        <f t="shared" si="0"/>
        <v>45622</v>
      </c>
      <c r="O5" s="4">
        <f t="shared" si="1"/>
        <v>4.4583987441130297E-2</v>
      </c>
      <c r="P5" s="2">
        <f t="shared" si="2"/>
        <v>1.673661971830986</v>
      </c>
      <c r="Q5" s="2">
        <f t="shared" si="3"/>
        <v>13.98</v>
      </c>
      <c r="R5" s="2">
        <f t="shared" si="4"/>
        <v>39.61</v>
      </c>
      <c r="S5" s="2">
        <f t="shared" si="5"/>
        <v>5.1544222839350331</v>
      </c>
    </row>
    <row r="6" spans="1:19">
      <c r="A6" t="s">
        <v>40</v>
      </c>
      <c r="B6" t="s">
        <v>30</v>
      </c>
      <c r="C6">
        <v>156</v>
      </c>
      <c r="D6">
        <v>3361</v>
      </c>
      <c r="E6" s="2">
        <v>195.9</v>
      </c>
      <c r="F6">
        <v>30</v>
      </c>
      <c r="G6">
        <v>8</v>
      </c>
      <c r="H6">
        <v>4.5999999999999999E-2</v>
      </c>
      <c r="I6" s="3">
        <v>1091</v>
      </c>
      <c r="J6" s="1">
        <v>45618</v>
      </c>
      <c r="K6" t="s">
        <v>31</v>
      </c>
      <c r="L6" t="s">
        <v>7</v>
      </c>
      <c r="M6" t="s">
        <v>41</v>
      </c>
      <c r="N6" s="1">
        <f t="shared" si="0"/>
        <v>45618</v>
      </c>
      <c r="O6" s="4">
        <f t="shared" si="1"/>
        <v>4.6414757512645045E-2</v>
      </c>
      <c r="P6" s="2">
        <f t="shared" si="2"/>
        <v>1.2557692307692307</v>
      </c>
      <c r="Q6" s="2">
        <f t="shared" si="3"/>
        <v>6.53</v>
      </c>
      <c r="R6" s="2">
        <f t="shared" si="4"/>
        <v>24.487500000000001</v>
      </c>
      <c r="S6" s="2">
        <f t="shared" si="5"/>
        <v>5.5691679428279732</v>
      </c>
    </row>
    <row r="7" spans="1:19">
      <c r="A7" t="s">
        <v>42</v>
      </c>
      <c r="B7" t="s">
        <v>30</v>
      </c>
      <c r="C7">
        <v>195</v>
      </c>
      <c r="D7">
        <v>3776</v>
      </c>
      <c r="E7" s="2">
        <v>243.57</v>
      </c>
      <c r="F7">
        <v>10</v>
      </c>
      <c r="G7">
        <v>8</v>
      </c>
      <c r="H7">
        <v>4.5999999999999999E-2</v>
      </c>
      <c r="I7" s="3">
        <v>1315</v>
      </c>
      <c r="J7" s="1" t="s">
        <v>43</v>
      </c>
      <c r="K7" t="s">
        <v>31</v>
      </c>
      <c r="L7" t="s">
        <v>8</v>
      </c>
      <c r="M7" t="s">
        <v>39</v>
      </c>
      <c r="N7" s="1">
        <f t="shared" si="0"/>
        <v>45612</v>
      </c>
      <c r="O7" s="4">
        <f t="shared" si="1"/>
        <v>5.1641949152542374E-2</v>
      </c>
      <c r="P7" s="2">
        <f t="shared" si="2"/>
        <v>1.249076923076923</v>
      </c>
      <c r="Q7" s="2">
        <f t="shared" si="3"/>
        <v>24.356999999999999</v>
      </c>
      <c r="R7" s="2">
        <f t="shared" si="4"/>
        <v>30.446249999999999</v>
      </c>
      <c r="S7" s="2">
        <f t="shared" si="5"/>
        <v>5.3988586443322246</v>
      </c>
    </row>
    <row r="8" spans="1:19" hidden="1">
      <c r="A8" t="s">
        <v>44</v>
      </c>
      <c r="B8" t="s">
        <v>30</v>
      </c>
      <c r="C8">
        <v>116</v>
      </c>
      <c r="D8">
        <v>4480</v>
      </c>
      <c r="E8" s="2">
        <v>237.79</v>
      </c>
      <c r="F8">
        <v>17</v>
      </c>
      <c r="G8">
        <v>5</v>
      </c>
      <c r="H8">
        <v>4.2999999999999997E-2</v>
      </c>
      <c r="I8" s="3">
        <v>1640</v>
      </c>
      <c r="J8" s="1">
        <v>45454</v>
      </c>
      <c r="K8" t="s">
        <v>31</v>
      </c>
      <c r="L8" t="s">
        <v>9</v>
      </c>
      <c r="M8" t="s">
        <v>35</v>
      </c>
      <c r="N8" s="1">
        <f t="shared" si="0"/>
        <v>45454</v>
      </c>
      <c r="O8" s="4">
        <f t="shared" si="1"/>
        <v>2.5892857142857145E-2</v>
      </c>
      <c r="P8" s="2">
        <f t="shared" si="2"/>
        <v>2.0499137931034483</v>
      </c>
      <c r="Q8" s="2">
        <f t="shared" si="3"/>
        <v>13.987647058823528</v>
      </c>
      <c r="R8" s="2">
        <f t="shared" si="4"/>
        <v>47.558</v>
      </c>
      <c r="S8" s="2">
        <f t="shared" si="5"/>
        <v>6.896841751124942</v>
      </c>
    </row>
    <row r="9" spans="1:19" hidden="1">
      <c r="A9" t="s">
        <v>45</v>
      </c>
      <c r="B9" t="s">
        <v>30</v>
      </c>
      <c r="C9">
        <v>184</v>
      </c>
      <c r="D9">
        <v>5060</v>
      </c>
      <c r="E9" s="2">
        <v>229.61</v>
      </c>
      <c r="F9">
        <v>23</v>
      </c>
      <c r="G9">
        <v>3</v>
      </c>
      <c r="H9">
        <v>1.6E-2</v>
      </c>
      <c r="I9" s="3">
        <v>1509</v>
      </c>
      <c r="J9" s="1">
        <v>45620</v>
      </c>
      <c r="K9" t="s">
        <v>31</v>
      </c>
      <c r="L9" t="s">
        <v>9</v>
      </c>
      <c r="M9" t="s">
        <v>46</v>
      </c>
      <c r="N9" s="1">
        <f t="shared" si="0"/>
        <v>45620</v>
      </c>
      <c r="O9" s="4">
        <f t="shared" si="1"/>
        <v>3.6363636363636362E-2</v>
      </c>
      <c r="P9" s="2">
        <f t="shared" si="2"/>
        <v>1.2478804347826087</v>
      </c>
      <c r="Q9" s="2">
        <f t="shared" si="3"/>
        <v>9.9830434782608695</v>
      </c>
      <c r="R9" s="2">
        <f t="shared" si="4"/>
        <v>76.536666666666676</v>
      </c>
      <c r="S9" s="2">
        <f t="shared" si="5"/>
        <v>6.57201341404991</v>
      </c>
    </row>
    <row r="10" spans="1:19" hidden="1">
      <c r="A10" t="s">
        <v>47</v>
      </c>
      <c r="B10" t="s">
        <v>30</v>
      </c>
      <c r="C10">
        <v>113</v>
      </c>
      <c r="D10">
        <v>5434</v>
      </c>
      <c r="E10" s="2">
        <v>215.57</v>
      </c>
      <c r="F10">
        <v>27</v>
      </c>
      <c r="G10">
        <v>4</v>
      </c>
      <c r="H10">
        <v>5.8000000000000003E-2</v>
      </c>
      <c r="I10" s="3">
        <v>1362</v>
      </c>
      <c r="J10" s="1">
        <v>45620</v>
      </c>
      <c r="K10" t="s">
        <v>31</v>
      </c>
      <c r="L10" t="s">
        <v>9</v>
      </c>
      <c r="M10" t="s">
        <v>39</v>
      </c>
      <c r="N10" s="1">
        <f t="shared" si="0"/>
        <v>45620</v>
      </c>
      <c r="O10" s="4">
        <f t="shared" si="1"/>
        <v>2.0794994479205006E-2</v>
      </c>
      <c r="P10" s="2">
        <f t="shared" si="2"/>
        <v>1.9076991150442477</v>
      </c>
      <c r="Q10" s="2">
        <f t="shared" si="3"/>
        <v>7.9840740740740737</v>
      </c>
      <c r="R10" s="2">
        <f t="shared" si="4"/>
        <v>53.892499999999998</v>
      </c>
      <c r="S10" s="2">
        <f t="shared" si="5"/>
        <v>6.3181333209630282</v>
      </c>
    </row>
    <row r="11" spans="1:19" hidden="1">
      <c r="A11" t="s">
        <v>48</v>
      </c>
      <c r="B11" t="s">
        <v>30</v>
      </c>
      <c r="C11">
        <v>166</v>
      </c>
      <c r="D11">
        <v>3355</v>
      </c>
      <c r="E11" s="2">
        <v>186.78</v>
      </c>
      <c r="F11">
        <v>24</v>
      </c>
      <c r="G11">
        <v>9</v>
      </c>
      <c r="H11">
        <v>5.3999999999999999E-2</v>
      </c>
      <c r="I11" s="3">
        <v>1029</v>
      </c>
      <c r="J11" s="1">
        <v>45608</v>
      </c>
      <c r="K11" t="s">
        <v>31</v>
      </c>
      <c r="L11" t="s">
        <v>8</v>
      </c>
      <c r="M11" t="s">
        <v>41</v>
      </c>
      <c r="N11" s="1">
        <f t="shared" si="0"/>
        <v>45608</v>
      </c>
      <c r="O11" s="4">
        <f t="shared" si="1"/>
        <v>4.9478390461997021E-2</v>
      </c>
      <c r="P11" s="2">
        <f t="shared" si="2"/>
        <v>1.1251807228915662</v>
      </c>
      <c r="Q11" s="2">
        <f t="shared" si="3"/>
        <v>7.7824999999999998</v>
      </c>
      <c r="R11" s="2">
        <f t="shared" si="4"/>
        <v>20.753333333333334</v>
      </c>
      <c r="S11" s="2">
        <f t="shared" si="5"/>
        <v>5.5091551557982656</v>
      </c>
    </row>
    <row r="12" spans="1:19" hidden="1">
      <c r="A12" t="s">
        <v>49</v>
      </c>
      <c r="B12" t="s">
        <v>30</v>
      </c>
      <c r="C12">
        <v>101</v>
      </c>
      <c r="D12">
        <v>5399</v>
      </c>
      <c r="E12" s="2">
        <v>236.79</v>
      </c>
      <c r="F12">
        <v>20</v>
      </c>
      <c r="G12">
        <v>6</v>
      </c>
      <c r="H12">
        <v>5.8999999999999997E-2</v>
      </c>
      <c r="I12" s="3">
        <v>1900</v>
      </c>
      <c r="J12" s="1" t="s">
        <v>50</v>
      </c>
      <c r="K12" t="s">
        <v>31</v>
      </c>
      <c r="L12" t="s">
        <v>7</v>
      </c>
      <c r="M12" t="s">
        <v>32</v>
      </c>
      <c r="N12" s="1">
        <f t="shared" si="0"/>
        <v>45610</v>
      </c>
      <c r="O12" s="4">
        <f t="shared" si="1"/>
        <v>1.8707167994072977E-2</v>
      </c>
      <c r="P12" s="2">
        <f t="shared" si="2"/>
        <v>2.3444554455445545</v>
      </c>
      <c r="Q12" s="2">
        <f t="shared" si="3"/>
        <v>11.839499999999999</v>
      </c>
      <c r="R12" s="2">
        <f t="shared" si="4"/>
        <v>39.464999999999996</v>
      </c>
      <c r="S12" s="2">
        <f t="shared" si="5"/>
        <v>8.0239874994721063</v>
      </c>
    </row>
    <row r="13" spans="1:19" hidden="1">
      <c r="A13" t="s">
        <v>51</v>
      </c>
      <c r="B13" t="s">
        <v>30</v>
      </c>
      <c r="C13">
        <v>101</v>
      </c>
      <c r="D13">
        <v>3613</v>
      </c>
      <c r="E13" s="2">
        <v>208.12</v>
      </c>
      <c r="F13">
        <v>24</v>
      </c>
      <c r="G13">
        <v>5</v>
      </c>
      <c r="H13">
        <v>0.05</v>
      </c>
      <c r="I13" s="3">
        <v>1130</v>
      </c>
      <c r="J13" s="1">
        <v>45618</v>
      </c>
      <c r="K13" t="s">
        <v>31</v>
      </c>
      <c r="L13" t="s">
        <v>7</v>
      </c>
      <c r="M13" t="s">
        <v>41</v>
      </c>
      <c r="N13" s="1">
        <f t="shared" si="0"/>
        <v>45618</v>
      </c>
      <c r="O13" s="4">
        <f t="shared" si="1"/>
        <v>2.7954608358704676E-2</v>
      </c>
      <c r="P13" s="2">
        <f t="shared" si="2"/>
        <v>2.0605940594059406</v>
      </c>
      <c r="Q13" s="2">
        <f t="shared" si="3"/>
        <v>8.6716666666666669</v>
      </c>
      <c r="R13" s="2">
        <f t="shared" si="4"/>
        <v>41.624000000000002</v>
      </c>
      <c r="S13" s="2">
        <f t="shared" si="5"/>
        <v>5.4295598693061695</v>
      </c>
    </row>
    <row r="14" spans="1:19" hidden="1">
      <c r="A14" t="s">
        <v>52</v>
      </c>
      <c r="B14" t="s">
        <v>30</v>
      </c>
      <c r="C14">
        <v>125</v>
      </c>
      <c r="D14">
        <v>3259</v>
      </c>
      <c r="E14" s="2">
        <v>191.3</v>
      </c>
      <c r="F14">
        <v>18</v>
      </c>
      <c r="G14">
        <v>3</v>
      </c>
      <c r="H14">
        <v>2.4E-2</v>
      </c>
      <c r="I14" s="3">
        <v>1959</v>
      </c>
      <c r="J14" s="1">
        <v>45623</v>
      </c>
      <c r="K14" t="s">
        <v>31</v>
      </c>
      <c r="L14" t="s">
        <v>7</v>
      </c>
      <c r="M14" t="s">
        <v>37</v>
      </c>
      <c r="N14" s="1">
        <f t="shared" si="0"/>
        <v>45623</v>
      </c>
      <c r="O14" s="4">
        <f t="shared" si="1"/>
        <v>3.8355323718932188E-2</v>
      </c>
      <c r="P14" s="2">
        <f t="shared" si="2"/>
        <v>1.5304</v>
      </c>
      <c r="Q14" s="2">
        <f t="shared" si="3"/>
        <v>10.627777777777778</v>
      </c>
      <c r="R14" s="2">
        <f t="shared" si="4"/>
        <v>63.766666666666673</v>
      </c>
      <c r="S14" s="2">
        <f t="shared" si="5"/>
        <v>10.240460010454782</v>
      </c>
    </row>
    <row r="15" spans="1:19" hidden="1">
      <c r="A15" t="s">
        <v>53</v>
      </c>
      <c r="B15" t="s">
        <v>30</v>
      </c>
      <c r="C15">
        <v>196</v>
      </c>
      <c r="D15">
        <v>3742</v>
      </c>
      <c r="E15" s="2">
        <v>207.46</v>
      </c>
      <c r="F15">
        <v>10</v>
      </c>
      <c r="G15">
        <v>7</v>
      </c>
      <c r="H15">
        <v>3.7999999999999999E-2</v>
      </c>
      <c r="I15" s="3">
        <v>1623</v>
      </c>
      <c r="J15" s="1">
        <v>45637</v>
      </c>
      <c r="K15" t="s">
        <v>31</v>
      </c>
      <c r="L15" t="s">
        <v>8</v>
      </c>
      <c r="M15" t="s">
        <v>39</v>
      </c>
      <c r="N15" s="1">
        <f t="shared" si="0"/>
        <v>45637</v>
      </c>
      <c r="O15" s="4">
        <f t="shared" si="1"/>
        <v>5.2378407268840195E-2</v>
      </c>
      <c r="P15" s="2">
        <f t="shared" si="2"/>
        <v>1.0584693877551021</v>
      </c>
      <c r="Q15" s="2">
        <f t="shared" si="3"/>
        <v>20.746000000000002</v>
      </c>
      <c r="R15" s="2">
        <f t="shared" si="4"/>
        <v>29.637142857142859</v>
      </c>
      <c r="S15" s="2">
        <f t="shared" si="5"/>
        <v>7.8231948327388405</v>
      </c>
    </row>
    <row r="16" spans="1:19" hidden="1">
      <c r="A16" t="s">
        <v>54</v>
      </c>
      <c r="B16" t="s">
        <v>30</v>
      </c>
      <c r="C16">
        <v>181</v>
      </c>
      <c r="D16">
        <v>4311</v>
      </c>
      <c r="E16" s="2">
        <v>185.09</v>
      </c>
      <c r="F16">
        <v>11</v>
      </c>
      <c r="G16">
        <v>9</v>
      </c>
      <c r="H16">
        <v>0.05</v>
      </c>
      <c r="I16" s="3">
        <v>1538</v>
      </c>
      <c r="J16" s="1">
        <v>45600</v>
      </c>
      <c r="K16" t="s">
        <v>31</v>
      </c>
      <c r="L16" t="s">
        <v>7</v>
      </c>
      <c r="M16" t="s">
        <v>39</v>
      </c>
      <c r="N16" s="1">
        <f t="shared" si="0"/>
        <v>45600</v>
      </c>
      <c r="O16" s="4">
        <f t="shared" si="1"/>
        <v>4.1985618186035724E-2</v>
      </c>
      <c r="P16" s="2">
        <f t="shared" si="2"/>
        <v>1.0225966850828729</v>
      </c>
      <c r="Q16" s="2">
        <f t="shared" si="3"/>
        <v>16.826363636363638</v>
      </c>
      <c r="R16" s="2">
        <f t="shared" si="4"/>
        <v>20.565555555555555</v>
      </c>
      <c r="S16" s="2">
        <f t="shared" si="5"/>
        <v>8.3094710681290174</v>
      </c>
    </row>
    <row r="17" spans="1:19" hidden="1">
      <c r="A17" t="s">
        <v>55</v>
      </c>
      <c r="B17" t="s">
        <v>30</v>
      </c>
      <c r="C17">
        <v>102</v>
      </c>
      <c r="D17">
        <v>5461</v>
      </c>
      <c r="E17" s="2">
        <v>201.69</v>
      </c>
      <c r="F17">
        <v>22</v>
      </c>
      <c r="G17">
        <v>8</v>
      </c>
      <c r="H17">
        <v>7.8E-2</v>
      </c>
      <c r="I17" s="3">
        <v>1755</v>
      </c>
      <c r="J17" s="1">
        <v>45625</v>
      </c>
      <c r="K17" t="s">
        <v>31</v>
      </c>
      <c r="L17" t="s">
        <v>7</v>
      </c>
      <c r="M17" t="s">
        <v>35</v>
      </c>
      <c r="N17" s="1">
        <f t="shared" si="0"/>
        <v>45625</v>
      </c>
      <c r="O17" s="4">
        <f t="shared" si="1"/>
        <v>1.8677897820911921E-2</v>
      </c>
      <c r="P17" s="2">
        <f t="shared" si="2"/>
        <v>1.9773529411764705</v>
      </c>
      <c r="Q17" s="2">
        <f t="shared" si="3"/>
        <v>9.1677272727272729</v>
      </c>
      <c r="R17" s="2">
        <f t="shared" si="4"/>
        <v>25.21125</v>
      </c>
      <c r="S17" s="2">
        <f t="shared" si="5"/>
        <v>8.7014725568942435</v>
      </c>
    </row>
    <row r="18" spans="1:19" hidden="1">
      <c r="A18" t="s">
        <v>56</v>
      </c>
      <c r="B18" t="s">
        <v>30</v>
      </c>
      <c r="C18">
        <v>193</v>
      </c>
      <c r="D18">
        <v>5159</v>
      </c>
      <c r="E18" s="2">
        <v>215.57</v>
      </c>
      <c r="F18">
        <v>15</v>
      </c>
      <c r="G18">
        <v>9</v>
      </c>
      <c r="H18">
        <v>4.7E-2</v>
      </c>
      <c r="I18" s="3">
        <v>1614</v>
      </c>
      <c r="J18" s="1">
        <v>45606</v>
      </c>
      <c r="K18" t="s">
        <v>31</v>
      </c>
      <c r="L18" t="s">
        <v>8</v>
      </c>
      <c r="M18" t="s">
        <v>32</v>
      </c>
      <c r="N18" s="1">
        <f t="shared" si="0"/>
        <v>45606</v>
      </c>
      <c r="O18" s="4">
        <f t="shared" si="1"/>
        <v>3.7410350843186661E-2</v>
      </c>
      <c r="P18" s="2">
        <f t="shared" si="2"/>
        <v>1.1169430051813471</v>
      </c>
      <c r="Q18" s="2">
        <f t="shared" si="3"/>
        <v>14.371333333333332</v>
      </c>
      <c r="R18" s="2">
        <f t="shared" si="4"/>
        <v>23.952222222222222</v>
      </c>
      <c r="S18" s="2">
        <f t="shared" si="5"/>
        <v>7.4871271512733681</v>
      </c>
    </row>
    <row r="19" spans="1:19" hidden="1">
      <c r="A19" t="s">
        <v>57</v>
      </c>
      <c r="B19" t="s">
        <v>30</v>
      </c>
      <c r="C19">
        <v>149</v>
      </c>
      <c r="D19">
        <v>4431</v>
      </c>
      <c r="E19" s="2">
        <v>207.4</v>
      </c>
      <c r="F19">
        <v>19</v>
      </c>
      <c r="G19">
        <v>9</v>
      </c>
      <c r="H19">
        <v>0.06</v>
      </c>
      <c r="I19" s="3">
        <v>1693</v>
      </c>
      <c r="J19" s="1">
        <v>45637</v>
      </c>
      <c r="K19" t="s">
        <v>31</v>
      </c>
      <c r="L19" t="s">
        <v>8</v>
      </c>
      <c r="M19" t="s">
        <v>32</v>
      </c>
      <c r="N19" s="1">
        <f t="shared" si="0"/>
        <v>45637</v>
      </c>
      <c r="O19" s="4">
        <f t="shared" si="1"/>
        <v>3.3626720830512297E-2</v>
      </c>
      <c r="P19" s="2">
        <f t="shared" si="2"/>
        <v>1.3919463087248323</v>
      </c>
      <c r="Q19" s="2">
        <f t="shared" si="3"/>
        <v>10.91578947368421</v>
      </c>
      <c r="R19" s="2">
        <f t="shared" si="4"/>
        <v>23.044444444444444</v>
      </c>
      <c r="S19" s="2">
        <f t="shared" si="5"/>
        <v>8.1629701060752176</v>
      </c>
    </row>
    <row r="20" spans="1:19">
      <c r="A20" t="s">
        <v>58</v>
      </c>
      <c r="B20" t="s">
        <v>30</v>
      </c>
      <c r="C20">
        <v>150</v>
      </c>
      <c r="D20">
        <v>3113</v>
      </c>
      <c r="E20" s="2">
        <v>217.41</v>
      </c>
      <c r="F20">
        <v>20</v>
      </c>
      <c r="G20">
        <v>5</v>
      </c>
      <c r="H20">
        <v>4.5999999999999999E-2</v>
      </c>
      <c r="I20" s="3">
        <v>1785</v>
      </c>
      <c r="J20" s="1">
        <v>45603</v>
      </c>
      <c r="K20" t="s">
        <v>31</v>
      </c>
      <c r="L20" t="s">
        <v>8</v>
      </c>
      <c r="M20" t="s">
        <v>46</v>
      </c>
      <c r="N20" s="1">
        <f t="shared" si="0"/>
        <v>45603</v>
      </c>
      <c r="O20" s="4">
        <f t="shared" si="1"/>
        <v>4.8185030517185992E-2</v>
      </c>
      <c r="P20" s="2">
        <f t="shared" si="2"/>
        <v>1.4494</v>
      </c>
      <c r="Q20" s="2">
        <f t="shared" si="3"/>
        <v>10.8705</v>
      </c>
      <c r="R20" s="2">
        <f t="shared" si="4"/>
        <v>43.481999999999999</v>
      </c>
      <c r="S20" s="2">
        <f t="shared" si="5"/>
        <v>8.2102939147233336</v>
      </c>
    </row>
    <row r="21" spans="1:19" hidden="1">
      <c r="A21" t="s">
        <v>59</v>
      </c>
      <c r="B21" t="s">
        <v>30</v>
      </c>
      <c r="C21">
        <v>145</v>
      </c>
      <c r="D21">
        <v>5278</v>
      </c>
      <c r="E21" s="2">
        <v>215.57</v>
      </c>
      <c r="F21">
        <v>25</v>
      </c>
      <c r="G21">
        <v>6</v>
      </c>
      <c r="H21">
        <v>4.1000000000000002E-2</v>
      </c>
      <c r="I21" s="3">
        <v>1516</v>
      </c>
      <c r="J21" s="1">
        <v>45601</v>
      </c>
      <c r="K21" t="s">
        <v>31</v>
      </c>
      <c r="L21" t="s">
        <v>7</v>
      </c>
      <c r="M21" t="s">
        <v>35</v>
      </c>
      <c r="N21" s="1">
        <f t="shared" si="0"/>
        <v>45601</v>
      </c>
      <c r="O21" s="4">
        <f t="shared" si="1"/>
        <v>2.7472527472527472E-2</v>
      </c>
      <c r="P21" s="2">
        <f t="shared" si="2"/>
        <v>1.4866896551724138</v>
      </c>
      <c r="Q21" s="2">
        <f t="shared" si="3"/>
        <v>8.6227999999999998</v>
      </c>
      <c r="R21" s="2">
        <f t="shared" si="4"/>
        <v>35.928333333333335</v>
      </c>
      <c r="S21" s="2">
        <f t="shared" si="5"/>
        <v>7.0325184394860143</v>
      </c>
    </row>
    <row r="22" spans="1:19" hidden="1">
      <c r="A22" t="s">
        <v>60</v>
      </c>
      <c r="B22" t="s">
        <v>30</v>
      </c>
      <c r="C22">
        <v>184</v>
      </c>
      <c r="D22">
        <v>4143</v>
      </c>
      <c r="E22" s="2">
        <v>223.3</v>
      </c>
      <c r="F22">
        <v>10</v>
      </c>
      <c r="G22">
        <v>10</v>
      </c>
      <c r="H22">
        <v>4.3999999999999997E-2</v>
      </c>
      <c r="I22" s="3">
        <v>1735</v>
      </c>
      <c r="J22" s="1">
        <v>45617</v>
      </c>
      <c r="K22" t="s">
        <v>31</v>
      </c>
      <c r="L22" t="s">
        <v>9</v>
      </c>
      <c r="M22" t="s">
        <v>32</v>
      </c>
      <c r="N22" s="1">
        <f t="shared" si="0"/>
        <v>45617</v>
      </c>
      <c r="O22" s="4">
        <f t="shared" si="1"/>
        <v>4.4412261646150135E-2</v>
      </c>
      <c r="P22" s="2">
        <f t="shared" si="2"/>
        <v>1.2135869565217392</v>
      </c>
      <c r="Q22" s="2">
        <f t="shared" si="3"/>
        <v>22.330000000000002</v>
      </c>
      <c r="R22" s="2">
        <f t="shared" si="4"/>
        <v>22.330000000000002</v>
      </c>
      <c r="S22" s="2">
        <f t="shared" si="5"/>
        <v>7.7698163905060449</v>
      </c>
    </row>
    <row r="23" spans="1:19" hidden="1">
      <c r="A23" t="s">
        <v>61</v>
      </c>
      <c r="B23" t="s">
        <v>30</v>
      </c>
      <c r="C23">
        <v>171</v>
      </c>
      <c r="D23">
        <v>4154</v>
      </c>
      <c r="E23" s="2">
        <v>184.23</v>
      </c>
      <c r="F23">
        <v>30</v>
      </c>
      <c r="G23">
        <v>7</v>
      </c>
      <c r="H23">
        <v>4.1000000000000002E-2</v>
      </c>
      <c r="I23" s="3">
        <v>1803</v>
      </c>
      <c r="J23" s="1">
        <v>45604</v>
      </c>
      <c r="K23" t="s">
        <v>31</v>
      </c>
      <c r="L23" t="s">
        <v>9</v>
      </c>
      <c r="M23" t="s">
        <v>37</v>
      </c>
      <c r="N23" s="1">
        <f t="shared" si="0"/>
        <v>45604</v>
      </c>
      <c r="O23" s="4">
        <f t="shared" si="1"/>
        <v>4.1165142031776604E-2</v>
      </c>
      <c r="P23" s="2">
        <f t="shared" si="2"/>
        <v>1.0773684210526315</v>
      </c>
      <c r="Q23" s="2">
        <f t="shared" si="3"/>
        <v>6.141</v>
      </c>
      <c r="R23" s="2">
        <f t="shared" si="4"/>
        <v>26.318571428571428</v>
      </c>
      <c r="S23" s="2">
        <f t="shared" si="5"/>
        <v>9.7866796938609344</v>
      </c>
    </row>
    <row r="24" spans="1:19" hidden="1">
      <c r="A24" t="s">
        <v>62</v>
      </c>
      <c r="B24" t="s">
        <v>30</v>
      </c>
      <c r="C24">
        <v>122</v>
      </c>
      <c r="D24">
        <v>5187</v>
      </c>
      <c r="E24" s="2">
        <v>211.24</v>
      </c>
      <c r="F24">
        <v>27</v>
      </c>
      <c r="G24">
        <v>6</v>
      </c>
      <c r="H24">
        <v>4.9000000000000002E-2</v>
      </c>
      <c r="I24" s="3">
        <v>1322</v>
      </c>
      <c r="J24" s="1">
        <v>45616</v>
      </c>
      <c r="K24" t="s">
        <v>31</v>
      </c>
      <c r="L24" t="s">
        <v>7</v>
      </c>
      <c r="M24" t="s">
        <v>41</v>
      </c>
      <c r="N24" s="1">
        <f t="shared" si="0"/>
        <v>45616</v>
      </c>
      <c r="O24" s="4">
        <f t="shared" si="1"/>
        <v>2.3520339309812992E-2</v>
      </c>
      <c r="P24" s="2">
        <f t="shared" si="2"/>
        <v>1.7314754098360656</v>
      </c>
      <c r="Q24" s="2">
        <f t="shared" si="3"/>
        <v>7.8237037037037043</v>
      </c>
      <c r="R24" s="2">
        <f t="shared" si="4"/>
        <v>35.206666666666671</v>
      </c>
      <c r="S24" s="2">
        <f t="shared" si="5"/>
        <v>6.2582844158303352</v>
      </c>
    </row>
    <row r="25" spans="1:19" hidden="1">
      <c r="A25" t="s">
        <v>63</v>
      </c>
      <c r="B25" t="s">
        <v>30</v>
      </c>
      <c r="C25">
        <v>188</v>
      </c>
      <c r="D25">
        <v>5798</v>
      </c>
      <c r="E25" s="2">
        <v>230.17</v>
      </c>
      <c r="F25">
        <v>28</v>
      </c>
      <c r="G25">
        <v>5</v>
      </c>
      <c r="H25">
        <v>4.7E-2</v>
      </c>
      <c r="I25" s="3">
        <v>1452</v>
      </c>
      <c r="J25" s="1" t="s">
        <v>64</v>
      </c>
      <c r="K25" t="s">
        <v>31</v>
      </c>
      <c r="L25" t="s">
        <v>9</v>
      </c>
      <c r="M25" t="s">
        <v>35</v>
      </c>
      <c r="N25" s="1">
        <f t="shared" si="0"/>
        <v>45626</v>
      </c>
      <c r="O25" s="4">
        <f t="shared" si="1"/>
        <v>3.2424974129010006E-2</v>
      </c>
      <c r="P25" s="2">
        <f t="shared" si="2"/>
        <v>1.2243085106382978</v>
      </c>
      <c r="Q25" s="2">
        <f t="shared" si="3"/>
        <v>8.2203571428571429</v>
      </c>
      <c r="R25" s="2">
        <f t="shared" si="4"/>
        <v>46.033999999999999</v>
      </c>
      <c r="S25" s="2">
        <f t="shared" si="5"/>
        <v>6.3083807620454451</v>
      </c>
    </row>
    <row r="26" spans="1:19" hidden="1">
      <c r="A26" t="s">
        <v>65</v>
      </c>
      <c r="B26" t="s">
        <v>30</v>
      </c>
      <c r="C26">
        <v>87</v>
      </c>
      <c r="D26">
        <v>3718</v>
      </c>
      <c r="E26" s="2">
        <v>215.57</v>
      </c>
      <c r="F26">
        <v>12</v>
      </c>
      <c r="G26">
        <v>3</v>
      </c>
      <c r="H26">
        <v>3.4000000000000002E-2</v>
      </c>
      <c r="I26" s="3">
        <v>1652</v>
      </c>
      <c r="J26" s="1" t="s">
        <v>34</v>
      </c>
      <c r="K26" t="s">
        <v>31</v>
      </c>
      <c r="L26" t="s">
        <v>9</v>
      </c>
      <c r="M26" t="s">
        <v>32</v>
      </c>
      <c r="N26" s="1">
        <f t="shared" si="0"/>
        <v>45616</v>
      </c>
      <c r="O26" s="4">
        <f t="shared" si="1"/>
        <v>2.3399677245831092E-2</v>
      </c>
      <c r="P26" s="2">
        <f t="shared" si="2"/>
        <v>2.4778160919540229</v>
      </c>
      <c r="Q26" s="2">
        <f t="shared" si="3"/>
        <v>17.964166666666667</v>
      </c>
      <c r="R26" s="2">
        <f t="shared" si="4"/>
        <v>71.856666666666669</v>
      </c>
      <c r="S26" s="2">
        <f t="shared" si="5"/>
        <v>7.663403998701118</v>
      </c>
    </row>
    <row r="27" spans="1:19" hidden="1">
      <c r="A27" t="s">
        <v>66</v>
      </c>
      <c r="B27" t="s">
        <v>30</v>
      </c>
      <c r="C27">
        <v>88</v>
      </c>
      <c r="D27">
        <v>3349</v>
      </c>
      <c r="E27" s="2">
        <v>181.92</v>
      </c>
      <c r="F27">
        <v>22</v>
      </c>
      <c r="G27">
        <v>8</v>
      </c>
      <c r="H27">
        <v>9.0999999999999998E-2</v>
      </c>
      <c r="I27" s="3">
        <v>1456</v>
      </c>
      <c r="J27" s="1">
        <v>45616</v>
      </c>
      <c r="K27" t="s">
        <v>31</v>
      </c>
      <c r="L27" t="s">
        <v>9</v>
      </c>
      <c r="M27" t="s">
        <v>32</v>
      </c>
      <c r="N27" s="1">
        <f t="shared" si="0"/>
        <v>45616</v>
      </c>
      <c r="O27" s="4">
        <f t="shared" si="1"/>
        <v>2.6276500447894893E-2</v>
      </c>
      <c r="P27" s="2">
        <f t="shared" si="2"/>
        <v>2.0672727272727269</v>
      </c>
      <c r="Q27" s="2">
        <f t="shared" si="3"/>
        <v>8.2690909090909077</v>
      </c>
      <c r="R27" s="2">
        <f t="shared" si="4"/>
        <v>22.74</v>
      </c>
      <c r="S27" s="2">
        <f t="shared" si="5"/>
        <v>8.0035180299032547</v>
      </c>
    </row>
    <row r="28" spans="1:19" hidden="1">
      <c r="A28" t="s">
        <v>67</v>
      </c>
      <c r="B28" t="s">
        <v>30</v>
      </c>
      <c r="C28">
        <v>119</v>
      </c>
      <c r="D28">
        <v>5323</v>
      </c>
      <c r="E28" s="2">
        <v>205.92</v>
      </c>
      <c r="F28">
        <v>17</v>
      </c>
      <c r="G28">
        <v>10</v>
      </c>
      <c r="H28">
        <v>0.06</v>
      </c>
      <c r="I28" s="3">
        <v>1656</v>
      </c>
      <c r="J28" s="1">
        <v>45598</v>
      </c>
      <c r="K28" t="s">
        <v>31</v>
      </c>
      <c r="L28" t="s">
        <v>7</v>
      </c>
      <c r="M28" t="s">
        <v>41</v>
      </c>
      <c r="N28" s="1">
        <f t="shared" si="0"/>
        <v>45598</v>
      </c>
      <c r="O28" s="4">
        <f t="shared" si="1"/>
        <v>2.2355814390381364E-2</v>
      </c>
      <c r="P28" s="2">
        <f t="shared" si="2"/>
        <v>1.7304201680672269</v>
      </c>
      <c r="Q28" s="2">
        <f t="shared" si="3"/>
        <v>12.112941176470587</v>
      </c>
      <c r="R28" s="2">
        <f t="shared" si="4"/>
        <v>20.591999999999999</v>
      </c>
      <c r="S28" s="2">
        <f t="shared" si="5"/>
        <v>8.0419580419580416</v>
      </c>
    </row>
    <row r="29" spans="1:19">
      <c r="A29" t="s">
        <v>68</v>
      </c>
      <c r="B29" t="s">
        <v>30</v>
      </c>
      <c r="C29">
        <v>139</v>
      </c>
      <c r="D29">
        <v>5286</v>
      </c>
      <c r="E29" s="2">
        <v>234.89</v>
      </c>
      <c r="F29">
        <v>22</v>
      </c>
      <c r="G29">
        <v>10</v>
      </c>
      <c r="H29">
        <v>4.5999999999999999E-2</v>
      </c>
      <c r="I29" s="3">
        <v>1688</v>
      </c>
      <c r="J29" s="1">
        <v>45617</v>
      </c>
      <c r="K29" t="s">
        <v>31</v>
      </c>
      <c r="L29" t="s">
        <v>7</v>
      </c>
      <c r="M29" t="s">
        <v>39</v>
      </c>
      <c r="N29" s="1">
        <f t="shared" si="0"/>
        <v>45617</v>
      </c>
      <c r="O29" s="4">
        <f t="shared" si="1"/>
        <v>2.6295875898600076E-2</v>
      </c>
      <c r="P29" s="2">
        <f t="shared" si="2"/>
        <v>1.6898561151079137</v>
      </c>
      <c r="Q29" s="2">
        <f t="shared" si="3"/>
        <v>10.676818181818181</v>
      </c>
      <c r="R29" s="2">
        <f t="shared" si="4"/>
        <v>23.488999999999997</v>
      </c>
      <c r="S29" s="2">
        <f t="shared" si="5"/>
        <v>7.1863425433181494</v>
      </c>
    </row>
    <row r="30" spans="1:19">
      <c r="A30" t="s">
        <v>69</v>
      </c>
      <c r="B30" t="s">
        <v>30</v>
      </c>
      <c r="C30">
        <v>128</v>
      </c>
      <c r="D30">
        <v>5469</v>
      </c>
      <c r="E30" s="2">
        <v>188.49</v>
      </c>
      <c r="F30">
        <v>16</v>
      </c>
      <c r="G30">
        <v>3</v>
      </c>
      <c r="H30">
        <v>4.5999999999999999E-2</v>
      </c>
      <c r="I30" s="3">
        <v>1783</v>
      </c>
      <c r="J30" s="1">
        <v>45619</v>
      </c>
      <c r="K30" t="s">
        <v>31</v>
      </c>
      <c r="L30" t="s">
        <v>8</v>
      </c>
      <c r="M30" t="s">
        <v>32</v>
      </c>
      <c r="N30" s="1">
        <f t="shared" si="0"/>
        <v>45619</v>
      </c>
      <c r="O30" s="4">
        <f t="shared" si="1"/>
        <v>2.3404644359115011E-2</v>
      </c>
      <c r="P30" s="2">
        <f t="shared" si="2"/>
        <v>1.4725781250000001</v>
      </c>
      <c r="Q30" s="2">
        <f t="shared" si="3"/>
        <v>11.780625000000001</v>
      </c>
      <c r="R30" s="2">
        <f t="shared" si="4"/>
        <v>62.830000000000005</v>
      </c>
      <c r="S30" s="2">
        <f t="shared" si="5"/>
        <v>9.4593877659292271</v>
      </c>
    </row>
    <row r="31" spans="1:19" hidden="1">
      <c r="A31" t="s">
        <v>70</v>
      </c>
      <c r="B31" t="s">
        <v>30</v>
      </c>
      <c r="C31">
        <v>86</v>
      </c>
      <c r="D31">
        <v>3351</v>
      </c>
      <c r="E31" s="2">
        <v>237.75</v>
      </c>
      <c r="F31">
        <v>21</v>
      </c>
      <c r="G31">
        <v>9</v>
      </c>
      <c r="H31">
        <v>0.105</v>
      </c>
      <c r="I31" s="3">
        <v>1975</v>
      </c>
      <c r="J31" s="1">
        <v>45609</v>
      </c>
      <c r="K31" t="s">
        <v>31</v>
      </c>
      <c r="L31" t="s">
        <v>8</v>
      </c>
      <c r="M31" t="s">
        <v>46</v>
      </c>
      <c r="N31" s="1">
        <f t="shared" si="0"/>
        <v>45609</v>
      </c>
      <c r="O31" s="4">
        <f t="shared" si="1"/>
        <v>2.5663980901223515E-2</v>
      </c>
      <c r="P31" s="2">
        <f t="shared" si="2"/>
        <v>2.76453488372093</v>
      </c>
      <c r="Q31" s="2">
        <f t="shared" si="3"/>
        <v>11.321428571428571</v>
      </c>
      <c r="R31" s="2">
        <f t="shared" si="4"/>
        <v>26.416666666666668</v>
      </c>
      <c r="S31" s="2">
        <f t="shared" si="5"/>
        <v>8.3070452155625656</v>
      </c>
    </row>
    <row r="32" spans="1:19" hidden="1">
      <c r="A32" t="s">
        <v>71</v>
      </c>
      <c r="B32" t="s">
        <v>30</v>
      </c>
      <c r="C32">
        <v>188</v>
      </c>
      <c r="D32">
        <v>4834</v>
      </c>
      <c r="E32" s="2">
        <v>213.58</v>
      </c>
      <c r="F32">
        <v>15</v>
      </c>
      <c r="G32">
        <v>4</v>
      </c>
      <c r="H32">
        <v>2.1000000000000001E-2</v>
      </c>
      <c r="I32" s="3">
        <v>1590</v>
      </c>
      <c r="J32" s="1">
        <v>45604</v>
      </c>
      <c r="K32" t="s">
        <v>31</v>
      </c>
      <c r="L32" t="s">
        <v>9</v>
      </c>
      <c r="M32" t="s">
        <v>41</v>
      </c>
      <c r="N32" s="1">
        <f t="shared" si="0"/>
        <v>45604</v>
      </c>
      <c r="O32" s="4">
        <f t="shared" si="1"/>
        <v>3.8891187422424492E-2</v>
      </c>
      <c r="P32" s="2">
        <f t="shared" si="2"/>
        <v>1.1360638297872341</v>
      </c>
      <c r="Q32" s="2">
        <f t="shared" si="3"/>
        <v>14.238666666666667</v>
      </c>
      <c r="R32" s="2">
        <f t="shared" si="4"/>
        <v>53.395000000000003</v>
      </c>
      <c r="S32" s="2">
        <f t="shared" si="5"/>
        <v>7.4445172768985852</v>
      </c>
    </row>
    <row r="33" spans="1:19">
      <c r="A33" t="s">
        <v>72</v>
      </c>
      <c r="B33" t="s">
        <v>30</v>
      </c>
      <c r="C33">
        <v>113</v>
      </c>
      <c r="D33">
        <v>5065</v>
      </c>
      <c r="E33" s="2">
        <v>212.37</v>
      </c>
      <c r="F33">
        <v>11</v>
      </c>
      <c r="G33">
        <v>5</v>
      </c>
      <c r="H33">
        <v>4.5999999999999999E-2</v>
      </c>
      <c r="I33" s="3">
        <v>1111</v>
      </c>
      <c r="J33" s="1" t="s">
        <v>73</v>
      </c>
      <c r="K33" t="s">
        <v>31</v>
      </c>
      <c r="L33" t="s">
        <v>7</v>
      </c>
      <c r="M33" t="s">
        <v>41</v>
      </c>
      <c r="N33" s="1">
        <f t="shared" si="0"/>
        <v>45618</v>
      </c>
      <c r="O33" s="4">
        <f t="shared" si="1"/>
        <v>2.2309970384995065E-2</v>
      </c>
      <c r="P33" s="2">
        <f t="shared" si="2"/>
        <v>1.8793805309734513</v>
      </c>
      <c r="Q33" s="2">
        <f t="shared" si="3"/>
        <v>19.306363636363638</v>
      </c>
      <c r="R33" s="2">
        <f t="shared" si="4"/>
        <v>42.474000000000004</v>
      </c>
      <c r="S33" s="2">
        <f t="shared" si="5"/>
        <v>5.2314357018411259</v>
      </c>
    </row>
    <row r="34" spans="1:19">
      <c r="A34" t="s">
        <v>74</v>
      </c>
      <c r="B34" t="s">
        <v>30</v>
      </c>
      <c r="C34">
        <v>139</v>
      </c>
      <c r="D34">
        <v>3872</v>
      </c>
      <c r="E34" s="2">
        <v>244.38</v>
      </c>
      <c r="F34">
        <v>20</v>
      </c>
      <c r="G34">
        <v>4</v>
      </c>
      <c r="H34">
        <v>4.5999999999999999E-2</v>
      </c>
      <c r="I34" s="3">
        <v>1041</v>
      </c>
      <c r="J34" s="1">
        <v>45637</v>
      </c>
      <c r="K34" t="s">
        <v>31</v>
      </c>
      <c r="L34" t="s">
        <v>9</v>
      </c>
      <c r="M34" t="s">
        <v>37</v>
      </c>
      <c r="N34" s="1">
        <f t="shared" si="0"/>
        <v>45637</v>
      </c>
      <c r="O34" s="4">
        <f t="shared" si="1"/>
        <v>3.5898760330578511E-2</v>
      </c>
      <c r="P34" s="2">
        <f t="shared" si="2"/>
        <v>1.7581294964028777</v>
      </c>
      <c r="Q34" s="2">
        <f t="shared" si="3"/>
        <v>12.218999999999999</v>
      </c>
      <c r="R34" s="2">
        <f t="shared" si="4"/>
        <v>61.094999999999999</v>
      </c>
      <c r="S34" s="2">
        <f t="shared" si="5"/>
        <v>4.259759391112202</v>
      </c>
    </row>
    <row r="35" spans="1:19" hidden="1">
      <c r="A35" t="s">
        <v>75</v>
      </c>
      <c r="B35" t="s">
        <v>30</v>
      </c>
      <c r="C35">
        <v>176</v>
      </c>
      <c r="D35">
        <v>5509</v>
      </c>
      <c r="E35" s="2">
        <v>234.59</v>
      </c>
      <c r="F35">
        <v>19</v>
      </c>
      <c r="G35">
        <v>7</v>
      </c>
      <c r="H35">
        <v>5.3999999999999999E-2</v>
      </c>
      <c r="I35" s="3">
        <v>1710</v>
      </c>
      <c r="J35" s="1">
        <v>45599</v>
      </c>
      <c r="K35" t="s">
        <v>31</v>
      </c>
      <c r="L35" t="s">
        <v>9</v>
      </c>
      <c r="M35" t="s">
        <v>35</v>
      </c>
      <c r="N35" s="1">
        <f t="shared" si="0"/>
        <v>45599</v>
      </c>
      <c r="O35" s="4">
        <f t="shared" si="1"/>
        <v>3.1947721909602468E-2</v>
      </c>
      <c r="P35" s="2">
        <f t="shared" si="2"/>
        <v>1.3328977272727274</v>
      </c>
      <c r="Q35" s="2">
        <f t="shared" si="3"/>
        <v>12.346842105263159</v>
      </c>
      <c r="R35" s="2">
        <f t="shared" si="4"/>
        <v>33.512857142857143</v>
      </c>
      <c r="S35" s="2">
        <f t="shared" si="5"/>
        <v>7.2893132699603562</v>
      </c>
    </row>
    <row r="36" spans="1:19">
      <c r="A36" t="s">
        <v>76</v>
      </c>
      <c r="B36" t="s">
        <v>30</v>
      </c>
      <c r="C36">
        <v>121</v>
      </c>
      <c r="D36">
        <v>5610</v>
      </c>
      <c r="E36" s="2">
        <v>214.96</v>
      </c>
      <c r="F36">
        <v>23</v>
      </c>
      <c r="G36">
        <v>8</v>
      </c>
      <c r="H36">
        <v>4.5999999999999999E-2</v>
      </c>
      <c r="I36" s="3">
        <v>1505</v>
      </c>
      <c r="J36" s="1">
        <v>45621</v>
      </c>
      <c r="K36" t="s">
        <v>31</v>
      </c>
      <c r="L36" t="s">
        <v>8</v>
      </c>
      <c r="M36" t="s">
        <v>35</v>
      </c>
      <c r="N36" s="1">
        <f t="shared" si="0"/>
        <v>45621</v>
      </c>
      <c r="O36" s="4">
        <f t="shared" si="1"/>
        <v>2.1568627450980392E-2</v>
      </c>
      <c r="P36" s="2">
        <f t="shared" si="2"/>
        <v>1.7765289256198349</v>
      </c>
      <c r="Q36" s="2">
        <f t="shared" si="3"/>
        <v>9.3460869565217397</v>
      </c>
      <c r="R36" s="2">
        <f t="shared" si="4"/>
        <v>26.87</v>
      </c>
      <c r="S36" s="2">
        <f t="shared" si="5"/>
        <v>7.0013025679196126</v>
      </c>
    </row>
    <row r="37" spans="1:19" hidden="1">
      <c r="A37" t="s">
        <v>77</v>
      </c>
      <c r="B37" t="s">
        <v>30</v>
      </c>
      <c r="C37">
        <v>104</v>
      </c>
      <c r="D37">
        <v>5275</v>
      </c>
      <c r="E37" s="2">
        <v>236.48</v>
      </c>
      <c r="F37">
        <v>16</v>
      </c>
      <c r="G37">
        <v>9</v>
      </c>
      <c r="H37">
        <v>3.1E-2</v>
      </c>
      <c r="I37" s="3">
        <v>1824</v>
      </c>
      <c r="J37" s="1">
        <v>45302</v>
      </c>
      <c r="K37" t="s">
        <v>31</v>
      </c>
      <c r="L37" t="s">
        <v>7</v>
      </c>
      <c r="M37" t="s">
        <v>39</v>
      </c>
      <c r="N37" s="1">
        <f t="shared" si="0"/>
        <v>45302</v>
      </c>
      <c r="O37" s="4">
        <f t="shared" si="1"/>
        <v>1.9715639810426542E-2</v>
      </c>
      <c r="P37" s="2">
        <f t="shared" si="2"/>
        <v>2.2738461538461539</v>
      </c>
      <c r="Q37" s="2">
        <f t="shared" si="3"/>
        <v>14.78</v>
      </c>
      <c r="R37" s="2">
        <f t="shared" si="4"/>
        <v>26.275555555555556</v>
      </c>
      <c r="S37" s="2">
        <f t="shared" si="5"/>
        <v>7.7131258457374834</v>
      </c>
    </row>
    <row r="38" spans="1:19" hidden="1">
      <c r="A38" t="s">
        <v>78</v>
      </c>
      <c r="B38" t="s">
        <v>30</v>
      </c>
      <c r="C38">
        <v>146</v>
      </c>
      <c r="D38">
        <v>5939</v>
      </c>
      <c r="E38" s="2">
        <v>242.9</v>
      </c>
      <c r="F38">
        <v>11</v>
      </c>
      <c r="G38">
        <v>8</v>
      </c>
      <c r="H38">
        <v>3.5000000000000003E-2</v>
      </c>
      <c r="I38" s="3">
        <v>1833</v>
      </c>
      <c r="J38" s="1">
        <v>45603</v>
      </c>
      <c r="K38" t="s">
        <v>31</v>
      </c>
      <c r="L38" t="s">
        <v>7</v>
      </c>
      <c r="M38" t="s">
        <v>39</v>
      </c>
      <c r="N38" s="1">
        <f t="shared" si="0"/>
        <v>45603</v>
      </c>
      <c r="O38" s="4">
        <f t="shared" si="1"/>
        <v>2.4583263175618791E-2</v>
      </c>
      <c r="P38" s="2">
        <f t="shared" si="2"/>
        <v>1.6636986301369863</v>
      </c>
      <c r="Q38" s="2">
        <f t="shared" si="3"/>
        <v>22.081818181818182</v>
      </c>
      <c r="R38" s="2">
        <f t="shared" si="4"/>
        <v>30.362500000000001</v>
      </c>
      <c r="S38" s="2">
        <f t="shared" si="5"/>
        <v>7.5463153561136265</v>
      </c>
    </row>
    <row r="39" spans="1:19" hidden="1">
      <c r="A39" t="s">
        <v>79</v>
      </c>
      <c r="B39" t="s">
        <v>30</v>
      </c>
      <c r="C39">
        <v>123</v>
      </c>
      <c r="D39">
        <v>5131</v>
      </c>
      <c r="E39" s="2">
        <v>215.57</v>
      </c>
      <c r="F39">
        <v>19</v>
      </c>
      <c r="G39">
        <v>5</v>
      </c>
      <c r="H39">
        <v>4.1000000000000002E-2</v>
      </c>
      <c r="I39" s="3">
        <v>1307</v>
      </c>
      <c r="J39" s="1">
        <v>45546</v>
      </c>
      <c r="K39" t="s">
        <v>31</v>
      </c>
      <c r="L39" t="s">
        <v>8</v>
      </c>
      <c r="M39" t="s">
        <v>32</v>
      </c>
      <c r="N39" s="1">
        <f t="shared" si="0"/>
        <v>45546</v>
      </c>
      <c r="O39" s="4">
        <f t="shared" si="1"/>
        <v>2.397193529526408E-2</v>
      </c>
      <c r="P39" s="2">
        <f t="shared" si="2"/>
        <v>1.75260162601626</v>
      </c>
      <c r="Q39" s="2">
        <f t="shared" si="3"/>
        <v>11.34578947368421</v>
      </c>
      <c r="R39" s="2">
        <f t="shared" si="4"/>
        <v>43.113999999999997</v>
      </c>
      <c r="S39" s="2">
        <f t="shared" si="5"/>
        <v>6.0629957786333906</v>
      </c>
    </row>
    <row r="40" spans="1:19" hidden="1">
      <c r="A40" t="s">
        <v>80</v>
      </c>
      <c r="B40" t="s">
        <v>30</v>
      </c>
      <c r="C40">
        <v>90</v>
      </c>
      <c r="D40">
        <v>5786</v>
      </c>
      <c r="E40" s="2">
        <v>197.55</v>
      </c>
      <c r="F40">
        <v>11</v>
      </c>
      <c r="G40">
        <v>6</v>
      </c>
      <c r="H40">
        <v>4.2999999999999997E-2</v>
      </c>
      <c r="I40" s="3">
        <v>1704</v>
      </c>
      <c r="J40" s="1" t="s">
        <v>43</v>
      </c>
      <c r="K40" t="s">
        <v>31</v>
      </c>
      <c r="L40" t="s">
        <v>8</v>
      </c>
      <c r="M40" t="s">
        <v>41</v>
      </c>
      <c r="N40" s="1">
        <f t="shared" si="0"/>
        <v>45612</v>
      </c>
      <c r="O40" s="4">
        <f t="shared" si="1"/>
        <v>1.5554787417905289E-2</v>
      </c>
      <c r="P40" s="2">
        <f t="shared" si="2"/>
        <v>2.1950000000000003</v>
      </c>
      <c r="Q40" s="2">
        <f t="shared" si="3"/>
        <v>17.959090909090911</v>
      </c>
      <c r="R40" s="2">
        <f t="shared" si="4"/>
        <v>32.925000000000004</v>
      </c>
      <c r="S40" s="2">
        <f t="shared" si="5"/>
        <v>8.6256643887623383</v>
      </c>
    </row>
    <row r="41" spans="1:19" hidden="1">
      <c r="A41" t="s">
        <v>81</v>
      </c>
      <c r="B41" t="s">
        <v>30</v>
      </c>
      <c r="C41">
        <v>171</v>
      </c>
      <c r="D41">
        <v>4304</v>
      </c>
      <c r="E41" s="2">
        <v>192.61</v>
      </c>
      <c r="F41">
        <v>17</v>
      </c>
      <c r="G41">
        <v>10</v>
      </c>
      <c r="H41">
        <v>5.8000000000000003E-2</v>
      </c>
      <c r="I41" s="3">
        <v>1427</v>
      </c>
      <c r="J41" s="1">
        <v>45622</v>
      </c>
      <c r="K41" t="s">
        <v>31</v>
      </c>
      <c r="L41" t="s">
        <v>8</v>
      </c>
      <c r="M41" t="s">
        <v>32</v>
      </c>
      <c r="N41" s="1">
        <f t="shared" si="0"/>
        <v>45622</v>
      </c>
      <c r="O41" s="4">
        <f t="shared" si="1"/>
        <v>3.9730483271375468E-2</v>
      </c>
      <c r="P41" s="2">
        <f t="shared" si="2"/>
        <v>1.126374269005848</v>
      </c>
      <c r="Q41" s="2">
        <f t="shared" si="3"/>
        <v>11.33</v>
      </c>
      <c r="R41" s="2">
        <f t="shared" si="4"/>
        <v>19.261000000000003</v>
      </c>
      <c r="S41" s="2">
        <f t="shared" si="5"/>
        <v>7.4087534395929593</v>
      </c>
    </row>
    <row r="42" spans="1:19" hidden="1">
      <c r="A42" t="s">
        <v>82</v>
      </c>
      <c r="B42" t="s">
        <v>30</v>
      </c>
      <c r="C42">
        <v>94</v>
      </c>
      <c r="D42">
        <v>5549</v>
      </c>
      <c r="E42" s="2">
        <v>231.23</v>
      </c>
      <c r="F42">
        <v>25</v>
      </c>
      <c r="G42">
        <v>9</v>
      </c>
      <c r="H42">
        <v>9.6000000000000002E-2</v>
      </c>
      <c r="I42" s="3">
        <v>1849</v>
      </c>
      <c r="J42" s="1">
        <v>45608</v>
      </c>
      <c r="K42" t="s">
        <v>31</v>
      </c>
      <c r="L42" t="s">
        <v>8</v>
      </c>
      <c r="M42" t="s">
        <v>39</v>
      </c>
      <c r="N42" s="1">
        <f t="shared" si="0"/>
        <v>45608</v>
      </c>
      <c r="O42" s="4">
        <f t="shared" si="1"/>
        <v>1.6939989187240944E-2</v>
      </c>
      <c r="P42" s="2">
        <f t="shared" si="2"/>
        <v>2.4598936170212764</v>
      </c>
      <c r="Q42" s="2">
        <f t="shared" si="3"/>
        <v>9.2492000000000001</v>
      </c>
      <c r="R42" s="2">
        <f t="shared" si="4"/>
        <v>25.69222222222222</v>
      </c>
      <c r="S42" s="2">
        <f t="shared" si="5"/>
        <v>7.9963672533840766</v>
      </c>
    </row>
    <row r="43" spans="1:19">
      <c r="A43" t="s">
        <v>83</v>
      </c>
      <c r="B43" t="s">
        <v>30</v>
      </c>
      <c r="C43">
        <v>112</v>
      </c>
      <c r="D43">
        <v>4271</v>
      </c>
      <c r="E43" s="2">
        <v>196.07</v>
      </c>
      <c r="F43">
        <v>27</v>
      </c>
      <c r="G43">
        <v>6</v>
      </c>
      <c r="H43">
        <v>4.5999999999999999E-2</v>
      </c>
      <c r="I43" s="3">
        <v>1209</v>
      </c>
      <c r="J43" s="1">
        <v>45610</v>
      </c>
      <c r="K43" t="s">
        <v>31</v>
      </c>
      <c r="L43" t="s">
        <v>7</v>
      </c>
      <c r="M43" t="s">
        <v>37</v>
      </c>
      <c r="N43" s="1">
        <f t="shared" si="0"/>
        <v>45610</v>
      </c>
      <c r="O43" s="4">
        <f t="shared" si="1"/>
        <v>2.6223366892999297E-2</v>
      </c>
      <c r="P43" s="2">
        <f t="shared" si="2"/>
        <v>1.7506249999999999</v>
      </c>
      <c r="Q43" s="2">
        <f t="shared" si="3"/>
        <v>7.2618518518518513</v>
      </c>
      <c r="R43" s="2">
        <f t="shared" si="4"/>
        <v>32.678333333333335</v>
      </c>
      <c r="S43" s="2">
        <f t="shared" si="5"/>
        <v>6.1661651451012398</v>
      </c>
    </row>
    <row r="44" spans="1:19">
      <c r="A44" t="s">
        <v>84</v>
      </c>
      <c r="B44" t="s">
        <v>30</v>
      </c>
      <c r="C44">
        <v>113</v>
      </c>
      <c r="D44">
        <v>4418</v>
      </c>
      <c r="E44" s="2">
        <v>191.55</v>
      </c>
      <c r="F44">
        <v>27</v>
      </c>
      <c r="G44">
        <v>10</v>
      </c>
      <c r="H44">
        <v>4.5999999999999999E-2</v>
      </c>
      <c r="I44" s="3">
        <v>1634</v>
      </c>
      <c r="J44" s="1">
        <v>45605</v>
      </c>
      <c r="K44" t="s">
        <v>31</v>
      </c>
      <c r="L44" t="s">
        <v>8</v>
      </c>
      <c r="M44" t="s">
        <v>35</v>
      </c>
      <c r="N44" s="1">
        <f t="shared" si="0"/>
        <v>45605</v>
      </c>
      <c r="O44" s="4">
        <f t="shared" si="1"/>
        <v>2.5577184246265278E-2</v>
      </c>
      <c r="P44" s="2">
        <f t="shared" si="2"/>
        <v>1.695132743362832</v>
      </c>
      <c r="Q44" s="2">
        <f t="shared" si="3"/>
        <v>7.094444444444445</v>
      </c>
      <c r="R44" s="2">
        <f t="shared" si="4"/>
        <v>19.155000000000001</v>
      </c>
      <c r="S44" s="2">
        <f t="shared" si="5"/>
        <v>8.5304098146697989</v>
      </c>
    </row>
    <row r="45" spans="1:19" hidden="1">
      <c r="A45" t="s">
        <v>85</v>
      </c>
      <c r="B45" t="s">
        <v>30</v>
      </c>
      <c r="C45">
        <v>145</v>
      </c>
      <c r="D45">
        <v>3721</v>
      </c>
      <c r="E45" s="2">
        <v>180.95</v>
      </c>
      <c r="F45">
        <v>21</v>
      </c>
      <c r="G45">
        <v>7</v>
      </c>
      <c r="H45">
        <v>4.8000000000000001E-2</v>
      </c>
      <c r="I45" s="3">
        <v>1960</v>
      </c>
      <c r="J45" s="1" t="s">
        <v>86</v>
      </c>
      <c r="K45" t="s">
        <v>31</v>
      </c>
      <c r="L45" t="s">
        <v>7</v>
      </c>
      <c r="M45" t="s">
        <v>37</v>
      </c>
      <c r="N45" s="1">
        <f t="shared" si="0"/>
        <v>45625</v>
      </c>
      <c r="O45" s="4">
        <f t="shared" si="1"/>
        <v>3.8968019349637194E-2</v>
      </c>
      <c r="P45" s="2">
        <f t="shared" si="2"/>
        <v>1.2479310344827585</v>
      </c>
      <c r="Q45" s="2">
        <f t="shared" si="3"/>
        <v>8.6166666666666654</v>
      </c>
      <c r="R45" s="2">
        <f t="shared" si="4"/>
        <v>25.849999999999998</v>
      </c>
      <c r="S45" s="2">
        <f t="shared" si="5"/>
        <v>10.831721470019342</v>
      </c>
    </row>
    <row r="46" spans="1:19">
      <c r="A46" t="s">
        <v>87</v>
      </c>
      <c r="B46" t="s">
        <v>30</v>
      </c>
      <c r="C46">
        <v>197</v>
      </c>
      <c r="D46">
        <v>5783</v>
      </c>
      <c r="E46" s="2">
        <v>204.46</v>
      </c>
      <c r="F46">
        <v>23</v>
      </c>
      <c r="G46">
        <v>6</v>
      </c>
      <c r="H46">
        <v>4.5999999999999999E-2</v>
      </c>
      <c r="I46" s="3">
        <v>1729</v>
      </c>
      <c r="J46" s="1">
        <v>45302</v>
      </c>
      <c r="K46" t="s">
        <v>31</v>
      </c>
      <c r="L46" t="s">
        <v>9</v>
      </c>
      <c r="M46" t="s">
        <v>39</v>
      </c>
      <c r="N46" s="1">
        <f t="shared" si="0"/>
        <v>45302</v>
      </c>
      <c r="O46" s="4">
        <f t="shared" si="1"/>
        <v>3.4065363997924952E-2</v>
      </c>
      <c r="P46" s="2">
        <f t="shared" si="2"/>
        <v>1.0378680203045685</v>
      </c>
      <c r="Q46" s="2">
        <f t="shared" si="3"/>
        <v>8.8895652173913042</v>
      </c>
      <c r="R46" s="2">
        <f t="shared" si="4"/>
        <v>34.076666666666668</v>
      </c>
      <c r="S46" s="2">
        <f t="shared" si="5"/>
        <v>8.4564217939939343</v>
      </c>
    </row>
    <row r="47" spans="1:19">
      <c r="A47" t="s">
        <v>88</v>
      </c>
      <c r="B47" t="s">
        <v>30</v>
      </c>
      <c r="C47">
        <v>109</v>
      </c>
      <c r="D47">
        <v>4866</v>
      </c>
      <c r="E47" s="2">
        <v>236.78</v>
      </c>
      <c r="F47">
        <v>27</v>
      </c>
      <c r="G47">
        <v>5</v>
      </c>
      <c r="H47">
        <v>4.5999999999999999E-2</v>
      </c>
      <c r="I47" s="3">
        <v>1585</v>
      </c>
      <c r="J47" s="1" t="s">
        <v>89</v>
      </c>
      <c r="K47" t="s">
        <v>31</v>
      </c>
      <c r="L47" t="s">
        <v>8</v>
      </c>
      <c r="M47" t="s">
        <v>41</v>
      </c>
      <c r="N47" s="1">
        <f t="shared" si="0"/>
        <v>45611</v>
      </c>
      <c r="O47" s="4">
        <f t="shared" si="1"/>
        <v>2.240032881216605E-2</v>
      </c>
      <c r="P47" s="2">
        <f t="shared" si="2"/>
        <v>2.1722935779816512</v>
      </c>
      <c r="Q47" s="2">
        <f t="shared" si="3"/>
        <v>8.7696296296296303</v>
      </c>
      <c r="R47" s="2">
        <f t="shared" si="4"/>
        <v>47.356000000000002</v>
      </c>
      <c r="S47" s="2">
        <f t="shared" si="5"/>
        <v>6.693977531886139</v>
      </c>
    </row>
    <row r="48" spans="1:19" hidden="1">
      <c r="A48" t="s">
        <v>90</v>
      </c>
      <c r="B48" t="s">
        <v>30</v>
      </c>
      <c r="C48">
        <v>188</v>
      </c>
      <c r="D48">
        <v>5857</v>
      </c>
      <c r="E48" s="2">
        <v>222.98</v>
      </c>
      <c r="F48">
        <v>20</v>
      </c>
      <c r="G48">
        <v>4</v>
      </c>
      <c r="H48">
        <v>4.8000000000000001E-2</v>
      </c>
      <c r="I48" s="3">
        <v>1303</v>
      </c>
      <c r="J48" s="1">
        <v>45607</v>
      </c>
      <c r="K48" t="s">
        <v>31</v>
      </c>
      <c r="L48" t="s">
        <v>7</v>
      </c>
      <c r="M48" t="s">
        <v>39</v>
      </c>
      <c r="N48" s="1">
        <f t="shared" si="0"/>
        <v>45607</v>
      </c>
      <c r="O48" s="4">
        <f t="shared" si="1"/>
        <v>3.2098343862045416E-2</v>
      </c>
      <c r="P48" s="2">
        <f t="shared" si="2"/>
        <v>1.1860638297872339</v>
      </c>
      <c r="Q48" s="2">
        <f t="shared" si="3"/>
        <v>11.148999999999999</v>
      </c>
      <c r="R48" s="2">
        <f t="shared" si="4"/>
        <v>55.744999999999997</v>
      </c>
      <c r="S48" s="2">
        <f t="shared" si="5"/>
        <v>5.8435734146560234</v>
      </c>
    </row>
    <row r="49" spans="1:19" hidden="1">
      <c r="A49" t="s">
        <v>91</v>
      </c>
      <c r="B49" t="s">
        <v>30</v>
      </c>
      <c r="C49">
        <v>142</v>
      </c>
      <c r="D49">
        <v>5103</v>
      </c>
      <c r="E49" s="2">
        <v>234.1</v>
      </c>
      <c r="F49">
        <v>24</v>
      </c>
      <c r="G49">
        <v>3</v>
      </c>
      <c r="H49">
        <v>2.1000000000000001E-2</v>
      </c>
      <c r="I49" s="3">
        <v>1835</v>
      </c>
      <c r="J49" s="1">
        <v>45604</v>
      </c>
      <c r="K49" t="s">
        <v>31</v>
      </c>
      <c r="L49" t="s">
        <v>8</v>
      </c>
      <c r="M49" t="s">
        <v>46</v>
      </c>
      <c r="N49" s="1">
        <f t="shared" si="0"/>
        <v>45604</v>
      </c>
      <c r="O49" s="4">
        <f t="shared" si="1"/>
        <v>2.7826768567509309E-2</v>
      </c>
      <c r="P49" s="2">
        <f t="shared" si="2"/>
        <v>1.6485915492957746</v>
      </c>
      <c r="Q49" s="2">
        <f t="shared" si="3"/>
        <v>9.7541666666666664</v>
      </c>
      <c r="R49" s="2">
        <f t="shared" si="4"/>
        <v>78.033333333333331</v>
      </c>
      <c r="S49" s="2">
        <f t="shared" si="5"/>
        <v>7.8385305425032037</v>
      </c>
    </row>
    <row r="50" spans="1:19" hidden="1">
      <c r="A50" t="s">
        <v>92</v>
      </c>
      <c r="B50" t="s">
        <v>30</v>
      </c>
      <c r="C50">
        <v>168</v>
      </c>
      <c r="D50">
        <v>4653</v>
      </c>
      <c r="E50" s="2">
        <v>240.84</v>
      </c>
      <c r="F50">
        <v>27</v>
      </c>
      <c r="G50">
        <v>9</v>
      </c>
      <c r="H50">
        <v>5.3999999999999999E-2</v>
      </c>
      <c r="I50" s="3">
        <v>1367</v>
      </c>
      <c r="J50" s="1">
        <v>45620</v>
      </c>
      <c r="K50" t="s">
        <v>31</v>
      </c>
      <c r="L50" t="s">
        <v>8</v>
      </c>
      <c r="M50" t="s">
        <v>41</v>
      </c>
      <c r="N50" s="1">
        <f t="shared" si="0"/>
        <v>45620</v>
      </c>
      <c r="O50" s="4">
        <f t="shared" si="1"/>
        <v>3.6105738233397806E-2</v>
      </c>
      <c r="P50" s="2">
        <f t="shared" si="2"/>
        <v>1.4335714285714285</v>
      </c>
      <c r="Q50" s="2">
        <f t="shared" si="3"/>
        <v>8.92</v>
      </c>
      <c r="R50" s="2">
        <f t="shared" si="4"/>
        <v>26.76</v>
      </c>
      <c r="S50" s="2">
        <f t="shared" si="5"/>
        <v>5.6759674472678956</v>
      </c>
    </row>
    <row r="51" spans="1:19" hidden="1">
      <c r="A51" t="s">
        <v>93</v>
      </c>
      <c r="B51" t="s">
        <v>30</v>
      </c>
      <c r="C51">
        <v>110</v>
      </c>
      <c r="D51">
        <v>3524</v>
      </c>
      <c r="E51" s="2">
        <v>248.86</v>
      </c>
      <c r="F51">
        <v>19</v>
      </c>
      <c r="G51">
        <v>10</v>
      </c>
      <c r="H51">
        <v>9.0999999999999998E-2</v>
      </c>
      <c r="I51" s="3">
        <v>1524</v>
      </c>
      <c r="J51" s="1" t="s">
        <v>94</v>
      </c>
      <c r="K51" t="s">
        <v>31</v>
      </c>
      <c r="L51" t="s">
        <v>8</v>
      </c>
      <c r="M51" t="s">
        <v>32</v>
      </c>
      <c r="N51" s="1">
        <f t="shared" si="0"/>
        <v>45617</v>
      </c>
      <c r="O51" s="4">
        <f t="shared" si="1"/>
        <v>3.1214528944381384E-2</v>
      </c>
      <c r="P51" s="2">
        <f t="shared" si="2"/>
        <v>2.2623636363636366</v>
      </c>
      <c r="Q51" s="2">
        <f t="shared" si="3"/>
        <v>13.097894736842106</v>
      </c>
      <c r="R51" s="2">
        <f t="shared" si="4"/>
        <v>24.886000000000003</v>
      </c>
      <c r="S51" s="2">
        <f t="shared" si="5"/>
        <v>6.1239250984489271</v>
      </c>
    </row>
    <row r="52" spans="1:19" hidden="1">
      <c r="A52" t="s">
        <v>95</v>
      </c>
      <c r="B52" t="s">
        <v>30</v>
      </c>
      <c r="C52">
        <v>192</v>
      </c>
      <c r="D52">
        <v>5938</v>
      </c>
      <c r="E52" s="2">
        <v>182.84</v>
      </c>
      <c r="F52">
        <v>26</v>
      </c>
      <c r="G52">
        <v>5</v>
      </c>
      <c r="H52">
        <v>3.9E-2</v>
      </c>
      <c r="I52" s="3">
        <v>1080</v>
      </c>
      <c r="J52" s="1">
        <v>45608</v>
      </c>
      <c r="K52" t="s">
        <v>31</v>
      </c>
      <c r="L52" t="s">
        <v>8</v>
      </c>
      <c r="M52" t="s">
        <v>46</v>
      </c>
      <c r="N52" s="1">
        <f t="shared" si="0"/>
        <v>45608</v>
      </c>
      <c r="O52" s="4">
        <f t="shared" si="1"/>
        <v>3.2334119232064668E-2</v>
      </c>
      <c r="P52" s="2">
        <f t="shared" si="2"/>
        <v>0.95229166666666665</v>
      </c>
      <c r="Q52" s="2">
        <f t="shared" si="3"/>
        <v>7.0323076923076924</v>
      </c>
      <c r="R52" s="2">
        <f t="shared" si="4"/>
        <v>36.567999999999998</v>
      </c>
      <c r="S52" s="2">
        <f t="shared" si="5"/>
        <v>5.9068037628527676</v>
      </c>
    </row>
    <row r="53" spans="1:19" hidden="1">
      <c r="A53" t="s">
        <v>96</v>
      </c>
      <c r="B53" t="s">
        <v>30</v>
      </c>
      <c r="C53">
        <v>101</v>
      </c>
      <c r="D53">
        <v>3942</v>
      </c>
      <c r="E53" s="2">
        <v>206.62</v>
      </c>
      <c r="F53">
        <v>16</v>
      </c>
      <c r="G53">
        <v>5</v>
      </c>
      <c r="H53">
        <v>0.05</v>
      </c>
      <c r="I53" s="3">
        <v>1746</v>
      </c>
      <c r="J53" s="1">
        <v>45620</v>
      </c>
      <c r="K53" t="s">
        <v>31</v>
      </c>
      <c r="L53" t="s">
        <v>9</v>
      </c>
      <c r="M53" t="s">
        <v>46</v>
      </c>
      <c r="N53" s="1">
        <f t="shared" si="0"/>
        <v>45620</v>
      </c>
      <c r="O53" s="4">
        <f t="shared" si="1"/>
        <v>2.5621511922881784E-2</v>
      </c>
      <c r="P53" s="2">
        <f t="shared" si="2"/>
        <v>2.0457425742574258</v>
      </c>
      <c r="Q53" s="2">
        <f t="shared" si="3"/>
        <v>12.91375</v>
      </c>
      <c r="R53" s="2">
        <f t="shared" si="4"/>
        <v>41.323999999999998</v>
      </c>
      <c r="S53" s="2">
        <f t="shared" si="5"/>
        <v>8.4502952279546992</v>
      </c>
    </row>
    <row r="54" spans="1:19" hidden="1">
      <c r="A54" t="s">
        <v>97</v>
      </c>
      <c r="B54" t="s">
        <v>30</v>
      </c>
      <c r="C54">
        <v>157</v>
      </c>
      <c r="D54">
        <v>3315</v>
      </c>
      <c r="E54" s="2">
        <v>189.56</v>
      </c>
      <c r="F54">
        <v>15</v>
      </c>
      <c r="G54">
        <v>10</v>
      </c>
      <c r="H54">
        <v>6.4000000000000001E-2</v>
      </c>
      <c r="I54" s="3">
        <v>1026</v>
      </c>
      <c r="J54" s="1">
        <v>45621</v>
      </c>
      <c r="K54" t="s">
        <v>31</v>
      </c>
      <c r="L54" t="s">
        <v>8</v>
      </c>
      <c r="M54" t="s">
        <v>41</v>
      </c>
      <c r="N54" s="1">
        <f t="shared" si="0"/>
        <v>45621</v>
      </c>
      <c r="O54" s="4">
        <f t="shared" si="1"/>
        <v>4.73604826546003E-2</v>
      </c>
      <c r="P54" s="2">
        <f t="shared" si="2"/>
        <v>1.2073885350318472</v>
      </c>
      <c r="Q54" s="2">
        <f t="shared" si="3"/>
        <v>12.637333333333334</v>
      </c>
      <c r="R54" s="2">
        <f t="shared" si="4"/>
        <v>18.956</v>
      </c>
      <c r="S54" s="2">
        <f t="shared" si="5"/>
        <v>5.4125342899345856</v>
      </c>
    </row>
    <row r="55" spans="1:19">
      <c r="A55" t="s">
        <v>98</v>
      </c>
      <c r="B55" t="s">
        <v>30</v>
      </c>
      <c r="C55">
        <v>113</v>
      </c>
      <c r="D55">
        <v>4945</v>
      </c>
      <c r="E55" s="2">
        <v>187.66</v>
      </c>
      <c r="F55">
        <v>15</v>
      </c>
      <c r="G55">
        <v>10</v>
      </c>
      <c r="H55">
        <v>4.5999999999999999E-2</v>
      </c>
      <c r="I55" s="3">
        <v>1564</v>
      </c>
      <c r="J55" s="1">
        <v>45622</v>
      </c>
      <c r="K55" t="s">
        <v>31</v>
      </c>
      <c r="L55" t="s">
        <v>9</v>
      </c>
      <c r="M55" t="s">
        <v>32</v>
      </c>
      <c r="N55" s="1">
        <f t="shared" si="0"/>
        <v>45622</v>
      </c>
      <c r="O55" s="4">
        <f t="shared" si="1"/>
        <v>2.2851365015166835E-2</v>
      </c>
      <c r="P55" s="2">
        <f t="shared" si="2"/>
        <v>1.6607079646017699</v>
      </c>
      <c r="Q55" s="2">
        <f t="shared" si="3"/>
        <v>12.510666666666667</v>
      </c>
      <c r="R55" s="2">
        <f t="shared" si="4"/>
        <v>18.765999999999998</v>
      </c>
      <c r="S55" s="2">
        <f t="shared" si="5"/>
        <v>8.3342214643504207</v>
      </c>
    </row>
    <row r="56" spans="1:19" hidden="1">
      <c r="A56" t="s">
        <v>99</v>
      </c>
      <c r="B56" t="s">
        <v>30</v>
      </c>
      <c r="C56">
        <v>96</v>
      </c>
      <c r="D56">
        <v>3166</v>
      </c>
      <c r="E56" s="2">
        <v>196.15</v>
      </c>
      <c r="F56">
        <v>29</v>
      </c>
      <c r="G56">
        <v>7</v>
      </c>
      <c r="H56">
        <v>7.2999999999999995E-2</v>
      </c>
      <c r="I56" s="3">
        <v>1902</v>
      </c>
      <c r="J56" s="1" t="s">
        <v>100</v>
      </c>
      <c r="K56" t="s">
        <v>31</v>
      </c>
      <c r="L56" t="s">
        <v>7</v>
      </c>
      <c r="M56" t="s">
        <v>32</v>
      </c>
      <c r="N56" s="1">
        <f t="shared" si="0"/>
        <v>45622</v>
      </c>
      <c r="O56" s="4">
        <f t="shared" si="1"/>
        <v>3.0322173089071383E-2</v>
      </c>
      <c r="P56" s="2">
        <f t="shared" si="2"/>
        <v>2.0432291666666669</v>
      </c>
      <c r="Q56" s="2">
        <f t="shared" si="3"/>
        <v>6.7637931034482763</v>
      </c>
      <c r="R56" s="2">
        <f t="shared" si="4"/>
        <v>28.021428571428572</v>
      </c>
      <c r="S56" s="2">
        <f t="shared" si="5"/>
        <v>9.6966607188376237</v>
      </c>
    </row>
    <row r="57" spans="1:19">
      <c r="A57" t="s">
        <v>101</v>
      </c>
      <c r="B57" t="s">
        <v>30</v>
      </c>
      <c r="C57">
        <v>125</v>
      </c>
      <c r="D57">
        <v>4223</v>
      </c>
      <c r="E57" s="2">
        <v>183.68</v>
      </c>
      <c r="F57">
        <v>15</v>
      </c>
      <c r="G57">
        <v>6</v>
      </c>
      <c r="H57">
        <v>4.5999999999999999E-2</v>
      </c>
      <c r="I57" s="3">
        <v>1267</v>
      </c>
      <c r="J57" s="1">
        <v>45601</v>
      </c>
      <c r="K57" t="s">
        <v>31</v>
      </c>
      <c r="L57" t="s">
        <v>7</v>
      </c>
      <c r="M57" t="s">
        <v>37</v>
      </c>
      <c r="N57" s="1">
        <f t="shared" si="0"/>
        <v>45601</v>
      </c>
      <c r="O57" s="4">
        <f t="shared" si="1"/>
        <v>2.9599810561212407E-2</v>
      </c>
      <c r="P57">
        <f t="shared" si="2"/>
        <v>1.4694400000000001</v>
      </c>
      <c r="Q57" s="2">
        <f t="shared" si="3"/>
        <v>12.245333333333333</v>
      </c>
      <c r="R57" s="2">
        <f t="shared" si="4"/>
        <v>30.613333333333333</v>
      </c>
      <c r="S57" s="2">
        <f t="shared" si="5"/>
        <v>6.8978658536585362</v>
      </c>
    </row>
    <row r="58" spans="1:19">
      <c r="A58" t="s">
        <v>102</v>
      </c>
      <c r="B58" t="s">
        <v>30</v>
      </c>
      <c r="C58">
        <v>104</v>
      </c>
      <c r="D58">
        <v>4798</v>
      </c>
      <c r="E58" s="2">
        <v>210.1</v>
      </c>
      <c r="F58">
        <v>18</v>
      </c>
      <c r="G58">
        <v>3</v>
      </c>
      <c r="H58">
        <v>4.5999999999999999E-2</v>
      </c>
      <c r="I58" s="3">
        <v>1340</v>
      </c>
      <c r="J58" s="1" t="s">
        <v>94</v>
      </c>
      <c r="K58" t="s">
        <v>31</v>
      </c>
      <c r="L58" t="s">
        <v>7</v>
      </c>
      <c r="M58" t="s">
        <v>46</v>
      </c>
      <c r="N58" s="1">
        <f t="shared" si="0"/>
        <v>45617</v>
      </c>
      <c r="O58" s="4">
        <f t="shared" si="1"/>
        <v>2.1675698207586493E-2</v>
      </c>
      <c r="P58">
        <f t="shared" si="2"/>
        <v>2.0201923076923078</v>
      </c>
      <c r="Q58" s="2">
        <f t="shared" si="3"/>
        <v>11.672222222222222</v>
      </c>
      <c r="R58" s="2">
        <f t="shared" si="4"/>
        <v>70.033333333333331</v>
      </c>
      <c r="S58" s="2">
        <f t="shared" si="5"/>
        <v>6.3779152784388389</v>
      </c>
    </row>
    <row r="59" spans="1:19" hidden="1">
      <c r="A59" t="s">
        <v>103</v>
      </c>
      <c r="B59" t="s">
        <v>30</v>
      </c>
      <c r="C59">
        <v>194</v>
      </c>
      <c r="D59">
        <v>5655</v>
      </c>
      <c r="E59" s="2">
        <v>208.58</v>
      </c>
      <c r="F59">
        <v>13</v>
      </c>
      <c r="G59">
        <v>6</v>
      </c>
      <c r="H59">
        <v>3.1E-2</v>
      </c>
      <c r="I59" s="3">
        <v>1692</v>
      </c>
      <c r="J59" s="1">
        <v>45612</v>
      </c>
      <c r="K59" t="s">
        <v>31</v>
      </c>
      <c r="L59" t="s">
        <v>8</v>
      </c>
      <c r="M59" t="s">
        <v>39</v>
      </c>
      <c r="N59" s="1">
        <f t="shared" si="0"/>
        <v>45612</v>
      </c>
      <c r="O59" s="4">
        <f t="shared" si="1"/>
        <v>3.4305923961096378E-2</v>
      </c>
      <c r="P59">
        <f t="shared" si="2"/>
        <v>1.0751546391752578</v>
      </c>
      <c r="Q59" s="2">
        <f t="shared" si="3"/>
        <v>16.044615384615387</v>
      </c>
      <c r="R59" s="2">
        <f t="shared" si="4"/>
        <v>34.763333333333335</v>
      </c>
      <c r="S59" s="2">
        <f t="shared" si="5"/>
        <v>8.1119953974494194</v>
      </c>
    </row>
    <row r="60" spans="1:19" hidden="1">
      <c r="A60" t="s">
        <v>104</v>
      </c>
      <c r="B60" t="s">
        <v>30</v>
      </c>
      <c r="C60">
        <v>144</v>
      </c>
      <c r="D60">
        <v>5140</v>
      </c>
      <c r="E60" s="2">
        <v>219.48</v>
      </c>
      <c r="F60">
        <v>19</v>
      </c>
      <c r="G60">
        <v>8</v>
      </c>
      <c r="H60">
        <v>4.7E-2</v>
      </c>
      <c r="I60" s="3">
        <v>1054</v>
      </c>
      <c r="J60" s="1" t="s">
        <v>105</v>
      </c>
      <c r="K60" t="s">
        <v>31</v>
      </c>
      <c r="L60" t="s">
        <v>7</v>
      </c>
      <c r="M60" t="s">
        <v>37</v>
      </c>
      <c r="N60" s="1">
        <f t="shared" si="0"/>
        <v>45614</v>
      </c>
      <c r="O60" s="4">
        <f t="shared" si="1"/>
        <v>2.8015564202334631E-2</v>
      </c>
      <c r="P60">
        <f t="shared" si="2"/>
        <v>1.5241666666666667</v>
      </c>
      <c r="Q60" s="2">
        <f t="shared" si="3"/>
        <v>11.551578947368421</v>
      </c>
      <c r="R60" s="2">
        <f t="shared" si="4"/>
        <v>27.434999999999999</v>
      </c>
      <c r="S60" s="2">
        <f t="shared" si="5"/>
        <v>4.8022598870056497</v>
      </c>
    </row>
    <row r="61" spans="1:19" hidden="1">
      <c r="A61" t="s">
        <v>106</v>
      </c>
      <c r="B61" t="s">
        <v>30</v>
      </c>
      <c r="C61">
        <v>179</v>
      </c>
      <c r="D61">
        <v>3025</v>
      </c>
      <c r="E61" s="2">
        <v>238.81</v>
      </c>
      <c r="F61">
        <v>17</v>
      </c>
      <c r="G61">
        <v>3</v>
      </c>
      <c r="H61">
        <v>1.7000000000000001E-2</v>
      </c>
      <c r="I61" s="3">
        <v>1505</v>
      </c>
      <c r="J61" s="1">
        <v>45607</v>
      </c>
      <c r="K61" t="s">
        <v>31</v>
      </c>
      <c r="L61" t="s">
        <v>8</v>
      </c>
      <c r="M61" t="s">
        <v>37</v>
      </c>
      <c r="N61" s="1">
        <f t="shared" si="0"/>
        <v>45607</v>
      </c>
      <c r="O61" s="4">
        <f t="shared" si="1"/>
        <v>5.9173553719008266E-2</v>
      </c>
      <c r="P61">
        <f t="shared" si="2"/>
        <v>1.3341340782122906</v>
      </c>
      <c r="Q61" s="2">
        <f t="shared" si="3"/>
        <v>14.047647058823529</v>
      </c>
      <c r="R61" s="2">
        <f t="shared" si="4"/>
        <v>79.603333333333339</v>
      </c>
      <c r="S61" s="2">
        <f t="shared" si="5"/>
        <v>6.3020811523805538</v>
      </c>
    </row>
    <row r="62" spans="1:19" hidden="1">
      <c r="A62" t="s">
        <v>107</v>
      </c>
      <c r="B62" t="s">
        <v>30</v>
      </c>
      <c r="C62">
        <v>166</v>
      </c>
      <c r="D62">
        <v>5223</v>
      </c>
      <c r="E62" s="2">
        <v>189.76</v>
      </c>
      <c r="F62">
        <v>18</v>
      </c>
      <c r="G62">
        <v>7</v>
      </c>
      <c r="H62">
        <v>4.2000000000000003E-2</v>
      </c>
      <c r="I62" s="3">
        <v>1219</v>
      </c>
      <c r="J62" s="1" t="s">
        <v>43</v>
      </c>
      <c r="K62" t="s">
        <v>31</v>
      </c>
      <c r="L62" t="s">
        <v>9</v>
      </c>
      <c r="M62" t="s">
        <v>35</v>
      </c>
      <c r="N62" s="1">
        <f t="shared" si="0"/>
        <v>45612</v>
      </c>
      <c r="O62" s="4">
        <f t="shared" si="1"/>
        <v>3.1782500478652116E-2</v>
      </c>
      <c r="P62">
        <f t="shared" si="2"/>
        <v>1.1431325301204818</v>
      </c>
      <c r="Q62" s="2">
        <f t="shared" si="3"/>
        <v>10.542222222222222</v>
      </c>
      <c r="R62" s="2">
        <f t="shared" si="4"/>
        <v>27.108571428571427</v>
      </c>
      <c r="S62" s="2">
        <f t="shared" si="5"/>
        <v>6.4239038785834746</v>
      </c>
    </row>
    <row r="63" spans="1:19" hidden="1">
      <c r="A63" t="s">
        <v>108</v>
      </c>
      <c r="B63" t="s">
        <v>30</v>
      </c>
      <c r="C63">
        <v>166</v>
      </c>
      <c r="D63">
        <v>5089</v>
      </c>
      <c r="E63" s="2">
        <v>215.57</v>
      </c>
      <c r="F63">
        <v>26</v>
      </c>
      <c r="G63">
        <v>7</v>
      </c>
      <c r="H63">
        <v>4.2000000000000003E-2</v>
      </c>
      <c r="I63" s="3">
        <v>1946</v>
      </c>
      <c r="J63" s="1">
        <v>45607</v>
      </c>
      <c r="K63" t="s">
        <v>31</v>
      </c>
      <c r="L63" t="s">
        <v>9</v>
      </c>
      <c r="M63" t="s">
        <v>46</v>
      </c>
      <c r="N63" s="1">
        <f t="shared" si="0"/>
        <v>45607</v>
      </c>
      <c r="O63" s="4">
        <f t="shared" si="1"/>
        <v>3.2619375122813911E-2</v>
      </c>
      <c r="P63">
        <f t="shared" si="2"/>
        <v>1.2986144578313252</v>
      </c>
      <c r="Q63" s="2">
        <f t="shared" si="3"/>
        <v>8.2911538461538452</v>
      </c>
      <c r="R63" s="2">
        <f t="shared" si="4"/>
        <v>30.795714285714286</v>
      </c>
      <c r="S63" s="2">
        <f t="shared" si="5"/>
        <v>9.0272301340631813</v>
      </c>
    </row>
    <row r="64" spans="1:19" hidden="1">
      <c r="A64" t="s">
        <v>109</v>
      </c>
      <c r="B64" t="s">
        <v>30</v>
      </c>
      <c r="C64">
        <v>118</v>
      </c>
      <c r="D64">
        <v>5016</v>
      </c>
      <c r="E64" s="2">
        <v>204.31</v>
      </c>
      <c r="F64">
        <v>19</v>
      </c>
      <c r="G64">
        <v>9</v>
      </c>
      <c r="H64">
        <v>4.4999999999999998E-2</v>
      </c>
      <c r="I64" s="3">
        <v>1833</v>
      </c>
      <c r="J64" s="1">
        <v>45604</v>
      </c>
      <c r="K64" t="s">
        <v>31</v>
      </c>
      <c r="L64" t="s">
        <v>7</v>
      </c>
      <c r="M64" t="s">
        <v>46</v>
      </c>
      <c r="N64" s="1">
        <f t="shared" si="0"/>
        <v>45604</v>
      </c>
      <c r="O64" s="4">
        <f t="shared" si="1"/>
        <v>2.3524720893141945E-2</v>
      </c>
      <c r="P64">
        <f t="shared" si="2"/>
        <v>1.7314406779661018</v>
      </c>
      <c r="Q64" s="2">
        <f t="shared" si="3"/>
        <v>10.753157894736843</v>
      </c>
      <c r="R64" s="2">
        <f t="shared" si="4"/>
        <v>22.701111111111111</v>
      </c>
      <c r="S64" s="2">
        <f t="shared" si="5"/>
        <v>8.9716607116636489</v>
      </c>
    </row>
    <row r="65" spans="1:19" hidden="1">
      <c r="A65" t="s">
        <v>110</v>
      </c>
      <c r="B65" t="s">
        <v>30</v>
      </c>
      <c r="C65">
        <v>185</v>
      </c>
      <c r="D65">
        <v>3617</v>
      </c>
      <c r="E65" s="2">
        <v>222.32</v>
      </c>
      <c r="F65">
        <v>24</v>
      </c>
      <c r="G65">
        <v>7</v>
      </c>
      <c r="H65">
        <v>3.7999999999999999E-2</v>
      </c>
      <c r="I65" s="3">
        <v>1963</v>
      </c>
      <c r="J65" s="1" t="s">
        <v>111</v>
      </c>
      <c r="K65" t="s">
        <v>31</v>
      </c>
      <c r="L65" t="s">
        <v>8</v>
      </c>
      <c r="M65" t="s">
        <v>35</v>
      </c>
      <c r="N65" s="1">
        <f t="shared" si="0"/>
        <v>45619</v>
      </c>
      <c r="O65" s="4">
        <f t="shared" si="1"/>
        <v>5.114735969035112E-2</v>
      </c>
      <c r="P65">
        <f t="shared" si="2"/>
        <v>1.2017297297297298</v>
      </c>
      <c r="Q65" s="2">
        <f t="shared" si="3"/>
        <v>9.2633333333333336</v>
      </c>
      <c r="R65" s="2">
        <f t="shared" si="4"/>
        <v>31.759999999999998</v>
      </c>
      <c r="S65" s="2">
        <f t="shared" si="5"/>
        <v>8.8296149694134591</v>
      </c>
    </row>
    <row r="66" spans="1:19" hidden="1">
      <c r="A66" t="s">
        <v>112</v>
      </c>
      <c r="B66" t="s">
        <v>30</v>
      </c>
      <c r="C66">
        <v>116</v>
      </c>
      <c r="D66">
        <v>3764</v>
      </c>
      <c r="E66" s="2">
        <v>232.03</v>
      </c>
      <c r="F66">
        <v>28</v>
      </c>
      <c r="G66">
        <v>10</v>
      </c>
      <c r="H66">
        <v>8.5999999999999993E-2</v>
      </c>
      <c r="I66" s="3">
        <v>1348</v>
      </c>
      <c r="J66" s="1">
        <v>45616</v>
      </c>
      <c r="K66" t="s">
        <v>31</v>
      </c>
      <c r="L66" t="s">
        <v>9</v>
      </c>
      <c r="M66" t="s">
        <v>35</v>
      </c>
      <c r="N66" s="1">
        <f t="shared" ref="N66:N129" si="6">IF(A66="","",IF(ISNUMBER(J66),J66,IF(MID(J66,5,1)="-",DATE(LEFT(J66,4),MID(J66,6,2),RIGHT(J66,2)),IF(MID(J66,5,1)="/",DATE(LEFT(J66,4),MID(J66,6,2),RIGHT(J66,2)),DATE(RIGHT(J66,4),MID(J66,4,2),LEFT(J66,2))))))</f>
        <v>45616</v>
      </c>
      <c r="O66" s="4">
        <f t="shared" ref="O66:O129" si="7">IFERROR(C66/D66,0)</f>
        <v>3.0818278427205102E-2</v>
      </c>
      <c r="P66">
        <f t="shared" ref="P66:P129" si="8">IFERROR(E66/C66,0)</f>
        <v>2.0002586206896553</v>
      </c>
      <c r="Q66" s="2">
        <f t="shared" ref="Q66:Q129" si="9">IFERROR(E66/F66,0)</f>
        <v>8.2867857142857151</v>
      </c>
      <c r="R66" s="2">
        <f t="shared" ref="R66:R129" si="10">IFERROR(E66/G66,0)</f>
        <v>23.202999999999999</v>
      </c>
      <c r="S66" s="2">
        <f t="shared" ref="S66:S129" si="11">IFERROR(I66/E66,0)</f>
        <v>5.8095935870361588</v>
      </c>
    </row>
    <row r="67" spans="1:19" hidden="1">
      <c r="A67" t="s">
        <v>113</v>
      </c>
      <c r="B67" t="s">
        <v>30</v>
      </c>
      <c r="C67">
        <v>99</v>
      </c>
      <c r="D67">
        <v>4489</v>
      </c>
      <c r="E67" s="2">
        <v>183.73</v>
      </c>
      <c r="F67">
        <v>15</v>
      </c>
      <c r="G67">
        <v>6</v>
      </c>
      <c r="H67">
        <v>6.0999999999999999E-2</v>
      </c>
      <c r="I67" s="3">
        <v>1264</v>
      </c>
      <c r="J67" s="1">
        <v>45601</v>
      </c>
      <c r="K67" t="s">
        <v>31</v>
      </c>
      <c r="L67" t="s">
        <v>7</v>
      </c>
      <c r="M67" t="s">
        <v>41</v>
      </c>
      <c r="N67" s="1">
        <f t="shared" si="6"/>
        <v>45601</v>
      </c>
      <c r="O67" s="4">
        <f t="shared" si="7"/>
        <v>2.2053909556694142E-2</v>
      </c>
      <c r="P67">
        <f t="shared" si="8"/>
        <v>1.8558585858585857</v>
      </c>
      <c r="Q67" s="2">
        <f t="shared" si="9"/>
        <v>12.248666666666667</v>
      </c>
      <c r="R67" s="2">
        <f t="shared" si="10"/>
        <v>30.621666666666666</v>
      </c>
      <c r="S67" s="2">
        <f t="shared" si="11"/>
        <v>6.8796603711968656</v>
      </c>
    </row>
    <row r="68" spans="1:19" hidden="1">
      <c r="A68" t="s">
        <v>114</v>
      </c>
      <c r="B68" t="s">
        <v>30</v>
      </c>
      <c r="C68">
        <v>172</v>
      </c>
      <c r="D68">
        <v>4441</v>
      </c>
      <c r="E68" s="2">
        <v>221.18</v>
      </c>
      <c r="F68">
        <v>14</v>
      </c>
      <c r="G68">
        <v>8</v>
      </c>
      <c r="H68">
        <v>4.7E-2</v>
      </c>
      <c r="I68" s="3">
        <v>1771</v>
      </c>
      <c r="J68" s="1" t="s">
        <v>115</v>
      </c>
      <c r="K68" t="s">
        <v>31</v>
      </c>
      <c r="L68" t="s">
        <v>8</v>
      </c>
      <c r="M68" t="s">
        <v>46</v>
      </c>
      <c r="N68" s="1">
        <f t="shared" si="6"/>
        <v>45623</v>
      </c>
      <c r="O68" s="4">
        <f t="shared" si="7"/>
        <v>3.8730015762215714E-2</v>
      </c>
      <c r="P68">
        <f t="shared" si="8"/>
        <v>1.2859302325581397</v>
      </c>
      <c r="Q68" s="2">
        <f t="shared" si="9"/>
        <v>15.79857142857143</v>
      </c>
      <c r="R68" s="2">
        <f t="shared" si="10"/>
        <v>27.647500000000001</v>
      </c>
      <c r="S68" s="2">
        <f t="shared" si="11"/>
        <v>8.0070530789402294</v>
      </c>
    </row>
    <row r="69" spans="1:19" hidden="1">
      <c r="A69" t="s">
        <v>116</v>
      </c>
      <c r="B69" t="s">
        <v>30</v>
      </c>
      <c r="C69">
        <v>138</v>
      </c>
      <c r="D69">
        <v>5751</v>
      </c>
      <c r="E69" s="2">
        <v>199.11</v>
      </c>
      <c r="F69">
        <v>26</v>
      </c>
      <c r="G69">
        <v>9</v>
      </c>
      <c r="H69">
        <v>5.1999999999999998E-2</v>
      </c>
      <c r="I69" s="3">
        <v>1337</v>
      </c>
      <c r="J69" s="1">
        <v>45606</v>
      </c>
      <c r="K69" t="s">
        <v>31</v>
      </c>
      <c r="L69" t="s">
        <v>7</v>
      </c>
      <c r="M69" t="s">
        <v>37</v>
      </c>
      <c r="N69" s="1">
        <f t="shared" si="6"/>
        <v>45606</v>
      </c>
      <c r="O69" s="4">
        <f t="shared" si="7"/>
        <v>2.3995826812728223E-2</v>
      </c>
      <c r="P69">
        <f t="shared" si="8"/>
        <v>1.4428260869565219</v>
      </c>
      <c r="Q69" s="2">
        <f t="shared" si="9"/>
        <v>7.6580769230769237</v>
      </c>
      <c r="R69" s="2">
        <f t="shared" si="10"/>
        <v>22.123333333333335</v>
      </c>
      <c r="S69" s="2">
        <f t="shared" si="11"/>
        <v>6.7148812214353866</v>
      </c>
    </row>
    <row r="70" spans="1:19" hidden="1">
      <c r="A70" t="s">
        <v>117</v>
      </c>
      <c r="B70" t="s">
        <v>30</v>
      </c>
      <c r="C70">
        <v>84</v>
      </c>
      <c r="D70">
        <v>4036</v>
      </c>
      <c r="E70" s="2">
        <v>234.22</v>
      </c>
      <c r="F70">
        <v>23</v>
      </c>
      <c r="G70">
        <v>10</v>
      </c>
      <c r="H70">
        <v>0.11899999999999999</v>
      </c>
      <c r="I70" s="3">
        <v>1287</v>
      </c>
      <c r="J70" s="1">
        <v>45393</v>
      </c>
      <c r="K70" t="s">
        <v>31</v>
      </c>
      <c r="L70" t="s">
        <v>7</v>
      </c>
      <c r="M70" t="s">
        <v>32</v>
      </c>
      <c r="N70" s="1">
        <f t="shared" si="6"/>
        <v>45393</v>
      </c>
      <c r="O70" s="4">
        <f t="shared" si="7"/>
        <v>2.0812685827552031E-2</v>
      </c>
      <c r="P70">
        <f t="shared" si="8"/>
        <v>2.7883333333333331</v>
      </c>
      <c r="Q70" s="2">
        <f t="shared" si="9"/>
        <v>10.183478260869565</v>
      </c>
      <c r="R70" s="2">
        <f t="shared" si="10"/>
        <v>23.422000000000001</v>
      </c>
      <c r="S70" s="2">
        <f t="shared" si="11"/>
        <v>5.4948339168303306</v>
      </c>
    </row>
    <row r="71" spans="1:19" hidden="1">
      <c r="A71" t="s">
        <v>118</v>
      </c>
      <c r="B71" t="s">
        <v>30</v>
      </c>
      <c r="C71">
        <v>124</v>
      </c>
      <c r="D71">
        <v>4942</v>
      </c>
      <c r="E71" s="2">
        <v>240.59</v>
      </c>
      <c r="F71">
        <v>18</v>
      </c>
      <c r="G71">
        <v>3</v>
      </c>
      <c r="H71">
        <v>2.4E-2</v>
      </c>
      <c r="I71" s="3">
        <v>1922</v>
      </c>
      <c r="J71" s="1">
        <v>45612</v>
      </c>
      <c r="K71" t="s">
        <v>31</v>
      </c>
      <c r="L71" t="s">
        <v>7</v>
      </c>
      <c r="M71" t="s">
        <v>32</v>
      </c>
      <c r="N71" s="1">
        <f t="shared" si="6"/>
        <v>45612</v>
      </c>
      <c r="O71" s="4">
        <f t="shared" si="7"/>
        <v>2.5091056252529342E-2</v>
      </c>
      <c r="P71">
        <f t="shared" si="8"/>
        <v>1.9402419354838709</v>
      </c>
      <c r="Q71" s="2">
        <f t="shared" si="9"/>
        <v>13.366111111111111</v>
      </c>
      <c r="R71" s="2">
        <f t="shared" si="10"/>
        <v>80.196666666666673</v>
      </c>
      <c r="S71" s="2">
        <f t="shared" si="11"/>
        <v>7.9886944594538427</v>
      </c>
    </row>
    <row r="72" spans="1:19" hidden="1">
      <c r="A72" t="s">
        <v>119</v>
      </c>
      <c r="B72" t="s">
        <v>30</v>
      </c>
      <c r="C72">
        <v>122</v>
      </c>
      <c r="D72">
        <v>4989</v>
      </c>
      <c r="E72" s="2">
        <v>215.48</v>
      </c>
      <c r="F72">
        <v>12</v>
      </c>
      <c r="G72">
        <v>5</v>
      </c>
      <c r="H72">
        <v>4.1000000000000002E-2</v>
      </c>
      <c r="I72" s="3">
        <v>1975</v>
      </c>
      <c r="J72" s="1">
        <v>45602</v>
      </c>
      <c r="K72" t="s">
        <v>31</v>
      </c>
      <c r="L72" t="s">
        <v>8</v>
      </c>
      <c r="M72" t="s">
        <v>37</v>
      </c>
      <c r="N72" s="1">
        <f t="shared" si="6"/>
        <v>45602</v>
      </c>
      <c r="O72" s="4">
        <f t="shared" si="7"/>
        <v>2.4453798356384046E-2</v>
      </c>
      <c r="P72">
        <f t="shared" si="8"/>
        <v>1.7662295081967212</v>
      </c>
      <c r="Q72" s="2">
        <f t="shared" si="9"/>
        <v>17.956666666666667</v>
      </c>
      <c r="R72" s="2">
        <f t="shared" si="10"/>
        <v>43.095999999999997</v>
      </c>
      <c r="S72" s="2">
        <f t="shared" si="11"/>
        <v>9.1655838128828666</v>
      </c>
    </row>
    <row r="73" spans="1:19" hidden="1">
      <c r="A73" t="s">
        <v>120</v>
      </c>
      <c r="B73" t="s">
        <v>30</v>
      </c>
      <c r="C73">
        <v>180</v>
      </c>
      <c r="D73">
        <v>3006</v>
      </c>
      <c r="E73" s="2">
        <v>228.14</v>
      </c>
      <c r="F73">
        <v>22</v>
      </c>
      <c r="G73">
        <v>7</v>
      </c>
      <c r="H73">
        <v>3.9E-2</v>
      </c>
      <c r="I73" s="3">
        <v>1556</v>
      </c>
      <c r="J73" s="1">
        <v>45600</v>
      </c>
      <c r="K73" t="s">
        <v>31</v>
      </c>
      <c r="L73" t="s">
        <v>9</v>
      </c>
      <c r="M73" t="s">
        <v>32</v>
      </c>
      <c r="N73" s="1">
        <f t="shared" si="6"/>
        <v>45600</v>
      </c>
      <c r="O73" s="4">
        <f t="shared" si="7"/>
        <v>5.9880239520958084E-2</v>
      </c>
      <c r="P73">
        <f t="shared" si="8"/>
        <v>1.2674444444444444</v>
      </c>
      <c r="Q73" s="2">
        <f t="shared" si="9"/>
        <v>10.37</v>
      </c>
      <c r="R73" s="2">
        <f t="shared" si="10"/>
        <v>32.591428571428573</v>
      </c>
      <c r="S73" s="2">
        <f t="shared" si="11"/>
        <v>6.8203734548961172</v>
      </c>
    </row>
    <row r="74" spans="1:19">
      <c r="A74" t="s">
        <v>121</v>
      </c>
      <c r="B74" t="s">
        <v>30</v>
      </c>
      <c r="C74">
        <v>133</v>
      </c>
      <c r="D74">
        <v>3728</v>
      </c>
      <c r="E74" s="2">
        <v>199.13</v>
      </c>
      <c r="F74">
        <v>11</v>
      </c>
      <c r="G74">
        <v>10</v>
      </c>
      <c r="H74">
        <v>4.5999999999999999E-2</v>
      </c>
      <c r="I74" s="3">
        <v>1505</v>
      </c>
      <c r="J74" s="1">
        <v>45605</v>
      </c>
      <c r="K74" t="s">
        <v>31</v>
      </c>
      <c r="L74" t="s">
        <v>7</v>
      </c>
      <c r="M74" t="s">
        <v>37</v>
      </c>
      <c r="N74" s="1">
        <f t="shared" si="6"/>
        <v>45605</v>
      </c>
      <c r="O74" s="4">
        <f t="shared" si="7"/>
        <v>3.5675965665236051E-2</v>
      </c>
      <c r="P74">
        <f t="shared" si="8"/>
        <v>1.4972180451127819</v>
      </c>
      <c r="Q74" s="2">
        <f t="shared" si="9"/>
        <v>18.102727272727272</v>
      </c>
      <c r="R74" s="2">
        <f t="shared" si="10"/>
        <v>19.913</v>
      </c>
      <c r="S74" s="2">
        <f t="shared" si="11"/>
        <v>7.5578767639230655</v>
      </c>
    </row>
    <row r="75" spans="1:19" hidden="1">
      <c r="A75" t="s">
        <v>122</v>
      </c>
      <c r="B75" t="s">
        <v>30</v>
      </c>
      <c r="C75">
        <v>164</v>
      </c>
      <c r="D75">
        <v>3734</v>
      </c>
      <c r="E75" s="2">
        <v>225.39</v>
      </c>
      <c r="F75">
        <v>27</v>
      </c>
      <c r="G75">
        <v>8</v>
      </c>
      <c r="H75">
        <v>0.04</v>
      </c>
      <c r="I75" s="3">
        <v>1728</v>
      </c>
      <c r="J75" s="1">
        <v>45637</v>
      </c>
      <c r="K75" t="s">
        <v>31</v>
      </c>
      <c r="L75" t="s">
        <v>9</v>
      </c>
      <c r="M75" t="s">
        <v>32</v>
      </c>
      <c r="N75" s="1">
        <f t="shared" si="6"/>
        <v>45637</v>
      </c>
      <c r="O75" s="4">
        <f t="shared" si="7"/>
        <v>4.3920728441349761E-2</v>
      </c>
      <c r="P75">
        <f t="shared" si="8"/>
        <v>1.3743292682926829</v>
      </c>
      <c r="Q75" s="2">
        <f t="shared" si="9"/>
        <v>8.3477777777777771</v>
      </c>
      <c r="R75" s="2">
        <f t="shared" si="10"/>
        <v>28.173749999999998</v>
      </c>
      <c r="S75" s="2">
        <f t="shared" si="11"/>
        <v>7.6667110342073741</v>
      </c>
    </row>
    <row r="76" spans="1:19" hidden="1">
      <c r="A76" t="s">
        <v>123</v>
      </c>
      <c r="B76" t="s">
        <v>30</v>
      </c>
      <c r="C76">
        <v>150</v>
      </c>
      <c r="D76">
        <v>4621</v>
      </c>
      <c r="E76" s="2">
        <v>246.3</v>
      </c>
      <c r="F76">
        <v>15</v>
      </c>
      <c r="G76">
        <v>6</v>
      </c>
      <c r="H76">
        <v>4.9000000000000002E-2</v>
      </c>
      <c r="I76" s="3">
        <v>1554</v>
      </c>
      <c r="J76" s="1">
        <v>45605</v>
      </c>
      <c r="K76" t="s">
        <v>31</v>
      </c>
      <c r="L76" t="s">
        <v>7</v>
      </c>
      <c r="M76" t="s">
        <v>37</v>
      </c>
      <c r="N76" s="1">
        <f t="shared" si="6"/>
        <v>45605</v>
      </c>
      <c r="O76" s="4">
        <f t="shared" si="7"/>
        <v>3.2460506383899586E-2</v>
      </c>
      <c r="P76">
        <f t="shared" si="8"/>
        <v>1.6420000000000001</v>
      </c>
      <c r="Q76" s="2">
        <f t="shared" si="9"/>
        <v>16.420000000000002</v>
      </c>
      <c r="R76" s="2">
        <f t="shared" si="10"/>
        <v>41.050000000000004</v>
      </c>
      <c r="S76" s="2">
        <f t="shared" si="11"/>
        <v>6.309378806333739</v>
      </c>
    </row>
    <row r="77" spans="1:19" hidden="1">
      <c r="A77" t="s">
        <v>124</v>
      </c>
      <c r="B77" t="s">
        <v>30</v>
      </c>
      <c r="C77">
        <v>97</v>
      </c>
      <c r="D77">
        <v>3212</v>
      </c>
      <c r="E77" s="2">
        <v>212.55</v>
      </c>
      <c r="F77">
        <v>27</v>
      </c>
      <c r="G77">
        <v>10</v>
      </c>
      <c r="H77">
        <v>0.10299999999999999</v>
      </c>
      <c r="I77" s="3">
        <v>1994</v>
      </c>
      <c r="J77" s="1" t="s">
        <v>111</v>
      </c>
      <c r="K77" t="s">
        <v>31</v>
      </c>
      <c r="L77" t="s">
        <v>7</v>
      </c>
      <c r="M77" t="s">
        <v>46</v>
      </c>
      <c r="N77" s="1">
        <f t="shared" si="6"/>
        <v>45619</v>
      </c>
      <c r="O77" s="4">
        <f t="shared" si="7"/>
        <v>3.0199252801992527E-2</v>
      </c>
      <c r="P77">
        <f t="shared" si="8"/>
        <v>2.1912371134020621</v>
      </c>
      <c r="Q77" s="2">
        <f t="shared" si="9"/>
        <v>7.8722222222222227</v>
      </c>
      <c r="R77" s="2">
        <f t="shared" si="10"/>
        <v>21.255000000000003</v>
      </c>
      <c r="S77" s="2">
        <f t="shared" si="11"/>
        <v>9.381322041872501</v>
      </c>
    </row>
    <row r="78" spans="1:19" hidden="1">
      <c r="A78" t="s">
        <v>125</v>
      </c>
      <c r="B78" t="s">
        <v>30</v>
      </c>
      <c r="C78">
        <v>128</v>
      </c>
      <c r="D78">
        <v>4225</v>
      </c>
      <c r="E78" s="2">
        <v>228.24</v>
      </c>
      <c r="F78">
        <v>30</v>
      </c>
      <c r="G78">
        <v>4</v>
      </c>
      <c r="H78">
        <v>3.1E-2</v>
      </c>
      <c r="I78" s="3">
        <v>1618</v>
      </c>
      <c r="J78" s="1">
        <v>45604</v>
      </c>
      <c r="K78" t="s">
        <v>31</v>
      </c>
      <c r="L78" t="s">
        <v>8</v>
      </c>
      <c r="M78" t="s">
        <v>32</v>
      </c>
      <c r="N78" s="1">
        <f t="shared" si="6"/>
        <v>45604</v>
      </c>
      <c r="O78" s="4">
        <f t="shared" si="7"/>
        <v>3.029585798816568E-2</v>
      </c>
      <c r="P78">
        <f t="shared" si="8"/>
        <v>1.7831250000000001</v>
      </c>
      <c r="Q78" s="2">
        <f t="shared" si="9"/>
        <v>7.6080000000000005</v>
      </c>
      <c r="R78" s="2">
        <f t="shared" si="10"/>
        <v>57.06</v>
      </c>
      <c r="S78" s="2">
        <f t="shared" si="11"/>
        <v>7.0890290921836661</v>
      </c>
    </row>
    <row r="79" spans="1:19" hidden="1">
      <c r="A79" t="s">
        <v>126</v>
      </c>
      <c r="B79" t="s">
        <v>30</v>
      </c>
      <c r="C79">
        <v>99</v>
      </c>
      <c r="D79">
        <v>4779</v>
      </c>
      <c r="E79" s="2">
        <v>233.78</v>
      </c>
      <c r="F79">
        <v>26</v>
      </c>
      <c r="G79">
        <v>10</v>
      </c>
      <c r="H79">
        <v>0.10100000000000001</v>
      </c>
      <c r="I79" s="3">
        <v>1086</v>
      </c>
      <c r="J79" s="1">
        <v>45601</v>
      </c>
      <c r="K79" t="s">
        <v>31</v>
      </c>
      <c r="L79" t="s">
        <v>7</v>
      </c>
      <c r="M79" t="s">
        <v>41</v>
      </c>
      <c r="N79" s="1">
        <f t="shared" si="6"/>
        <v>45601</v>
      </c>
      <c r="O79" s="4">
        <f t="shared" si="7"/>
        <v>2.0715630885122412E-2</v>
      </c>
      <c r="P79">
        <f t="shared" si="8"/>
        <v>2.3614141414141416</v>
      </c>
      <c r="Q79" s="2">
        <f t="shared" si="9"/>
        <v>8.991538461538461</v>
      </c>
      <c r="R79" s="2">
        <f t="shared" si="10"/>
        <v>23.378</v>
      </c>
      <c r="S79" s="2">
        <f t="shared" si="11"/>
        <v>4.6453931046282833</v>
      </c>
    </row>
    <row r="80" spans="1:19" hidden="1">
      <c r="A80" t="s">
        <v>127</v>
      </c>
      <c r="B80" t="s">
        <v>30</v>
      </c>
      <c r="C80">
        <v>86</v>
      </c>
      <c r="D80">
        <v>5352</v>
      </c>
      <c r="E80" s="2">
        <v>234.05</v>
      </c>
      <c r="F80">
        <v>11</v>
      </c>
      <c r="G80">
        <v>5</v>
      </c>
      <c r="H80">
        <v>5.8000000000000003E-2</v>
      </c>
      <c r="I80" s="3">
        <v>1364</v>
      </c>
      <c r="J80" s="1">
        <v>45605</v>
      </c>
      <c r="K80" t="s">
        <v>31</v>
      </c>
      <c r="L80" t="s">
        <v>9</v>
      </c>
      <c r="M80" t="s">
        <v>41</v>
      </c>
      <c r="N80" s="1">
        <f t="shared" si="6"/>
        <v>45605</v>
      </c>
      <c r="O80" s="4">
        <f t="shared" si="7"/>
        <v>1.6068759342301942E-2</v>
      </c>
      <c r="P80">
        <f t="shared" si="8"/>
        <v>2.7215116279069771</v>
      </c>
      <c r="Q80" s="2">
        <f t="shared" si="9"/>
        <v>21.277272727272727</v>
      </c>
      <c r="R80" s="2">
        <f t="shared" si="10"/>
        <v>46.81</v>
      </c>
      <c r="S80" s="2">
        <f t="shared" si="11"/>
        <v>5.8278145695364234</v>
      </c>
    </row>
    <row r="81" spans="1:19" hidden="1">
      <c r="A81" t="s">
        <v>128</v>
      </c>
      <c r="B81" t="s">
        <v>30</v>
      </c>
      <c r="C81">
        <v>118</v>
      </c>
      <c r="D81">
        <v>5405</v>
      </c>
      <c r="E81" s="2">
        <v>187.28</v>
      </c>
      <c r="F81">
        <v>25</v>
      </c>
      <c r="G81">
        <v>7</v>
      </c>
      <c r="H81">
        <v>5.8000000000000003E-2</v>
      </c>
      <c r="I81" s="3">
        <v>1836</v>
      </c>
      <c r="J81" s="1">
        <v>45601</v>
      </c>
      <c r="K81" t="s">
        <v>31</v>
      </c>
      <c r="L81" t="s">
        <v>9</v>
      </c>
      <c r="M81" t="s">
        <v>46</v>
      </c>
      <c r="N81" s="1">
        <f t="shared" si="6"/>
        <v>45601</v>
      </c>
      <c r="O81" s="4">
        <f t="shared" si="7"/>
        <v>2.183163737280296E-2</v>
      </c>
      <c r="P81">
        <f t="shared" si="8"/>
        <v>1.5871186440677967</v>
      </c>
      <c r="Q81" s="2">
        <f t="shared" si="9"/>
        <v>7.4912000000000001</v>
      </c>
      <c r="R81" s="2">
        <f t="shared" si="10"/>
        <v>26.754285714285714</v>
      </c>
      <c r="S81" s="2">
        <f t="shared" si="11"/>
        <v>9.8035027765912002</v>
      </c>
    </row>
    <row r="82" spans="1:19" hidden="1">
      <c r="A82" t="s">
        <v>129</v>
      </c>
      <c r="B82" t="s">
        <v>30</v>
      </c>
      <c r="C82">
        <v>127</v>
      </c>
      <c r="D82">
        <v>5430</v>
      </c>
      <c r="E82" s="2">
        <v>199.13</v>
      </c>
      <c r="F82">
        <v>14</v>
      </c>
      <c r="G82">
        <v>6</v>
      </c>
      <c r="H82">
        <v>4.7E-2</v>
      </c>
      <c r="I82" s="3">
        <v>1932</v>
      </c>
      <c r="J82" s="1">
        <v>45621</v>
      </c>
      <c r="K82" t="s">
        <v>31</v>
      </c>
      <c r="L82" t="s">
        <v>8</v>
      </c>
      <c r="M82" t="s">
        <v>46</v>
      </c>
      <c r="N82" s="1">
        <f t="shared" si="6"/>
        <v>45621</v>
      </c>
      <c r="O82" s="4">
        <f t="shared" si="7"/>
        <v>2.3388581952117862E-2</v>
      </c>
      <c r="P82">
        <f t="shared" si="8"/>
        <v>1.5679527559055118</v>
      </c>
      <c r="Q82" s="2">
        <f t="shared" si="9"/>
        <v>14.223571428571429</v>
      </c>
      <c r="R82" s="2">
        <f t="shared" si="10"/>
        <v>33.188333333333333</v>
      </c>
      <c r="S82" s="2">
        <f t="shared" si="11"/>
        <v>9.7022045899663532</v>
      </c>
    </row>
    <row r="83" spans="1:19" hidden="1">
      <c r="A83" t="s">
        <v>130</v>
      </c>
      <c r="B83" t="s">
        <v>30</v>
      </c>
      <c r="C83">
        <v>83</v>
      </c>
      <c r="D83">
        <v>4808</v>
      </c>
      <c r="E83" s="2">
        <v>241.35</v>
      </c>
      <c r="F83">
        <v>20</v>
      </c>
      <c r="G83">
        <v>7</v>
      </c>
      <c r="H83">
        <v>8.4000000000000005E-2</v>
      </c>
      <c r="I83" s="3">
        <v>1038</v>
      </c>
      <c r="J83" s="1" t="s">
        <v>64</v>
      </c>
      <c r="K83" t="s">
        <v>31</v>
      </c>
      <c r="L83" t="s">
        <v>8</v>
      </c>
      <c r="M83" t="s">
        <v>32</v>
      </c>
      <c r="N83" s="1">
        <f t="shared" si="6"/>
        <v>45626</v>
      </c>
      <c r="O83" s="4">
        <f t="shared" si="7"/>
        <v>1.7262895174708817E-2</v>
      </c>
      <c r="P83">
        <f t="shared" si="8"/>
        <v>2.9078313253012049</v>
      </c>
      <c r="Q83" s="2">
        <f t="shared" si="9"/>
        <v>12.067499999999999</v>
      </c>
      <c r="R83" s="2">
        <f t="shared" si="10"/>
        <v>34.478571428571428</v>
      </c>
      <c r="S83" s="2">
        <f t="shared" si="11"/>
        <v>4.3008079552517096</v>
      </c>
    </row>
    <row r="84" spans="1:19">
      <c r="A84" t="s">
        <v>131</v>
      </c>
      <c r="B84" t="s">
        <v>30</v>
      </c>
      <c r="C84">
        <v>149</v>
      </c>
      <c r="D84">
        <v>3587</v>
      </c>
      <c r="E84" s="2">
        <v>217.53</v>
      </c>
      <c r="F84">
        <v>23</v>
      </c>
      <c r="G84">
        <v>8</v>
      </c>
      <c r="H84">
        <v>4.5999999999999999E-2</v>
      </c>
      <c r="I84" s="3">
        <v>1505</v>
      </c>
      <c r="J84" s="1" t="s">
        <v>132</v>
      </c>
      <c r="K84" t="s">
        <v>31</v>
      </c>
      <c r="L84" t="s">
        <v>8</v>
      </c>
      <c r="M84" t="s">
        <v>37</v>
      </c>
      <c r="N84" s="1">
        <f t="shared" si="6"/>
        <v>45613</v>
      </c>
      <c r="O84" s="4">
        <f t="shared" si="7"/>
        <v>4.1538890437691663E-2</v>
      </c>
      <c r="P84">
        <f t="shared" si="8"/>
        <v>1.4599328859060403</v>
      </c>
      <c r="Q84" s="2">
        <f t="shared" si="9"/>
        <v>9.4578260869565209</v>
      </c>
      <c r="R84" s="2">
        <f t="shared" si="10"/>
        <v>27.19125</v>
      </c>
      <c r="S84" s="2">
        <f t="shared" si="11"/>
        <v>6.918585942168896</v>
      </c>
    </row>
    <row r="85" spans="1:19" hidden="1">
      <c r="A85" t="s">
        <v>133</v>
      </c>
      <c r="B85" t="s">
        <v>30</v>
      </c>
      <c r="C85">
        <v>168</v>
      </c>
      <c r="D85">
        <v>4683</v>
      </c>
      <c r="E85" s="2">
        <v>215.28</v>
      </c>
      <c r="F85">
        <v>30</v>
      </c>
      <c r="G85">
        <v>8</v>
      </c>
      <c r="H85">
        <v>4.8000000000000001E-2</v>
      </c>
      <c r="I85" s="3">
        <v>1327</v>
      </c>
      <c r="J85" s="1">
        <v>45624</v>
      </c>
      <c r="K85" t="s">
        <v>31</v>
      </c>
      <c r="L85" t="s">
        <v>8</v>
      </c>
      <c r="M85" t="s">
        <v>37</v>
      </c>
      <c r="N85" s="1">
        <f t="shared" si="6"/>
        <v>45624</v>
      </c>
      <c r="O85" s="4">
        <f t="shared" si="7"/>
        <v>3.5874439461883408E-2</v>
      </c>
      <c r="P85">
        <f t="shared" si="8"/>
        <v>1.2814285714285714</v>
      </c>
      <c r="Q85" s="2">
        <f t="shared" si="9"/>
        <v>7.1760000000000002</v>
      </c>
      <c r="R85" s="2">
        <f t="shared" si="10"/>
        <v>26.91</v>
      </c>
      <c r="S85" s="2">
        <f t="shared" si="11"/>
        <v>6.1640654031958375</v>
      </c>
    </row>
    <row r="86" spans="1:19" hidden="1">
      <c r="A86" t="s">
        <v>134</v>
      </c>
      <c r="B86" t="s">
        <v>30</v>
      </c>
      <c r="C86">
        <v>112</v>
      </c>
      <c r="D86">
        <v>5814</v>
      </c>
      <c r="E86" s="2">
        <v>227.38</v>
      </c>
      <c r="F86">
        <v>11</v>
      </c>
      <c r="G86">
        <v>8</v>
      </c>
      <c r="H86">
        <v>7.0999999999999994E-2</v>
      </c>
      <c r="I86" s="3">
        <v>1467</v>
      </c>
      <c r="J86" s="1">
        <v>45599</v>
      </c>
      <c r="K86" t="s">
        <v>31</v>
      </c>
      <c r="L86" t="s">
        <v>9</v>
      </c>
      <c r="M86" t="s">
        <v>46</v>
      </c>
      <c r="N86" s="1">
        <f t="shared" si="6"/>
        <v>45599</v>
      </c>
      <c r="O86" s="4">
        <f t="shared" si="7"/>
        <v>1.9263845889232887E-2</v>
      </c>
      <c r="P86">
        <f t="shared" si="8"/>
        <v>2.0301785714285714</v>
      </c>
      <c r="Q86" s="2">
        <f t="shared" si="9"/>
        <v>20.670909090909092</v>
      </c>
      <c r="R86" s="2">
        <f t="shared" si="10"/>
        <v>28.422499999999999</v>
      </c>
      <c r="S86" s="2">
        <f t="shared" si="11"/>
        <v>6.4517547717477353</v>
      </c>
    </row>
    <row r="87" spans="1:19" hidden="1">
      <c r="A87" t="s">
        <v>135</v>
      </c>
      <c r="B87" t="s">
        <v>30</v>
      </c>
      <c r="C87">
        <v>123</v>
      </c>
      <c r="D87">
        <v>3292</v>
      </c>
      <c r="E87" s="2">
        <v>233.2</v>
      </c>
      <c r="F87">
        <v>28</v>
      </c>
      <c r="G87">
        <v>6</v>
      </c>
      <c r="H87">
        <v>4.9000000000000002E-2</v>
      </c>
      <c r="I87" s="3">
        <v>1174</v>
      </c>
      <c r="J87" s="1">
        <v>45615</v>
      </c>
      <c r="K87" t="s">
        <v>31</v>
      </c>
      <c r="L87" t="s">
        <v>7</v>
      </c>
      <c r="M87" t="s">
        <v>39</v>
      </c>
      <c r="N87" s="1">
        <f t="shared" si="6"/>
        <v>45615</v>
      </c>
      <c r="O87" s="4">
        <f t="shared" si="7"/>
        <v>3.7363304981773995E-2</v>
      </c>
      <c r="P87">
        <f t="shared" si="8"/>
        <v>1.8959349593495933</v>
      </c>
      <c r="Q87" s="2">
        <f t="shared" si="9"/>
        <v>8.3285714285714274</v>
      </c>
      <c r="R87" s="2">
        <f t="shared" si="10"/>
        <v>38.866666666666667</v>
      </c>
      <c r="S87" s="2">
        <f t="shared" si="11"/>
        <v>5.0343053173241854</v>
      </c>
    </row>
    <row r="88" spans="1:19" hidden="1">
      <c r="A88" t="s">
        <v>136</v>
      </c>
      <c r="B88" t="s">
        <v>30</v>
      </c>
      <c r="C88">
        <v>174</v>
      </c>
      <c r="D88">
        <v>4305</v>
      </c>
      <c r="E88" s="2">
        <v>206.02</v>
      </c>
      <c r="F88">
        <v>20</v>
      </c>
      <c r="G88">
        <v>3</v>
      </c>
      <c r="H88">
        <v>3.4000000000000002E-2</v>
      </c>
      <c r="I88" s="3">
        <v>1057</v>
      </c>
      <c r="J88" s="1">
        <v>45619</v>
      </c>
      <c r="K88" t="s">
        <v>31</v>
      </c>
      <c r="L88" t="s">
        <v>7</v>
      </c>
      <c r="M88" t="s">
        <v>32</v>
      </c>
      <c r="N88" s="1">
        <f t="shared" si="6"/>
        <v>45619</v>
      </c>
      <c r="O88" s="4">
        <f t="shared" si="7"/>
        <v>4.0418118466898953E-2</v>
      </c>
      <c r="P88">
        <f t="shared" si="8"/>
        <v>1.1840229885057472</v>
      </c>
      <c r="Q88" s="2">
        <f t="shared" si="9"/>
        <v>10.301</v>
      </c>
      <c r="R88" s="2">
        <f t="shared" si="10"/>
        <v>68.673333333333332</v>
      </c>
      <c r="S88" s="2">
        <f t="shared" si="11"/>
        <v>5.1305698475876129</v>
      </c>
    </row>
    <row r="89" spans="1:19" hidden="1">
      <c r="A89" t="s">
        <v>137</v>
      </c>
      <c r="B89" t="s">
        <v>30</v>
      </c>
      <c r="C89">
        <v>143</v>
      </c>
      <c r="D89">
        <v>4368</v>
      </c>
      <c r="E89" s="2">
        <v>215.57</v>
      </c>
      <c r="F89">
        <v>27</v>
      </c>
      <c r="G89">
        <v>7</v>
      </c>
      <c r="H89">
        <v>4.9000000000000002E-2</v>
      </c>
      <c r="I89" s="3">
        <v>1199</v>
      </c>
      <c r="J89" s="1">
        <v>45362</v>
      </c>
      <c r="K89" t="s">
        <v>31</v>
      </c>
      <c r="L89" t="s">
        <v>9</v>
      </c>
      <c r="M89" t="s">
        <v>46</v>
      </c>
      <c r="N89" s="1">
        <f t="shared" si="6"/>
        <v>45362</v>
      </c>
      <c r="O89" s="4">
        <f t="shared" si="7"/>
        <v>3.273809523809524E-2</v>
      </c>
      <c r="P89">
        <f t="shared" si="8"/>
        <v>1.5074825174825175</v>
      </c>
      <c r="Q89" s="2">
        <f t="shared" si="9"/>
        <v>7.9840740740740737</v>
      </c>
      <c r="R89" s="2">
        <f t="shared" si="10"/>
        <v>30.795714285714286</v>
      </c>
      <c r="S89" s="2">
        <f t="shared" si="11"/>
        <v>5.5619984227861021</v>
      </c>
    </row>
    <row r="90" spans="1:19" hidden="1">
      <c r="A90" t="s">
        <v>138</v>
      </c>
      <c r="B90" t="s">
        <v>30</v>
      </c>
      <c r="C90">
        <v>195</v>
      </c>
      <c r="D90">
        <v>5935</v>
      </c>
      <c r="E90" s="2">
        <v>209.68</v>
      </c>
      <c r="F90">
        <v>23</v>
      </c>
      <c r="G90">
        <v>9</v>
      </c>
      <c r="H90">
        <v>4.5999999999999999E-2</v>
      </c>
      <c r="I90" s="3">
        <v>1966</v>
      </c>
      <c r="J90" s="1">
        <v>45603</v>
      </c>
      <c r="K90" t="s">
        <v>31</v>
      </c>
      <c r="L90" t="s">
        <v>9</v>
      </c>
      <c r="M90" t="s">
        <v>41</v>
      </c>
      <c r="N90" s="1">
        <f t="shared" si="6"/>
        <v>45603</v>
      </c>
      <c r="O90" s="4">
        <f t="shared" si="7"/>
        <v>3.285593934288121E-2</v>
      </c>
      <c r="P90">
        <f t="shared" si="8"/>
        <v>1.0752820512820513</v>
      </c>
      <c r="Q90" s="2">
        <f t="shared" si="9"/>
        <v>9.1165217391304356</v>
      </c>
      <c r="R90" s="2">
        <f t="shared" si="10"/>
        <v>23.297777777777778</v>
      </c>
      <c r="S90" s="2">
        <f t="shared" si="11"/>
        <v>9.3761922930179313</v>
      </c>
    </row>
    <row r="91" spans="1:19" hidden="1">
      <c r="A91" t="s">
        <v>139</v>
      </c>
      <c r="B91" t="s">
        <v>30</v>
      </c>
      <c r="C91">
        <v>176</v>
      </c>
      <c r="D91">
        <v>5847</v>
      </c>
      <c r="E91" s="2">
        <v>241.04</v>
      </c>
      <c r="F91">
        <v>13</v>
      </c>
      <c r="G91">
        <v>6</v>
      </c>
      <c r="H91">
        <v>3.4000000000000002E-2</v>
      </c>
      <c r="I91" s="3">
        <v>1194</v>
      </c>
      <c r="J91" s="1">
        <v>45598</v>
      </c>
      <c r="K91" t="s">
        <v>31</v>
      </c>
      <c r="L91" t="s">
        <v>7</v>
      </c>
      <c r="M91" t="s">
        <v>41</v>
      </c>
      <c r="N91" s="1">
        <f t="shared" si="6"/>
        <v>45598</v>
      </c>
      <c r="O91" s="4">
        <f t="shared" si="7"/>
        <v>3.0100906447750982E-2</v>
      </c>
      <c r="P91">
        <f t="shared" si="8"/>
        <v>1.3695454545454544</v>
      </c>
      <c r="Q91" s="2">
        <f t="shared" si="9"/>
        <v>18.541538461538462</v>
      </c>
      <c r="R91" s="2">
        <f t="shared" si="10"/>
        <v>40.173333333333332</v>
      </c>
      <c r="S91" s="2">
        <f t="shared" si="11"/>
        <v>4.9535346830401599</v>
      </c>
    </row>
    <row r="92" spans="1:19">
      <c r="A92" t="s">
        <v>140</v>
      </c>
      <c r="B92" t="s">
        <v>30</v>
      </c>
      <c r="C92">
        <v>141</v>
      </c>
      <c r="D92">
        <v>4851</v>
      </c>
      <c r="E92" s="2">
        <v>227.39</v>
      </c>
      <c r="F92">
        <v>28</v>
      </c>
      <c r="G92">
        <v>5</v>
      </c>
      <c r="H92">
        <v>4.5999999999999999E-2</v>
      </c>
      <c r="I92" s="3">
        <v>1821</v>
      </c>
      <c r="J92" s="1">
        <v>45611</v>
      </c>
      <c r="K92" t="s">
        <v>31</v>
      </c>
      <c r="L92" t="s">
        <v>7</v>
      </c>
      <c r="M92" t="s">
        <v>46</v>
      </c>
      <c r="N92" s="1">
        <f t="shared" si="6"/>
        <v>45611</v>
      </c>
      <c r="O92" s="4">
        <f t="shared" si="7"/>
        <v>2.9066171923314781E-2</v>
      </c>
      <c r="P92">
        <f t="shared" si="8"/>
        <v>1.6126950354609928</v>
      </c>
      <c r="Q92" s="2">
        <f t="shared" si="9"/>
        <v>8.1210714285714278</v>
      </c>
      <c r="R92" s="2">
        <f t="shared" si="10"/>
        <v>45.477999999999994</v>
      </c>
      <c r="S92" s="2">
        <f t="shared" si="11"/>
        <v>8.0082677338493351</v>
      </c>
    </row>
    <row r="93" spans="1:19" hidden="1">
      <c r="A93" t="s">
        <v>141</v>
      </c>
      <c r="B93" t="s">
        <v>30</v>
      </c>
      <c r="C93">
        <v>108</v>
      </c>
      <c r="D93">
        <v>4710</v>
      </c>
      <c r="E93" s="2">
        <v>204.16</v>
      </c>
      <c r="F93">
        <v>19</v>
      </c>
      <c r="G93">
        <v>10</v>
      </c>
      <c r="H93">
        <v>9.2999999999999999E-2</v>
      </c>
      <c r="I93" s="3">
        <v>1731</v>
      </c>
      <c r="J93" s="1">
        <v>45616</v>
      </c>
      <c r="K93" t="s">
        <v>31</v>
      </c>
      <c r="L93" t="s">
        <v>9</v>
      </c>
      <c r="M93" t="s">
        <v>37</v>
      </c>
      <c r="N93" s="1">
        <f t="shared" si="6"/>
        <v>45616</v>
      </c>
      <c r="O93" s="4">
        <f t="shared" si="7"/>
        <v>2.2929936305732482E-2</v>
      </c>
      <c r="P93">
        <f t="shared" si="8"/>
        <v>1.8903703703703703</v>
      </c>
      <c r="Q93" s="2">
        <f t="shared" si="9"/>
        <v>10.745263157894737</v>
      </c>
      <c r="R93" s="2">
        <f t="shared" si="10"/>
        <v>20.416</v>
      </c>
      <c r="S93" s="2">
        <f t="shared" si="11"/>
        <v>8.4786442006269596</v>
      </c>
    </row>
    <row r="94" spans="1:19" hidden="1">
      <c r="A94" t="s">
        <v>142</v>
      </c>
      <c r="B94" t="s">
        <v>30</v>
      </c>
      <c r="C94">
        <v>112</v>
      </c>
      <c r="D94">
        <v>3345</v>
      </c>
      <c r="E94" s="2">
        <v>215.57</v>
      </c>
      <c r="F94">
        <v>11</v>
      </c>
      <c r="G94">
        <v>6</v>
      </c>
      <c r="H94">
        <v>4.7E-2</v>
      </c>
      <c r="I94" s="3">
        <v>1859</v>
      </c>
      <c r="J94" s="1">
        <v>45619</v>
      </c>
      <c r="K94" t="s">
        <v>31</v>
      </c>
      <c r="L94" t="s">
        <v>9</v>
      </c>
      <c r="M94" t="s">
        <v>46</v>
      </c>
      <c r="N94" s="1">
        <f t="shared" si="6"/>
        <v>45619</v>
      </c>
      <c r="O94" s="4">
        <f t="shared" si="7"/>
        <v>3.3482810164424517E-2</v>
      </c>
      <c r="P94">
        <f t="shared" si="8"/>
        <v>1.9247321428571429</v>
      </c>
      <c r="Q94" s="2">
        <f t="shared" si="9"/>
        <v>19.597272727272728</v>
      </c>
      <c r="R94" s="2">
        <f t="shared" si="10"/>
        <v>35.928333333333335</v>
      </c>
      <c r="S94" s="2">
        <f t="shared" si="11"/>
        <v>8.623648930741755</v>
      </c>
    </row>
    <row r="95" spans="1:19">
      <c r="A95" t="s">
        <v>143</v>
      </c>
      <c r="B95" t="s">
        <v>30</v>
      </c>
      <c r="C95">
        <v>139</v>
      </c>
      <c r="D95">
        <v>5903</v>
      </c>
      <c r="E95" s="2">
        <v>184.41</v>
      </c>
      <c r="F95">
        <v>23</v>
      </c>
      <c r="G95">
        <v>9</v>
      </c>
      <c r="H95">
        <v>4.5999999999999999E-2</v>
      </c>
      <c r="I95" s="3">
        <v>1188</v>
      </c>
      <c r="J95" s="1" t="s">
        <v>34</v>
      </c>
      <c r="K95" t="s">
        <v>31</v>
      </c>
      <c r="L95" t="s">
        <v>9</v>
      </c>
      <c r="M95" t="s">
        <v>41</v>
      </c>
      <c r="N95" s="1">
        <f t="shared" si="6"/>
        <v>45616</v>
      </c>
      <c r="O95" s="4">
        <f t="shared" si="7"/>
        <v>2.3547348805692023E-2</v>
      </c>
      <c r="P95">
        <f t="shared" si="8"/>
        <v>1.3266906474820144</v>
      </c>
      <c r="Q95" s="2">
        <f t="shared" si="9"/>
        <v>8.0178260869565214</v>
      </c>
      <c r="R95" s="2">
        <f t="shared" si="10"/>
        <v>20.49</v>
      </c>
      <c r="S95" s="2">
        <f t="shared" si="11"/>
        <v>6.4421669106881403</v>
      </c>
    </row>
    <row r="96" spans="1:19" hidden="1">
      <c r="A96" t="s">
        <v>144</v>
      </c>
      <c r="B96" t="s">
        <v>30</v>
      </c>
      <c r="C96">
        <v>145</v>
      </c>
      <c r="D96">
        <v>5004</v>
      </c>
      <c r="E96" s="2">
        <v>216.45</v>
      </c>
      <c r="F96">
        <v>22</v>
      </c>
      <c r="G96">
        <v>5</v>
      </c>
      <c r="H96">
        <v>3.4000000000000002E-2</v>
      </c>
      <c r="I96" s="3">
        <v>1496</v>
      </c>
      <c r="J96" s="1">
        <v>45597</v>
      </c>
      <c r="K96" t="s">
        <v>31</v>
      </c>
      <c r="L96" t="s">
        <v>9</v>
      </c>
      <c r="M96" t="s">
        <v>37</v>
      </c>
      <c r="N96" s="1">
        <f t="shared" si="6"/>
        <v>45597</v>
      </c>
      <c r="O96" s="4">
        <f t="shared" si="7"/>
        <v>2.897681854516387E-2</v>
      </c>
      <c r="P96">
        <f t="shared" si="8"/>
        <v>1.492758620689655</v>
      </c>
      <c r="Q96" s="2">
        <f t="shared" si="9"/>
        <v>9.838636363636363</v>
      </c>
      <c r="R96" s="2">
        <f t="shared" si="10"/>
        <v>43.29</v>
      </c>
      <c r="S96" s="2">
        <f t="shared" si="11"/>
        <v>6.911526911526912</v>
      </c>
    </row>
    <row r="97" spans="1:19" hidden="1">
      <c r="A97" t="s">
        <v>145</v>
      </c>
      <c r="B97" t="s">
        <v>30</v>
      </c>
      <c r="C97">
        <v>183</v>
      </c>
      <c r="D97">
        <v>3947</v>
      </c>
      <c r="E97" s="2">
        <v>197.3</v>
      </c>
      <c r="F97">
        <v>15</v>
      </c>
      <c r="G97">
        <v>8</v>
      </c>
      <c r="H97">
        <v>4.3999999999999997E-2</v>
      </c>
      <c r="I97" s="3">
        <v>1645</v>
      </c>
      <c r="J97" s="1">
        <v>45610</v>
      </c>
      <c r="K97" t="s">
        <v>31</v>
      </c>
      <c r="L97" t="s">
        <v>7</v>
      </c>
      <c r="M97" t="s">
        <v>39</v>
      </c>
      <c r="N97" s="1">
        <f t="shared" si="6"/>
        <v>45610</v>
      </c>
      <c r="O97" s="4">
        <f t="shared" si="7"/>
        <v>4.6364327337218139E-2</v>
      </c>
      <c r="P97">
        <f t="shared" si="8"/>
        <v>1.0781420765027323</v>
      </c>
      <c r="Q97" s="2">
        <f t="shared" si="9"/>
        <v>13.153333333333334</v>
      </c>
      <c r="R97" s="2">
        <f t="shared" si="10"/>
        <v>24.662500000000001</v>
      </c>
      <c r="S97" s="2">
        <f t="shared" si="11"/>
        <v>8.3375570197668516</v>
      </c>
    </row>
    <row r="98" spans="1:19" hidden="1">
      <c r="A98" t="s">
        <v>146</v>
      </c>
      <c r="B98" t="s">
        <v>30</v>
      </c>
      <c r="C98">
        <v>113</v>
      </c>
      <c r="D98">
        <v>3690</v>
      </c>
      <c r="E98" s="2">
        <v>229.42</v>
      </c>
      <c r="F98">
        <v>20</v>
      </c>
      <c r="G98">
        <v>5</v>
      </c>
      <c r="H98">
        <v>4.3999999999999997E-2</v>
      </c>
      <c r="I98" s="3">
        <v>1915</v>
      </c>
      <c r="J98" s="1">
        <v>45624</v>
      </c>
      <c r="K98" t="s">
        <v>31</v>
      </c>
      <c r="L98" t="s">
        <v>9</v>
      </c>
      <c r="M98" t="s">
        <v>32</v>
      </c>
      <c r="N98" s="1">
        <f t="shared" si="6"/>
        <v>45624</v>
      </c>
      <c r="O98" s="4">
        <f t="shared" si="7"/>
        <v>3.0623306233062329E-2</v>
      </c>
      <c r="P98">
        <f t="shared" si="8"/>
        <v>2.0302654867256638</v>
      </c>
      <c r="Q98" s="2">
        <f t="shared" si="9"/>
        <v>11.471</v>
      </c>
      <c r="R98" s="2">
        <f t="shared" si="10"/>
        <v>45.884</v>
      </c>
      <c r="S98" s="2">
        <f t="shared" si="11"/>
        <v>8.3471362566471985</v>
      </c>
    </row>
    <row r="99" spans="1:19" hidden="1">
      <c r="A99" t="s">
        <v>147</v>
      </c>
      <c r="B99" t="s">
        <v>30</v>
      </c>
      <c r="C99">
        <v>101</v>
      </c>
      <c r="D99">
        <v>5943</v>
      </c>
      <c r="E99" s="2">
        <v>187.32</v>
      </c>
      <c r="F99">
        <v>27</v>
      </c>
      <c r="G99">
        <v>6</v>
      </c>
      <c r="H99">
        <v>5.8999999999999997E-2</v>
      </c>
      <c r="I99" s="3">
        <v>1614</v>
      </c>
      <c r="J99" s="1">
        <v>45611</v>
      </c>
      <c r="K99" t="s">
        <v>31</v>
      </c>
      <c r="L99" t="s">
        <v>9</v>
      </c>
      <c r="M99" t="s">
        <v>37</v>
      </c>
      <c r="N99" s="1">
        <f t="shared" si="6"/>
        <v>45611</v>
      </c>
      <c r="O99" s="4">
        <f t="shared" si="7"/>
        <v>1.6994783779236074E-2</v>
      </c>
      <c r="P99">
        <f t="shared" si="8"/>
        <v>1.8546534653465345</v>
      </c>
      <c r="Q99" s="2">
        <f t="shared" si="9"/>
        <v>6.9377777777777778</v>
      </c>
      <c r="R99" s="2">
        <f t="shared" si="10"/>
        <v>31.22</v>
      </c>
      <c r="S99" s="2">
        <f t="shared" si="11"/>
        <v>8.616271620755926</v>
      </c>
    </row>
    <row r="100" spans="1:19" hidden="1">
      <c r="A100" t="s">
        <v>148</v>
      </c>
      <c r="B100" t="s">
        <v>30</v>
      </c>
      <c r="C100">
        <v>189</v>
      </c>
      <c r="D100">
        <v>5357</v>
      </c>
      <c r="E100" s="2">
        <v>222.5</v>
      </c>
      <c r="F100">
        <v>24</v>
      </c>
      <c r="G100">
        <v>3</v>
      </c>
      <c r="H100">
        <v>0.05</v>
      </c>
      <c r="I100" s="3">
        <v>1839</v>
      </c>
      <c r="J100" s="1">
        <v>45621</v>
      </c>
      <c r="K100" t="s">
        <v>31</v>
      </c>
      <c r="L100" t="s">
        <v>9</v>
      </c>
      <c r="M100" t="s">
        <v>35</v>
      </c>
      <c r="N100" s="1">
        <f t="shared" si="6"/>
        <v>45621</v>
      </c>
      <c r="O100" s="4">
        <f t="shared" si="7"/>
        <v>3.5280940825088668E-2</v>
      </c>
      <c r="P100">
        <f t="shared" si="8"/>
        <v>1.1772486772486772</v>
      </c>
      <c r="Q100" s="2">
        <f t="shared" si="9"/>
        <v>9.2708333333333339</v>
      </c>
      <c r="R100" s="2">
        <f t="shared" si="10"/>
        <v>74.166666666666671</v>
      </c>
      <c r="S100" s="2">
        <f t="shared" si="11"/>
        <v>8.2651685393258418</v>
      </c>
    </row>
    <row r="101" spans="1:19" hidden="1">
      <c r="A101" t="s">
        <v>149</v>
      </c>
      <c r="B101" t="s">
        <v>30</v>
      </c>
      <c r="C101">
        <v>154</v>
      </c>
      <c r="D101">
        <v>3596</v>
      </c>
      <c r="E101" s="2">
        <v>236.14</v>
      </c>
      <c r="F101">
        <v>30</v>
      </c>
      <c r="G101">
        <v>9</v>
      </c>
      <c r="H101">
        <v>5.8000000000000003E-2</v>
      </c>
      <c r="I101" s="3">
        <v>1036</v>
      </c>
      <c r="J101" s="1">
        <v>45602</v>
      </c>
      <c r="K101" t="s">
        <v>31</v>
      </c>
      <c r="L101" t="s">
        <v>9</v>
      </c>
      <c r="M101" t="s">
        <v>41</v>
      </c>
      <c r="N101" s="1">
        <f t="shared" si="6"/>
        <v>45602</v>
      </c>
      <c r="O101" s="4">
        <f t="shared" si="7"/>
        <v>4.2825361512791989E-2</v>
      </c>
      <c r="P101">
        <f t="shared" si="8"/>
        <v>1.5333766233766233</v>
      </c>
      <c r="Q101" s="2">
        <f t="shared" si="9"/>
        <v>7.8713333333333333</v>
      </c>
      <c r="R101" s="2">
        <f t="shared" si="10"/>
        <v>26.237777777777776</v>
      </c>
      <c r="S101" s="2">
        <f t="shared" si="11"/>
        <v>4.3872279156432628</v>
      </c>
    </row>
    <row r="102" spans="1:19" hidden="1">
      <c r="A102" t="s">
        <v>150</v>
      </c>
      <c r="B102" t="s">
        <v>30</v>
      </c>
      <c r="C102">
        <v>179</v>
      </c>
      <c r="D102">
        <v>5162</v>
      </c>
      <c r="E102" s="2">
        <v>246.76</v>
      </c>
      <c r="F102">
        <v>16</v>
      </c>
      <c r="G102">
        <v>5</v>
      </c>
      <c r="H102">
        <v>0.05</v>
      </c>
      <c r="I102" s="3">
        <v>1052</v>
      </c>
      <c r="J102" s="1">
        <v>45625</v>
      </c>
      <c r="K102" t="s">
        <v>31</v>
      </c>
      <c r="L102" t="s">
        <v>7</v>
      </c>
      <c r="M102" t="s">
        <v>41</v>
      </c>
      <c r="N102" s="1">
        <f t="shared" si="6"/>
        <v>45625</v>
      </c>
      <c r="O102" s="4">
        <f t="shared" si="7"/>
        <v>3.4676481983727241E-2</v>
      </c>
      <c r="P102">
        <f t="shared" si="8"/>
        <v>1.3785474860335194</v>
      </c>
      <c r="Q102" s="2">
        <f t="shared" si="9"/>
        <v>15.422499999999999</v>
      </c>
      <c r="R102" s="2">
        <f t="shared" si="10"/>
        <v>49.351999999999997</v>
      </c>
      <c r="S102" s="2">
        <f t="shared" si="11"/>
        <v>4.2632517425838872</v>
      </c>
    </row>
    <row r="103" spans="1:19" hidden="1">
      <c r="A103" t="s">
        <v>151</v>
      </c>
      <c r="B103" t="s">
        <v>30</v>
      </c>
      <c r="C103">
        <v>148</v>
      </c>
      <c r="D103">
        <v>3747</v>
      </c>
      <c r="E103" s="2">
        <v>244.41</v>
      </c>
      <c r="F103">
        <v>18</v>
      </c>
      <c r="G103">
        <v>8</v>
      </c>
      <c r="H103">
        <v>5.3999999999999999E-2</v>
      </c>
      <c r="I103" s="3">
        <v>1092</v>
      </c>
      <c r="J103" s="1">
        <v>45613</v>
      </c>
      <c r="K103" t="s">
        <v>31</v>
      </c>
      <c r="L103" t="s">
        <v>9</v>
      </c>
      <c r="M103" t="s">
        <v>32</v>
      </c>
      <c r="N103" s="1">
        <f t="shared" si="6"/>
        <v>45613</v>
      </c>
      <c r="O103" s="4">
        <f t="shared" si="7"/>
        <v>3.9498265278889777E-2</v>
      </c>
      <c r="P103">
        <f t="shared" si="8"/>
        <v>1.6514189189189188</v>
      </c>
      <c r="Q103" s="2">
        <f t="shared" si="9"/>
        <v>13.578333333333333</v>
      </c>
      <c r="R103" s="2">
        <f t="shared" si="10"/>
        <v>30.55125</v>
      </c>
      <c r="S103" s="2">
        <f t="shared" si="11"/>
        <v>4.467902295323432</v>
      </c>
    </row>
    <row r="104" spans="1:19" hidden="1">
      <c r="A104" t="s">
        <v>152</v>
      </c>
      <c r="B104" t="s">
        <v>30</v>
      </c>
      <c r="C104">
        <v>177</v>
      </c>
      <c r="D104">
        <v>4822</v>
      </c>
      <c r="E104" s="2">
        <v>197.03</v>
      </c>
      <c r="F104">
        <v>26</v>
      </c>
      <c r="G104">
        <v>9</v>
      </c>
      <c r="H104">
        <v>5.0999999999999997E-2</v>
      </c>
      <c r="I104" s="3">
        <v>1909</v>
      </c>
      <c r="J104" s="1">
        <v>45600</v>
      </c>
      <c r="K104" t="s">
        <v>31</v>
      </c>
      <c r="L104" t="s">
        <v>8</v>
      </c>
      <c r="M104" t="s">
        <v>41</v>
      </c>
      <c r="N104" s="1">
        <f t="shared" si="6"/>
        <v>45600</v>
      </c>
      <c r="O104" s="4">
        <f t="shared" si="7"/>
        <v>3.670676068021568E-2</v>
      </c>
      <c r="P104">
        <f t="shared" si="8"/>
        <v>1.1131638418079095</v>
      </c>
      <c r="Q104" s="2">
        <f t="shared" si="9"/>
        <v>7.5780769230769227</v>
      </c>
      <c r="R104" s="2">
        <f t="shared" si="10"/>
        <v>21.892222222222223</v>
      </c>
      <c r="S104" s="2">
        <f t="shared" si="11"/>
        <v>9.688879866010252</v>
      </c>
    </row>
    <row r="105" spans="1:19">
      <c r="A105" t="s">
        <v>153</v>
      </c>
      <c r="B105" t="s">
        <v>30</v>
      </c>
      <c r="C105">
        <v>119</v>
      </c>
      <c r="D105">
        <v>5800</v>
      </c>
      <c r="E105" s="2">
        <v>221.36</v>
      </c>
      <c r="F105">
        <v>11</v>
      </c>
      <c r="G105">
        <v>8</v>
      </c>
      <c r="H105">
        <v>4.5999999999999999E-2</v>
      </c>
      <c r="I105" s="3">
        <v>1505</v>
      </c>
      <c r="J105" s="1" t="s">
        <v>86</v>
      </c>
      <c r="K105" t="s">
        <v>31</v>
      </c>
      <c r="L105" t="s">
        <v>7</v>
      </c>
      <c r="M105" t="s">
        <v>46</v>
      </c>
      <c r="N105" s="1">
        <f t="shared" si="6"/>
        <v>45625</v>
      </c>
      <c r="O105" s="4">
        <f t="shared" si="7"/>
        <v>2.0517241379310346E-2</v>
      </c>
      <c r="P105">
        <f t="shared" si="8"/>
        <v>1.8601680672268908</v>
      </c>
      <c r="Q105" s="2">
        <f t="shared" si="9"/>
        <v>20.123636363636365</v>
      </c>
      <c r="R105" s="2">
        <f t="shared" si="10"/>
        <v>27.67</v>
      </c>
      <c r="S105" s="2">
        <f t="shared" si="11"/>
        <v>6.7988796530538487</v>
      </c>
    </row>
    <row r="106" spans="1:19" hidden="1">
      <c r="A106" t="s">
        <v>154</v>
      </c>
      <c r="B106" t="s">
        <v>30</v>
      </c>
      <c r="C106">
        <v>89</v>
      </c>
      <c r="D106">
        <v>3594</v>
      </c>
      <c r="E106" s="2">
        <v>215.57</v>
      </c>
      <c r="F106">
        <v>14</v>
      </c>
      <c r="G106">
        <v>6</v>
      </c>
      <c r="H106">
        <v>6.7000000000000004E-2</v>
      </c>
      <c r="I106" s="3">
        <v>1026</v>
      </c>
      <c r="J106" s="1">
        <v>45611</v>
      </c>
      <c r="K106" t="s">
        <v>31</v>
      </c>
      <c r="L106" t="s">
        <v>9</v>
      </c>
      <c r="M106" t="s">
        <v>35</v>
      </c>
      <c r="N106" s="1">
        <f t="shared" si="6"/>
        <v>45611</v>
      </c>
      <c r="O106" s="4">
        <f t="shared" si="7"/>
        <v>2.476349471341124E-2</v>
      </c>
      <c r="P106">
        <f t="shared" si="8"/>
        <v>2.4221348314606739</v>
      </c>
      <c r="Q106" s="2">
        <f t="shared" si="9"/>
        <v>15.397857142857143</v>
      </c>
      <c r="R106" s="2">
        <f t="shared" si="10"/>
        <v>35.928333333333335</v>
      </c>
      <c r="S106" s="2">
        <f t="shared" si="11"/>
        <v>4.7594748805492415</v>
      </c>
    </row>
    <row r="107" spans="1:19" hidden="1">
      <c r="A107" t="s">
        <v>155</v>
      </c>
      <c r="B107" t="s">
        <v>30</v>
      </c>
      <c r="C107">
        <v>146</v>
      </c>
      <c r="D107">
        <v>4765</v>
      </c>
      <c r="E107" s="2">
        <v>230.22</v>
      </c>
      <c r="F107">
        <v>23</v>
      </c>
      <c r="G107">
        <v>5</v>
      </c>
      <c r="H107">
        <v>3.4000000000000002E-2</v>
      </c>
      <c r="I107" s="3">
        <v>1944</v>
      </c>
      <c r="J107" s="1">
        <v>45624</v>
      </c>
      <c r="K107" t="s">
        <v>31</v>
      </c>
      <c r="L107" t="s">
        <v>9</v>
      </c>
      <c r="M107" t="s">
        <v>46</v>
      </c>
      <c r="N107" s="1">
        <f t="shared" si="6"/>
        <v>45624</v>
      </c>
      <c r="O107" s="4">
        <f t="shared" si="7"/>
        <v>3.0640083945435468E-2</v>
      </c>
      <c r="P107">
        <f t="shared" si="8"/>
        <v>1.5768493150684932</v>
      </c>
      <c r="Q107" s="2">
        <f t="shared" si="9"/>
        <v>10.009565217391303</v>
      </c>
      <c r="R107" s="2">
        <f t="shared" si="10"/>
        <v>46.043999999999997</v>
      </c>
      <c r="S107" s="2">
        <f t="shared" si="11"/>
        <v>8.4440969507427681</v>
      </c>
    </row>
    <row r="108" spans="1:19">
      <c r="A108" t="s">
        <v>156</v>
      </c>
      <c r="B108" t="s">
        <v>30</v>
      </c>
      <c r="C108">
        <v>109</v>
      </c>
      <c r="D108">
        <v>4128</v>
      </c>
      <c r="E108" s="2">
        <v>183.65</v>
      </c>
      <c r="F108">
        <v>12</v>
      </c>
      <c r="G108">
        <v>5</v>
      </c>
      <c r="H108">
        <v>4.5999999999999999E-2</v>
      </c>
      <c r="I108" s="3">
        <v>1505</v>
      </c>
      <c r="J108" s="1">
        <v>45626</v>
      </c>
      <c r="K108" t="s">
        <v>31</v>
      </c>
      <c r="L108" t="s">
        <v>7</v>
      </c>
      <c r="M108" t="s">
        <v>37</v>
      </c>
      <c r="N108" s="1">
        <f t="shared" si="6"/>
        <v>45626</v>
      </c>
      <c r="O108" s="4">
        <f t="shared" si="7"/>
        <v>2.6405038759689921E-2</v>
      </c>
      <c r="P108">
        <f t="shared" si="8"/>
        <v>1.6848623853211009</v>
      </c>
      <c r="Q108" s="2">
        <f t="shared" si="9"/>
        <v>15.304166666666667</v>
      </c>
      <c r="R108" s="2">
        <f t="shared" si="10"/>
        <v>36.730000000000004</v>
      </c>
      <c r="S108" s="2">
        <f t="shared" si="11"/>
        <v>8.1949360196025047</v>
      </c>
    </row>
    <row r="109" spans="1:19" hidden="1">
      <c r="A109" t="s">
        <v>157</v>
      </c>
      <c r="B109" t="s">
        <v>30</v>
      </c>
      <c r="C109">
        <v>159</v>
      </c>
      <c r="D109">
        <v>5127</v>
      </c>
      <c r="E109" s="2">
        <v>197.16</v>
      </c>
      <c r="F109">
        <v>21</v>
      </c>
      <c r="G109">
        <v>4</v>
      </c>
      <c r="H109">
        <v>2.5000000000000001E-2</v>
      </c>
      <c r="I109" s="3">
        <v>1867</v>
      </c>
      <c r="J109" s="1">
        <v>45599</v>
      </c>
      <c r="K109" t="s">
        <v>31</v>
      </c>
      <c r="L109" t="s">
        <v>9</v>
      </c>
      <c r="M109" t="s">
        <v>32</v>
      </c>
      <c r="N109" s="1">
        <f t="shared" si="6"/>
        <v>45599</v>
      </c>
      <c r="O109" s="4">
        <f t="shared" si="7"/>
        <v>3.1012287887653599E-2</v>
      </c>
      <c r="P109">
        <f t="shared" si="8"/>
        <v>1.24</v>
      </c>
      <c r="Q109" s="2">
        <f t="shared" si="9"/>
        <v>9.3885714285714279</v>
      </c>
      <c r="R109" s="2">
        <f t="shared" si="10"/>
        <v>49.29</v>
      </c>
      <c r="S109" s="2">
        <f t="shared" si="11"/>
        <v>9.4694664232095764</v>
      </c>
    </row>
    <row r="110" spans="1:19" hidden="1">
      <c r="A110" t="s">
        <v>158</v>
      </c>
      <c r="B110" t="s">
        <v>30</v>
      </c>
      <c r="C110">
        <v>144</v>
      </c>
      <c r="D110">
        <v>5674</v>
      </c>
      <c r="E110" s="2">
        <v>235.36</v>
      </c>
      <c r="F110">
        <v>12</v>
      </c>
      <c r="G110">
        <v>3</v>
      </c>
      <c r="H110">
        <v>2.1000000000000001E-2</v>
      </c>
      <c r="I110" s="3">
        <v>1505</v>
      </c>
      <c r="J110" s="1">
        <v>45618</v>
      </c>
      <c r="K110" t="s">
        <v>31</v>
      </c>
      <c r="L110" t="s">
        <v>7</v>
      </c>
      <c r="M110" t="s">
        <v>46</v>
      </c>
      <c r="N110" s="1">
        <f t="shared" si="6"/>
        <v>45618</v>
      </c>
      <c r="O110" s="4">
        <f t="shared" si="7"/>
        <v>2.5378921395840678E-2</v>
      </c>
      <c r="P110">
        <f t="shared" si="8"/>
        <v>1.6344444444444446</v>
      </c>
      <c r="Q110" s="2">
        <f t="shared" si="9"/>
        <v>19.613333333333333</v>
      </c>
      <c r="R110" s="2">
        <f t="shared" si="10"/>
        <v>78.453333333333333</v>
      </c>
      <c r="S110" s="2">
        <f t="shared" si="11"/>
        <v>6.3944595513256282</v>
      </c>
    </row>
    <row r="111" spans="1:19" hidden="1">
      <c r="A111" t="s">
        <v>159</v>
      </c>
      <c r="B111" t="s">
        <v>30</v>
      </c>
      <c r="C111">
        <v>122</v>
      </c>
      <c r="D111">
        <v>3793</v>
      </c>
      <c r="E111" s="2">
        <v>237.22</v>
      </c>
      <c r="F111">
        <v>19</v>
      </c>
      <c r="G111">
        <v>8</v>
      </c>
      <c r="H111">
        <v>6.6000000000000003E-2</v>
      </c>
      <c r="I111" s="3">
        <v>1842</v>
      </c>
      <c r="J111" s="1">
        <v>45616</v>
      </c>
      <c r="K111" t="s">
        <v>31</v>
      </c>
      <c r="L111" t="s">
        <v>9</v>
      </c>
      <c r="M111" t="s">
        <v>41</v>
      </c>
      <c r="N111" s="1">
        <f t="shared" si="6"/>
        <v>45616</v>
      </c>
      <c r="O111" s="4">
        <f t="shared" si="7"/>
        <v>3.2164513577643029E-2</v>
      </c>
      <c r="P111">
        <f t="shared" si="8"/>
        <v>1.9444262295081967</v>
      </c>
      <c r="Q111" s="2">
        <f t="shared" si="9"/>
        <v>12.485263157894737</v>
      </c>
      <c r="R111" s="2">
        <f t="shared" si="10"/>
        <v>29.6525</v>
      </c>
      <c r="S111" s="2">
        <f t="shared" si="11"/>
        <v>7.7649439339010202</v>
      </c>
    </row>
    <row r="112" spans="1:19" hidden="1">
      <c r="A112" t="s">
        <v>160</v>
      </c>
      <c r="B112" t="s">
        <v>30</v>
      </c>
      <c r="C112">
        <v>112</v>
      </c>
      <c r="D112">
        <v>4315</v>
      </c>
      <c r="E112" s="2">
        <v>235.33</v>
      </c>
      <c r="F112">
        <v>28</v>
      </c>
      <c r="G112">
        <v>9</v>
      </c>
      <c r="H112">
        <v>0.08</v>
      </c>
      <c r="I112" s="3">
        <v>1116</v>
      </c>
      <c r="J112" s="1">
        <v>45604</v>
      </c>
      <c r="K112" t="s">
        <v>31</v>
      </c>
      <c r="L112" t="s">
        <v>8</v>
      </c>
      <c r="M112" t="s">
        <v>35</v>
      </c>
      <c r="N112" s="1">
        <f t="shared" si="6"/>
        <v>45604</v>
      </c>
      <c r="O112" s="4">
        <f t="shared" si="7"/>
        <v>2.5955967555040555E-2</v>
      </c>
      <c r="P112">
        <f t="shared" si="8"/>
        <v>2.1011607142857143</v>
      </c>
      <c r="Q112" s="2">
        <f t="shared" si="9"/>
        <v>8.4046428571428571</v>
      </c>
      <c r="R112" s="2">
        <f t="shared" si="10"/>
        <v>26.14777777777778</v>
      </c>
      <c r="S112" s="2">
        <f t="shared" si="11"/>
        <v>4.7422768027875746</v>
      </c>
    </row>
    <row r="113" spans="1:19" hidden="1">
      <c r="A113" t="s">
        <v>161</v>
      </c>
      <c r="B113" t="s">
        <v>30</v>
      </c>
      <c r="C113">
        <v>174</v>
      </c>
      <c r="D113">
        <v>4704</v>
      </c>
      <c r="E113" s="2">
        <v>192.32</v>
      </c>
      <c r="F113">
        <v>21</v>
      </c>
      <c r="G113">
        <v>10</v>
      </c>
      <c r="H113">
        <v>4.9000000000000002E-2</v>
      </c>
      <c r="I113" s="3">
        <v>1501</v>
      </c>
      <c r="J113" s="1">
        <v>45620</v>
      </c>
      <c r="K113" t="s">
        <v>31</v>
      </c>
      <c r="L113" t="s">
        <v>8</v>
      </c>
      <c r="M113" t="s">
        <v>32</v>
      </c>
      <c r="N113" s="1">
        <f t="shared" si="6"/>
        <v>45620</v>
      </c>
      <c r="O113" s="4">
        <f t="shared" si="7"/>
        <v>3.6989795918367346E-2</v>
      </c>
      <c r="P113">
        <f t="shared" si="8"/>
        <v>1.1052873563218391</v>
      </c>
      <c r="Q113" s="2">
        <f t="shared" si="9"/>
        <v>9.1580952380952372</v>
      </c>
      <c r="R113" s="2">
        <f t="shared" si="10"/>
        <v>19.231999999999999</v>
      </c>
      <c r="S113" s="2">
        <f t="shared" si="11"/>
        <v>7.8047004991680531</v>
      </c>
    </row>
    <row r="114" spans="1:19" hidden="1">
      <c r="A114" t="s">
        <v>162</v>
      </c>
      <c r="B114" t="s">
        <v>30</v>
      </c>
      <c r="C114">
        <v>168</v>
      </c>
      <c r="D114">
        <v>3349</v>
      </c>
      <c r="E114" s="2">
        <v>235.6</v>
      </c>
      <c r="F114">
        <v>23</v>
      </c>
      <c r="G114">
        <v>9</v>
      </c>
      <c r="H114">
        <v>5.3999999999999999E-2</v>
      </c>
      <c r="I114" s="3">
        <v>1894</v>
      </c>
      <c r="J114" s="1">
        <v>45605</v>
      </c>
      <c r="K114" t="s">
        <v>31</v>
      </c>
      <c r="L114" t="s">
        <v>8</v>
      </c>
      <c r="M114" t="s">
        <v>41</v>
      </c>
      <c r="N114" s="1">
        <f t="shared" si="6"/>
        <v>45605</v>
      </c>
      <c r="O114" s="4">
        <f t="shared" si="7"/>
        <v>5.0164228127799346E-2</v>
      </c>
      <c r="P114">
        <f t="shared" si="8"/>
        <v>1.4023809523809523</v>
      </c>
      <c r="Q114" s="2">
        <f t="shared" si="9"/>
        <v>10.243478260869566</v>
      </c>
      <c r="R114" s="2">
        <f t="shared" si="10"/>
        <v>26.177777777777777</v>
      </c>
      <c r="S114" s="2">
        <f t="shared" si="11"/>
        <v>8.0390492359932093</v>
      </c>
    </row>
    <row r="115" spans="1:19" hidden="1">
      <c r="A115" t="s">
        <v>163</v>
      </c>
      <c r="B115" t="s">
        <v>30</v>
      </c>
      <c r="C115">
        <v>173</v>
      </c>
      <c r="D115">
        <v>3501</v>
      </c>
      <c r="E115" s="2">
        <v>223.9</v>
      </c>
      <c r="F115">
        <v>28</v>
      </c>
      <c r="G115">
        <v>10</v>
      </c>
      <c r="H115">
        <v>4.3999999999999997E-2</v>
      </c>
      <c r="I115" s="3">
        <v>1179</v>
      </c>
      <c r="J115" s="1">
        <v>45621</v>
      </c>
      <c r="K115" t="s">
        <v>31</v>
      </c>
      <c r="L115" t="s">
        <v>8</v>
      </c>
      <c r="M115" t="s">
        <v>35</v>
      </c>
      <c r="N115" s="1">
        <f t="shared" si="6"/>
        <v>45621</v>
      </c>
      <c r="O115" s="4">
        <f t="shared" si="7"/>
        <v>4.9414453013424738E-2</v>
      </c>
      <c r="P115">
        <f t="shared" si="8"/>
        <v>1.2942196531791907</v>
      </c>
      <c r="Q115" s="2">
        <f t="shared" si="9"/>
        <v>7.9964285714285719</v>
      </c>
      <c r="R115" s="2">
        <f t="shared" si="10"/>
        <v>22.39</v>
      </c>
      <c r="S115" s="2">
        <f t="shared" si="11"/>
        <v>5.2657436355515852</v>
      </c>
    </row>
    <row r="116" spans="1:19" hidden="1">
      <c r="A116" t="s">
        <v>164</v>
      </c>
      <c r="B116" t="s">
        <v>30</v>
      </c>
      <c r="C116">
        <v>91</v>
      </c>
      <c r="D116">
        <v>4518.5</v>
      </c>
      <c r="E116" s="2">
        <v>203.52</v>
      </c>
      <c r="F116">
        <v>20</v>
      </c>
      <c r="G116">
        <v>9</v>
      </c>
      <c r="H116">
        <v>9.9000000000000005E-2</v>
      </c>
      <c r="I116" s="3">
        <v>1838</v>
      </c>
      <c r="J116" s="1" t="s">
        <v>34</v>
      </c>
      <c r="K116" t="s">
        <v>31</v>
      </c>
      <c r="L116" t="s">
        <v>7</v>
      </c>
      <c r="M116" t="s">
        <v>35</v>
      </c>
      <c r="N116" s="1">
        <f t="shared" si="6"/>
        <v>45616</v>
      </c>
      <c r="O116" s="4">
        <f t="shared" si="7"/>
        <v>2.0139426800929512E-2</v>
      </c>
      <c r="P116">
        <f t="shared" si="8"/>
        <v>2.2364835164835166</v>
      </c>
      <c r="Q116" s="2">
        <f t="shared" si="9"/>
        <v>10.176</v>
      </c>
      <c r="R116" s="2">
        <f t="shared" si="10"/>
        <v>22.613333333333333</v>
      </c>
      <c r="S116" s="2">
        <f t="shared" si="11"/>
        <v>9.0310534591194962</v>
      </c>
    </row>
    <row r="117" spans="1:19">
      <c r="A117" t="s">
        <v>165</v>
      </c>
      <c r="B117" t="s">
        <v>30</v>
      </c>
      <c r="C117">
        <v>140</v>
      </c>
      <c r="D117">
        <v>5405</v>
      </c>
      <c r="E117" s="2">
        <v>195.69</v>
      </c>
      <c r="F117">
        <v>21</v>
      </c>
      <c r="G117">
        <v>8</v>
      </c>
      <c r="H117">
        <v>4.5999999999999999E-2</v>
      </c>
      <c r="I117" s="3">
        <v>1094</v>
      </c>
      <c r="J117" s="1" t="s">
        <v>94</v>
      </c>
      <c r="K117" t="s">
        <v>31</v>
      </c>
      <c r="L117" t="s">
        <v>7</v>
      </c>
      <c r="M117" t="s">
        <v>39</v>
      </c>
      <c r="N117" s="1">
        <f t="shared" si="6"/>
        <v>45617</v>
      </c>
      <c r="O117" s="4">
        <f t="shared" si="7"/>
        <v>2.5901942645698426E-2</v>
      </c>
      <c r="P117">
        <f t="shared" si="8"/>
        <v>1.3977857142857142</v>
      </c>
      <c r="Q117" s="2">
        <f t="shared" si="9"/>
        <v>9.3185714285714276</v>
      </c>
      <c r="R117" s="2">
        <f t="shared" si="10"/>
        <v>24.46125</v>
      </c>
      <c r="S117" s="2">
        <f t="shared" si="11"/>
        <v>5.5904747304410041</v>
      </c>
    </row>
    <row r="118" spans="1:19" hidden="1">
      <c r="A118" t="s">
        <v>166</v>
      </c>
      <c r="B118" t="s">
        <v>30</v>
      </c>
      <c r="C118">
        <v>93</v>
      </c>
      <c r="D118">
        <v>3425</v>
      </c>
      <c r="E118" s="2">
        <v>229.76</v>
      </c>
      <c r="F118">
        <v>26</v>
      </c>
      <c r="G118">
        <v>4</v>
      </c>
      <c r="H118">
        <v>4.2999999999999997E-2</v>
      </c>
      <c r="I118" s="3">
        <v>1344</v>
      </c>
      <c r="J118" s="1" t="s">
        <v>167</v>
      </c>
      <c r="K118" t="s">
        <v>31</v>
      </c>
      <c r="L118" t="s">
        <v>8</v>
      </c>
      <c r="M118" t="s">
        <v>41</v>
      </c>
      <c r="N118" s="1">
        <f t="shared" si="6"/>
        <v>45620</v>
      </c>
      <c r="O118" s="4">
        <f t="shared" si="7"/>
        <v>2.7153284671532846E-2</v>
      </c>
      <c r="P118">
        <f t="shared" si="8"/>
        <v>2.4705376344086019</v>
      </c>
      <c r="Q118" s="2">
        <f t="shared" si="9"/>
        <v>8.8369230769230764</v>
      </c>
      <c r="R118" s="2">
        <f t="shared" si="10"/>
        <v>57.44</v>
      </c>
      <c r="S118" s="2">
        <f t="shared" si="11"/>
        <v>5.8495821727019504</v>
      </c>
    </row>
    <row r="119" spans="1:19" hidden="1">
      <c r="A119" t="s">
        <v>168</v>
      </c>
      <c r="B119" t="s">
        <v>30</v>
      </c>
      <c r="C119">
        <v>114</v>
      </c>
      <c r="D119">
        <v>5263</v>
      </c>
      <c r="E119" s="2">
        <v>189.13</v>
      </c>
      <c r="F119">
        <v>23</v>
      </c>
      <c r="G119">
        <v>5</v>
      </c>
      <c r="H119">
        <v>4.3999999999999997E-2</v>
      </c>
      <c r="I119" s="3">
        <v>1434</v>
      </c>
      <c r="J119" s="1">
        <v>45423</v>
      </c>
      <c r="K119" t="s">
        <v>31</v>
      </c>
      <c r="L119" t="s">
        <v>8</v>
      </c>
      <c r="M119" t="s">
        <v>35</v>
      </c>
      <c r="N119" s="1">
        <f t="shared" si="6"/>
        <v>45423</v>
      </c>
      <c r="O119" s="4">
        <f t="shared" si="7"/>
        <v>2.1660649819494584E-2</v>
      </c>
      <c r="P119">
        <f t="shared" si="8"/>
        <v>1.6590350877192983</v>
      </c>
      <c r="Q119" s="2">
        <f t="shared" si="9"/>
        <v>8.2230434782608697</v>
      </c>
      <c r="R119" s="2">
        <f t="shared" si="10"/>
        <v>37.826000000000001</v>
      </c>
      <c r="S119" s="2">
        <f t="shared" si="11"/>
        <v>7.5820863956009097</v>
      </c>
    </row>
    <row r="120" spans="1:19">
      <c r="A120" t="s">
        <v>169</v>
      </c>
      <c r="B120" t="s">
        <v>30</v>
      </c>
      <c r="C120">
        <v>172</v>
      </c>
      <c r="D120">
        <v>3889</v>
      </c>
      <c r="E120" s="2">
        <v>215.57</v>
      </c>
      <c r="F120">
        <v>21</v>
      </c>
      <c r="G120">
        <v>10</v>
      </c>
      <c r="H120">
        <v>4.5999999999999999E-2</v>
      </c>
      <c r="I120" s="3">
        <v>1766</v>
      </c>
      <c r="J120" s="1">
        <v>45612</v>
      </c>
      <c r="K120" t="s">
        <v>31</v>
      </c>
      <c r="L120" t="s">
        <v>9</v>
      </c>
      <c r="M120" t="s">
        <v>41</v>
      </c>
      <c r="N120" s="1">
        <f t="shared" si="6"/>
        <v>45612</v>
      </c>
      <c r="O120" s="4">
        <f t="shared" si="7"/>
        <v>4.4227307791205962E-2</v>
      </c>
      <c r="P120">
        <f t="shared" si="8"/>
        <v>1.2533139534883722</v>
      </c>
      <c r="Q120" s="2">
        <f t="shared" si="9"/>
        <v>10.265238095238095</v>
      </c>
      <c r="R120" s="2">
        <f t="shared" si="10"/>
        <v>21.556999999999999</v>
      </c>
      <c r="S120" s="2">
        <f t="shared" si="11"/>
        <v>8.1922345409843675</v>
      </c>
    </row>
    <row r="121" spans="1:19" hidden="1">
      <c r="A121" t="s">
        <v>170</v>
      </c>
      <c r="B121" t="s">
        <v>30</v>
      </c>
      <c r="C121">
        <v>188</v>
      </c>
      <c r="D121">
        <v>3327</v>
      </c>
      <c r="E121" s="2">
        <v>193.76</v>
      </c>
      <c r="F121">
        <v>24</v>
      </c>
      <c r="G121">
        <v>6</v>
      </c>
      <c r="H121">
        <v>4.7E-2</v>
      </c>
      <c r="I121" s="3">
        <v>1220</v>
      </c>
      <c r="J121" s="1">
        <v>45362</v>
      </c>
      <c r="K121" t="s">
        <v>31</v>
      </c>
      <c r="L121" t="s">
        <v>9</v>
      </c>
      <c r="M121" t="s">
        <v>41</v>
      </c>
      <c r="N121" s="1">
        <f t="shared" si="6"/>
        <v>45362</v>
      </c>
      <c r="O121" s="4">
        <f t="shared" si="7"/>
        <v>5.6507363991584007E-2</v>
      </c>
      <c r="P121">
        <f t="shared" si="8"/>
        <v>1.0306382978723403</v>
      </c>
      <c r="Q121" s="2">
        <f t="shared" si="9"/>
        <v>8.0733333333333324</v>
      </c>
      <c r="R121" s="2">
        <f t="shared" si="10"/>
        <v>32.293333333333329</v>
      </c>
      <c r="S121" s="2">
        <f t="shared" si="11"/>
        <v>6.2964492155243601</v>
      </c>
    </row>
    <row r="122" spans="1:19" hidden="1">
      <c r="A122" t="s">
        <v>171</v>
      </c>
      <c r="B122" t="s">
        <v>30</v>
      </c>
      <c r="C122">
        <v>117</v>
      </c>
      <c r="D122">
        <v>4518.5</v>
      </c>
      <c r="E122" s="2">
        <v>214.18</v>
      </c>
      <c r="F122">
        <v>29</v>
      </c>
      <c r="G122">
        <v>4</v>
      </c>
      <c r="H122">
        <v>3.4000000000000002E-2</v>
      </c>
      <c r="I122" s="3">
        <v>1348</v>
      </c>
      <c r="J122" s="1">
        <v>45619</v>
      </c>
      <c r="K122" t="s">
        <v>31</v>
      </c>
      <c r="L122" t="s">
        <v>8</v>
      </c>
      <c r="M122" t="s">
        <v>32</v>
      </c>
      <c r="N122" s="1">
        <f t="shared" si="6"/>
        <v>45619</v>
      </c>
      <c r="O122" s="4">
        <f t="shared" si="7"/>
        <v>2.5893548744052228E-2</v>
      </c>
      <c r="P122">
        <f t="shared" si="8"/>
        <v>1.8305982905982907</v>
      </c>
      <c r="Q122" s="2">
        <f t="shared" si="9"/>
        <v>7.3855172413793104</v>
      </c>
      <c r="R122" s="2">
        <f t="shared" si="10"/>
        <v>53.545000000000002</v>
      </c>
      <c r="S122" s="2">
        <f t="shared" si="11"/>
        <v>6.2937715939863663</v>
      </c>
    </row>
    <row r="123" spans="1:19" hidden="1">
      <c r="A123" t="s">
        <v>172</v>
      </c>
      <c r="B123" t="s">
        <v>30</v>
      </c>
      <c r="C123">
        <v>113</v>
      </c>
      <c r="D123">
        <v>5471</v>
      </c>
      <c r="E123" s="2">
        <v>215.57</v>
      </c>
      <c r="F123">
        <v>27</v>
      </c>
      <c r="G123">
        <v>9</v>
      </c>
      <c r="H123">
        <v>3.7999999999999999E-2</v>
      </c>
      <c r="I123" s="3">
        <v>1123</v>
      </c>
      <c r="J123" s="1">
        <v>45619</v>
      </c>
      <c r="K123" t="s">
        <v>31</v>
      </c>
      <c r="L123" t="s">
        <v>8</v>
      </c>
      <c r="M123" t="s">
        <v>46</v>
      </c>
      <c r="N123" s="1">
        <f t="shared" si="6"/>
        <v>45619</v>
      </c>
      <c r="O123" s="4">
        <f t="shared" si="7"/>
        <v>2.065435934929629E-2</v>
      </c>
      <c r="P123">
        <f t="shared" si="8"/>
        <v>1.9076991150442477</v>
      </c>
      <c r="Q123" s="2">
        <f t="shared" si="9"/>
        <v>7.9840740740740737</v>
      </c>
      <c r="R123" s="2">
        <f t="shared" si="10"/>
        <v>23.952222222222222</v>
      </c>
      <c r="S123" s="2">
        <f t="shared" si="11"/>
        <v>5.2094447279306024</v>
      </c>
    </row>
    <row r="124" spans="1:19" hidden="1">
      <c r="A124" t="s">
        <v>173</v>
      </c>
      <c r="B124" t="s">
        <v>30</v>
      </c>
      <c r="C124">
        <v>109</v>
      </c>
      <c r="D124">
        <v>3550</v>
      </c>
      <c r="E124" s="2">
        <v>240.33</v>
      </c>
      <c r="F124">
        <v>14</v>
      </c>
      <c r="G124">
        <v>8</v>
      </c>
      <c r="H124">
        <v>7.2999999999999995E-2</v>
      </c>
      <c r="I124" s="3">
        <v>1982</v>
      </c>
      <c r="J124" s="1">
        <v>45620</v>
      </c>
      <c r="K124" t="s">
        <v>31</v>
      </c>
      <c r="L124" t="s">
        <v>9</v>
      </c>
      <c r="M124" t="s">
        <v>32</v>
      </c>
      <c r="N124" s="1">
        <f t="shared" si="6"/>
        <v>45620</v>
      </c>
      <c r="O124" s="4">
        <f t="shared" si="7"/>
        <v>3.0704225352112677E-2</v>
      </c>
      <c r="P124">
        <f t="shared" si="8"/>
        <v>2.2048623853211011</v>
      </c>
      <c r="Q124" s="2">
        <f t="shared" si="9"/>
        <v>17.166428571428572</v>
      </c>
      <c r="R124" s="2">
        <f t="shared" si="10"/>
        <v>30.041250000000002</v>
      </c>
      <c r="S124" s="2">
        <f t="shared" si="11"/>
        <v>8.2469937169724954</v>
      </c>
    </row>
    <row r="125" spans="1:19" hidden="1">
      <c r="A125" t="s">
        <v>174</v>
      </c>
      <c r="B125" t="s">
        <v>30</v>
      </c>
      <c r="C125">
        <v>174</v>
      </c>
      <c r="D125">
        <v>3178</v>
      </c>
      <c r="E125" s="2">
        <v>225.67</v>
      </c>
      <c r="F125">
        <v>18</v>
      </c>
      <c r="G125">
        <v>10</v>
      </c>
      <c r="H125">
        <v>5.7000000000000002E-2</v>
      </c>
      <c r="I125" s="3">
        <v>1140</v>
      </c>
      <c r="J125" s="1" t="s">
        <v>34</v>
      </c>
      <c r="K125" t="s">
        <v>31</v>
      </c>
      <c r="L125" t="s">
        <v>7</v>
      </c>
      <c r="M125" t="s">
        <v>37</v>
      </c>
      <c r="N125" s="1">
        <f t="shared" si="6"/>
        <v>45616</v>
      </c>
      <c r="O125" s="4">
        <f t="shared" si="7"/>
        <v>5.4751415984896162E-2</v>
      </c>
      <c r="P125">
        <f t="shared" si="8"/>
        <v>1.2969540229885057</v>
      </c>
      <c r="Q125" s="2">
        <f t="shared" si="9"/>
        <v>12.537222222222221</v>
      </c>
      <c r="R125" s="2">
        <f t="shared" si="10"/>
        <v>22.567</v>
      </c>
      <c r="S125" s="2">
        <f t="shared" si="11"/>
        <v>5.0516240528204905</v>
      </c>
    </row>
    <row r="126" spans="1:19" hidden="1">
      <c r="A126" t="s">
        <v>175</v>
      </c>
      <c r="B126" t="s">
        <v>30</v>
      </c>
      <c r="C126">
        <v>96</v>
      </c>
      <c r="D126">
        <v>4673</v>
      </c>
      <c r="E126" s="2">
        <v>192.88</v>
      </c>
      <c r="F126">
        <v>24</v>
      </c>
      <c r="G126">
        <v>5</v>
      </c>
      <c r="H126">
        <v>5.1999999999999998E-2</v>
      </c>
      <c r="I126" s="3">
        <v>1962</v>
      </c>
      <c r="J126" s="1">
        <v>45606</v>
      </c>
      <c r="K126" t="s">
        <v>31</v>
      </c>
      <c r="L126" t="s">
        <v>8</v>
      </c>
      <c r="M126" t="s">
        <v>32</v>
      </c>
      <c r="N126" s="1">
        <f t="shared" si="6"/>
        <v>45606</v>
      </c>
      <c r="O126" s="4">
        <f t="shared" si="7"/>
        <v>2.0543548041943076E-2</v>
      </c>
      <c r="P126">
        <f t="shared" si="8"/>
        <v>2.0091666666666668</v>
      </c>
      <c r="Q126" s="2">
        <f t="shared" si="9"/>
        <v>8.0366666666666671</v>
      </c>
      <c r="R126" s="2">
        <f t="shared" si="10"/>
        <v>38.576000000000001</v>
      </c>
      <c r="S126" s="2">
        <f t="shared" si="11"/>
        <v>10.172127747822481</v>
      </c>
    </row>
    <row r="127" spans="1:19">
      <c r="A127" t="s">
        <v>176</v>
      </c>
      <c r="B127" t="s">
        <v>30</v>
      </c>
      <c r="C127">
        <v>110</v>
      </c>
      <c r="D127">
        <v>4254</v>
      </c>
      <c r="E127" s="2">
        <v>187.87</v>
      </c>
      <c r="F127">
        <v>11</v>
      </c>
      <c r="G127">
        <v>4</v>
      </c>
      <c r="H127">
        <v>4.5999999999999999E-2</v>
      </c>
      <c r="I127" s="3">
        <v>1172</v>
      </c>
      <c r="J127" s="1">
        <v>45600</v>
      </c>
      <c r="K127" t="s">
        <v>31</v>
      </c>
      <c r="L127" t="s">
        <v>8</v>
      </c>
      <c r="M127" t="s">
        <v>39</v>
      </c>
      <c r="N127" s="1">
        <f t="shared" si="6"/>
        <v>45600</v>
      </c>
      <c r="O127" s="4">
        <f t="shared" si="7"/>
        <v>2.5858015984955338E-2</v>
      </c>
      <c r="P127">
        <f t="shared" si="8"/>
        <v>1.707909090909091</v>
      </c>
      <c r="Q127" s="2">
        <f t="shared" si="9"/>
        <v>17.079090909090908</v>
      </c>
      <c r="R127" s="2">
        <f t="shared" si="10"/>
        <v>46.967500000000001</v>
      </c>
      <c r="S127" s="2">
        <f t="shared" si="11"/>
        <v>6.2383563102145096</v>
      </c>
    </row>
    <row r="128" spans="1:19" hidden="1">
      <c r="A128" t="s">
        <v>177</v>
      </c>
      <c r="B128" t="s">
        <v>30</v>
      </c>
      <c r="C128">
        <v>163</v>
      </c>
      <c r="D128">
        <v>3658</v>
      </c>
      <c r="E128" s="2">
        <v>237.63</v>
      </c>
      <c r="F128">
        <v>23</v>
      </c>
      <c r="G128">
        <v>7</v>
      </c>
      <c r="H128">
        <v>4.2999999999999997E-2</v>
      </c>
      <c r="I128" s="3">
        <v>1699</v>
      </c>
      <c r="J128" s="1">
        <v>45619</v>
      </c>
      <c r="K128" t="s">
        <v>31</v>
      </c>
      <c r="L128" t="s">
        <v>9</v>
      </c>
      <c r="M128" t="s">
        <v>41</v>
      </c>
      <c r="N128" s="1">
        <f t="shared" si="6"/>
        <v>45619</v>
      </c>
      <c r="O128" s="4">
        <f t="shared" si="7"/>
        <v>4.4559868780754512E-2</v>
      </c>
      <c r="P128">
        <f t="shared" si="8"/>
        <v>1.4578527607361962</v>
      </c>
      <c r="Q128" s="2">
        <f t="shared" si="9"/>
        <v>10.331739130434782</v>
      </c>
      <c r="R128" s="2">
        <f t="shared" si="10"/>
        <v>33.947142857142858</v>
      </c>
      <c r="S128" s="2">
        <f t="shared" si="11"/>
        <v>7.1497706518537223</v>
      </c>
    </row>
    <row r="129" spans="1:19" hidden="1">
      <c r="A129" t="s">
        <v>178</v>
      </c>
      <c r="B129" t="s">
        <v>30</v>
      </c>
      <c r="C129">
        <v>161</v>
      </c>
      <c r="D129">
        <v>5319</v>
      </c>
      <c r="E129" s="2">
        <v>235.98</v>
      </c>
      <c r="F129">
        <v>13</v>
      </c>
      <c r="G129">
        <v>4</v>
      </c>
      <c r="H129">
        <v>2.5000000000000001E-2</v>
      </c>
      <c r="I129" s="3">
        <v>1423</v>
      </c>
      <c r="J129" s="1">
        <v>45614</v>
      </c>
      <c r="K129" t="s">
        <v>31</v>
      </c>
      <c r="L129" t="s">
        <v>8</v>
      </c>
      <c r="M129" t="s">
        <v>32</v>
      </c>
      <c r="N129" s="1">
        <f t="shared" si="6"/>
        <v>45614</v>
      </c>
      <c r="O129" s="4">
        <f t="shared" si="7"/>
        <v>3.0268847527730777E-2</v>
      </c>
      <c r="P129">
        <f t="shared" si="8"/>
        <v>1.4657142857142857</v>
      </c>
      <c r="Q129" s="2">
        <f t="shared" si="9"/>
        <v>18.152307692307691</v>
      </c>
      <c r="R129" s="2">
        <f t="shared" si="10"/>
        <v>58.994999999999997</v>
      </c>
      <c r="S129" s="2">
        <f t="shared" si="11"/>
        <v>6.0301720484786845</v>
      </c>
    </row>
    <row r="130" spans="1:19" hidden="1">
      <c r="A130" t="s">
        <v>179</v>
      </c>
      <c r="B130" t="s">
        <v>30</v>
      </c>
      <c r="C130">
        <v>195</v>
      </c>
      <c r="D130">
        <v>5278</v>
      </c>
      <c r="E130" s="2">
        <v>193.49</v>
      </c>
      <c r="F130">
        <v>30</v>
      </c>
      <c r="G130">
        <v>7</v>
      </c>
      <c r="H130">
        <v>4.7E-2</v>
      </c>
      <c r="I130" s="3">
        <v>1456</v>
      </c>
      <c r="J130" s="1">
        <v>45600</v>
      </c>
      <c r="K130" t="s">
        <v>31</v>
      </c>
      <c r="L130" t="s">
        <v>8</v>
      </c>
      <c r="M130" t="s">
        <v>35</v>
      </c>
      <c r="N130" s="1">
        <f t="shared" ref="N130:N193" si="12">IF(A130="","",IF(ISNUMBER(J130),J130,IF(MID(J130,5,1)="-",DATE(LEFT(J130,4),MID(J130,6,2),RIGHT(J130,2)),IF(MID(J130,5,1)="/",DATE(LEFT(J130,4),MID(J130,6,2),RIGHT(J130,2)),DATE(RIGHT(J130,4),MID(J130,4,2),LEFT(J130,2))))))</f>
        <v>45600</v>
      </c>
      <c r="O130" s="4">
        <f t="shared" ref="O130:O193" si="13">IFERROR(C130/D130,0)</f>
        <v>3.6945812807881777E-2</v>
      </c>
      <c r="P130">
        <f t="shared" ref="P130:P193" si="14">IFERROR(E130/C130,0)</f>
        <v>0.99225641025641032</v>
      </c>
      <c r="Q130" s="2">
        <f t="shared" ref="Q130:Q193" si="15">IFERROR(E130/F130,0)</f>
        <v>6.4496666666666673</v>
      </c>
      <c r="R130" s="2">
        <f t="shared" ref="R130:R193" si="16">IFERROR(E130/G130,0)</f>
        <v>27.641428571428573</v>
      </c>
      <c r="S130" s="2">
        <f t="shared" ref="S130:S193" si="17">IFERROR(I130/E130,0)</f>
        <v>7.5249366892345853</v>
      </c>
    </row>
    <row r="131" spans="1:19" hidden="1">
      <c r="A131" t="s">
        <v>180</v>
      </c>
      <c r="B131" t="s">
        <v>30</v>
      </c>
      <c r="C131">
        <v>84</v>
      </c>
      <c r="D131">
        <v>3755</v>
      </c>
      <c r="E131" s="2">
        <v>218.88</v>
      </c>
      <c r="F131">
        <v>14</v>
      </c>
      <c r="G131">
        <v>9</v>
      </c>
      <c r="H131">
        <v>4.7E-2</v>
      </c>
      <c r="I131" s="3">
        <v>1299</v>
      </c>
      <c r="J131" s="1">
        <v>45601</v>
      </c>
      <c r="K131" t="s">
        <v>31</v>
      </c>
      <c r="L131" t="s">
        <v>9</v>
      </c>
      <c r="M131" t="s">
        <v>46</v>
      </c>
      <c r="N131" s="1">
        <f t="shared" si="12"/>
        <v>45601</v>
      </c>
      <c r="O131" s="4">
        <f t="shared" si="13"/>
        <v>2.237017310252996E-2</v>
      </c>
      <c r="P131">
        <f t="shared" si="14"/>
        <v>2.6057142857142859</v>
      </c>
      <c r="Q131" s="2">
        <f t="shared" si="15"/>
        <v>15.634285714285713</v>
      </c>
      <c r="R131" s="2">
        <f t="shared" si="16"/>
        <v>24.32</v>
      </c>
      <c r="S131" s="2">
        <f t="shared" si="17"/>
        <v>5.9347587719298245</v>
      </c>
    </row>
    <row r="132" spans="1:19" hidden="1">
      <c r="A132" t="s">
        <v>181</v>
      </c>
      <c r="B132" t="s">
        <v>30</v>
      </c>
      <c r="C132">
        <v>113</v>
      </c>
      <c r="D132">
        <v>4580</v>
      </c>
      <c r="E132" s="2">
        <v>194.82</v>
      </c>
      <c r="F132">
        <v>11</v>
      </c>
      <c r="G132">
        <v>6</v>
      </c>
      <c r="H132">
        <v>5.8999999999999997E-2</v>
      </c>
      <c r="I132" s="3">
        <v>1248</v>
      </c>
      <c r="J132" s="1">
        <v>45624</v>
      </c>
      <c r="K132" t="s">
        <v>31</v>
      </c>
      <c r="L132" t="s">
        <v>9</v>
      </c>
      <c r="M132" t="s">
        <v>35</v>
      </c>
      <c r="N132" s="1">
        <f t="shared" si="12"/>
        <v>45624</v>
      </c>
      <c r="O132" s="4">
        <f t="shared" si="13"/>
        <v>2.4672489082969432E-2</v>
      </c>
      <c r="P132">
        <f t="shared" si="14"/>
        <v>1.7240707964601769</v>
      </c>
      <c r="Q132" s="2">
        <f t="shared" si="15"/>
        <v>17.710909090909091</v>
      </c>
      <c r="R132" s="2">
        <f t="shared" si="16"/>
        <v>32.47</v>
      </c>
      <c r="S132" s="2">
        <f t="shared" si="17"/>
        <v>6.4059131506005542</v>
      </c>
    </row>
    <row r="133" spans="1:19" hidden="1">
      <c r="A133" t="s">
        <v>182</v>
      </c>
      <c r="B133" t="s">
        <v>30</v>
      </c>
      <c r="C133">
        <v>117</v>
      </c>
      <c r="D133">
        <v>3809</v>
      </c>
      <c r="E133" s="2">
        <v>225.14</v>
      </c>
      <c r="F133">
        <v>12</v>
      </c>
      <c r="G133">
        <v>5</v>
      </c>
      <c r="H133">
        <v>3.2000000000000001E-2</v>
      </c>
      <c r="I133" s="3">
        <v>1495</v>
      </c>
      <c r="J133" s="1">
        <v>45605</v>
      </c>
      <c r="K133" t="s">
        <v>31</v>
      </c>
      <c r="L133" t="s">
        <v>7</v>
      </c>
      <c r="M133" t="s">
        <v>39</v>
      </c>
      <c r="N133" s="1">
        <f t="shared" si="12"/>
        <v>45605</v>
      </c>
      <c r="O133" s="4">
        <f t="shared" si="13"/>
        <v>3.0716723549488054E-2</v>
      </c>
      <c r="P133">
        <f t="shared" si="14"/>
        <v>1.9242735042735042</v>
      </c>
      <c r="Q133" s="2">
        <f t="shared" si="15"/>
        <v>18.761666666666667</v>
      </c>
      <c r="R133" s="2">
        <f t="shared" si="16"/>
        <v>45.027999999999999</v>
      </c>
      <c r="S133" s="2">
        <f t="shared" si="17"/>
        <v>6.6403126943235327</v>
      </c>
    </row>
    <row r="134" spans="1:19" hidden="1">
      <c r="A134" t="s">
        <v>183</v>
      </c>
      <c r="B134" t="s">
        <v>30</v>
      </c>
      <c r="C134">
        <v>135</v>
      </c>
      <c r="D134">
        <v>5118</v>
      </c>
      <c r="E134" s="2">
        <v>219.99</v>
      </c>
      <c r="F134">
        <v>27</v>
      </c>
      <c r="G134">
        <v>6</v>
      </c>
      <c r="H134">
        <v>4.3999999999999997E-2</v>
      </c>
      <c r="I134" s="3">
        <v>1089</v>
      </c>
      <c r="J134" s="1">
        <v>45616</v>
      </c>
      <c r="K134" t="s">
        <v>31</v>
      </c>
      <c r="L134" t="s">
        <v>8</v>
      </c>
      <c r="M134" t="s">
        <v>41</v>
      </c>
      <c r="N134" s="1">
        <f t="shared" si="12"/>
        <v>45616</v>
      </c>
      <c r="O134" s="4">
        <f t="shared" si="13"/>
        <v>2.6377491207502931E-2</v>
      </c>
      <c r="P134">
        <f t="shared" si="14"/>
        <v>1.6295555555555556</v>
      </c>
      <c r="Q134" s="2">
        <f t="shared" si="15"/>
        <v>8.1477777777777778</v>
      </c>
      <c r="R134" s="2">
        <f t="shared" si="16"/>
        <v>36.664999999999999</v>
      </c>
      <c r="S134" s="2">
        <f t="shared" si="17"/>
        <v>4.9502250102277374</v>
      </c>
    </row>
    <row r="135" spans="1:19" hidden="1">
      <c r="A135" t="s">
        <v>184</v>
      </c>
      <c r="B135" t="s">
        <v>30</v>
      </c>
      <c r="C135">
        <v>92</v>
      </c>
      <c r="D135">
        <v>5766</v>
      </c>
      <c r="E135" s="2">
        <v>186.14</v>
      </c>
      <c r="F135">
        <v>28</v>
      </c>
      <c r="G135">
        <v>7</v>
      </c>
      <c r="H135">
        <v>7.5999999999999998E-2</v>
      </c>
      <c r="I135" s="3">
        <v>1013</v>
      </c>
      <c r="J135" s="1" t="s">
        <v>115</v>
      </c>
      <c r="K135" t="s">
        <v>31</v>
      </c>
      <c r="L135" t="s">
        <v>9</v>
      </c>
      <c r="M135" t="s">
        <v>39</v>
      </c>
      <c r="N135" s="1">
        <f t="shared" si="12"/>
        <v>45623</v>
      </c>
      <c r="O135" s="4">
        <f t="shared" si="13"/>
        <v>1.5955601803676726E-2</v>
      </c>
      <c r="P135">
        <f t="shared" si="14"/>
        <v>2.0232608695652172</v>
      </c>
      <c r="Q135" s="2">
        <f t="shared" si="15"/>
        <v>6.6478571428571422</v>
      </c>
      <c r="R135" s="2">
        <f t="shared" si="16"/>
        <v>26.591428571428569</v>
      </c>
      <c r="S135" s="2">
        <f t="shared" si="17"/>
        <v>5.442140324486946</v>
      </c>
    </row>
    <row r="136" spans="1:19" hidden="1">
      <c r="A136" t="s">
        <v>185</v>
      </c>
      <c r="B136" t="s">
        <v>30</v>
      </c>
      <c r="C136">
        <v>188</v>
      </c>
      <c r="D136">
        <v>3934</v>
      </c>
      <c r="E136" s="2">
        <v>206.21</v>
      </c>
      <c r="F136">
        <v>16</v>
      </c>
      <c r="G136">
        <v>9</v>
      </c>
      <c r="H136">
        <v>4.8000000000000001E-2</v>
      </c>
      <c r="I136" s="3">
        <v>1505</v>
      </c>
      <c r="J136" s="1">
        <v>45393</v>
      </c>
      <c r="K136" t="s">
        <v>31</v>
      </c>
      <c r="L136" t="s">
        <v>7</v>
      </c>
      <c r="M136" t="s">
        <v>35</v>
      </c>
      <c r="N136" s="1">
        <f t="shared" si="12"/>
        <v>45393</v>
      </c>
      <c r="O136" s="4">
        <f t="shared" si="13"/>
        <v>4.7788510421962381E-2</v>
      </c>
      <c r="P136">
        <f t="shared" si="14"/>
        <v>1.0968617021276597</v>
      </c>
      <c r="Q136" s="2">
        <f t="shared" si="15"/>
        <v>12.888125</v>
      </c>
      <c r="R136" s="2">
        <f t="shared" si="16"/>
        <v>22.912222222222223</v>
      </c>
      <c r="S136" s="2">
        <f t="shared" si="17"/>
        <v>7.2983851413607486</v>
      </c>
    </row>
    <row r="137" spans="1:19" hidden="1">
      <c r="A137" t="s">
        <v>186</v>
      </c>
      <c r="B137" t="s">
        <v>30</v>
      </c>
      <c r="C137">
        <v>101</v>
      </c>
      <c r="D137">
        <v>4724</v>
      </c>
      <c r="E137" s="2">
        <v>228.38</v>
      </c>
      <c r="F137">
        <v>13</v>
      </c>
      <c r="G137">
        <v>7</v>
      </c>
      <c r="H137">
        <v>3.4000000000000002E-2</v>
      </c>
      <c r="I137" s="3">
        <v>1243</v>
      </c>
      <c r="J137" s="1">
        <v>45616</v>
      </c>
      <c r="K137" t="s">
        <v>31</v>
      </c>
      <c r="L137" t="s">
        <v>7</v>
      </c>
      <c r="M137" t="s">
        <v>32</v>
      </c>
      <c r="N137" s="1">
        <f t="shared" si="12"/>
        <v>45616</v>
      </c>
      <c r="O137" s="4">
        <f t="shared" si="13"/>
        <v>2.1380186282811176E-2</v>
      </c>
      <c r="P137">
        <f t="shared" si="14"/>
        <v>2.261188118811881</v>
      </c>
      <c r="Q137" s="2">
        <f t="shared" si="15"/>
        <v>17.567692307692308</v>
      </c>
      <c r="R137" s="2">
        <f t="shared" si="16"/>
        <v>32.625714285714288</v>
      </c>
      <c r="S137" s="2">
        <f t="shared" si="17"/>
        <v>5.4426832472195468</v>
      </c>
    </row>
    <row r="138" spans="1:19" hidden="1">
      <c r="A138" t="s">
        <v>187</v>
      </c>
      <c r="B138" t="s">
        <v>30</v>
      </c>
      <c r="C138">
        <v>111</v>
      </c>
      <c r="D138">
        <v>5895</v>
      </c>
      <c r="E138" s="2">
        <v>205.25</v>
      </c>
      <c r="F138">
        <v>29</v>
      </c>
      <c r="G138">
        <v>4</v>
      </c>
      <c r="H138">
        <v>3.5999999999999997E-2</v>
      </c>
      <c r="I138" s="3">
        <v>1693</v>
      </c>
      <c r="J138" s="1">
        <v>45600</v>
      </c>
      <c r="K138" t="s">
        <v>31</v>
      </c>
      <c r="L138" t="s">
        <v>8</v>
      </c>
      <c r="M138" t="s">
        <v>35</v>
      </c>
      <c r="N138" s="1">
        <f t="shared" si="12"/>
        <v>45600</v>
      </c>
      <c r="O138" s="4">
        <f t="shared" si="13"/>
        <v>1.8829516539440202E-2</v>
      </c>
      <c r="P138">
        <f t="shared" si="14"/>
        <v>1.8490990990990992</v>
      </c>
      <c r="Q138" s="2">
        <f t="shared" si="15"/>
        <v>7.0775862068965516</v>
      </c>
      <c r="R138" s="2">
        <f t="shared" si="16"/>
        <v>51.3125</v>
      </c>
      <c r="S138" s="2">
        <f t="shared" si="17"/>
        <v>8.2484774665042639</v>
      </c>
    </row>
    <row r="139" spans="1:19" hidden="1">
      <c r="A139" t="s">
        <v>188</v>
      </c>
      <c r="B139" t="s">
        <v>30</v>
      </c>
      <c r="C139">
        <v>122</v>
      </c>
      <c r="D139">
        <v>4048</v>
      </c>
      <c r="E139" s="2">
        <v>202.23</v>
      </c>
      <c r="F139">
        <v>28</v>
      </c>
      <c r="G139">
        <v>10</v>
      </c>
      <c r="H139">
        <v>8.2000000000000003E-2</v>
      </c>
      <c r="I139" s="3">
        <v>1505</v>
      </c>
      <c r="J139" s="1" t="s">
        <v>100</v>
      </c>
      <c r="K139" t="s">
        <v>31</v>
      </c>
      <c r="L139" t="s">
        <v>8</v>
      </c>
      <c r="M139" t="s">
        <v>41</v>
      </c>
      <c r="N139" s="1">
        <f t="shared" si="12"/>
        <v>45622</v>
      </c>
      <c r="O139" s="4">
        <f t="shared" si="13"/>
        <v>3.0138339920948616E-2</v>
      </c>
      <c r="P139">
        <f t="shared" si="14"/>
        <v>1.657622950819672</v>
      </c>
      <c r="Q139" s="2">
        <f t="shared" si="15"/>
        <v>7.2224999999999993</v>
      </c>
      <c r="R139" s="2">
        <f t="shared" si="16"/>
        <v>20.222999999999999</v>
      </c>
      <c r="S139" s="2">
        <f t="shared" si="17"/>
        <v>7.4420214607130495</v>
      </c>
    </row>
    <row r="140" spans="1:19">
      <c r="A140" t="s">
        <v>189</v>
      </c>
      <c r="B140" t="s">
        <v>30</v>
      </c>
      <c r="C140">
        <v>99</v>
      </c>
      <c r="D140">
        <v>3169</v>
      </c>
      <c r="E140" s="2">
        <v>237.68</v>
      </c>
      <c r="F140">
        <v>21</v>
      </c>
      <c r="G140">
        <v>6</v>
      </c>
      <c r="H140">
        <v>4.5999999999999999E-2</v>
      </c>
      <c r="I140" s="3">
        <v>1509</v>
      </c>
      <c r="J140" s="1">
        <v>45618</v>
      </c>
      <c r="K140" t="s">
        <v>31</v>
      </c>
      <c r="L140" t="s">
        <v>8</v>
      </c>
      <c r="M140" t="s">
        <v>41</v>
      </c>
      <c r="N140" s="1">
        <f t="shared" si="12"/>
        <v>45618</v>
      </c>
      <c r="O140" s="4">
        <f t="shared" si="13"/>
        <v>3.1240138845061535E-2</v>
      </c>
      <c r="P140">
        <f t="shared" si="14"/>
        <v>2.4008080808080807</v>
      </c>
      <c r="Q140" s="2">
        <f t="shared" si="15"/>
        <v>11.318095238095239</v>
      </c>
      <c r="R140" s="2">
        <f t="shared" si="16"/>
        <v>39.613333333333337</v>
      </c>
      <c r="S140" s="2">
        <f t="shared" si="17"/>
        <v>6.3488724335240656</v>
      </c>
    </row>
    <row r="141" spans="1:19" hidden="1">
      <c r="A141" t="s">
        <v>190</v>
      </c>
      <c r="B141" t="s">
        <v>30</v>
      </c>
      <c r="C141">
        <v>154</v>
      </c>
      <c r="D141">
        <v>4535</v>
      </c>
      <c r="E141" s="2">
        <v>229.29</v>
      </c>
      <c r="F141">
        <v>11</v>
      </c>
      <c r="G141">
        <v>3</v>
      </c>
      <c r="H141">
        <v>1.9E-2</v>
      </c>
      <c r="I141" s="3">
        <v>1434</v>
      </c>
      <c r="J141" s="1">
        <v>45597</v>
      </c>
      <c r="K141" t="s">
        <v>31</v>
      </c>
      <c r="L141" t="s">
        <v>9</v>
      </c>
      <c r="M141" t="s">
        <v>39</v>
      </c>
      <c r="N141" s="1">
        <f t="shared" si="12"/>
        <v>45597</v>
      </c>
      <c r="O141" s="4">
        <f t="shared" si="13"/>
        <v>3.3958103638368244E-2</v>
      </c>
      <c r="P141">
        <f t="shared" si="14"/>
        <v>1.4888961038961039</v>
      </c>
      <c r="Q141" s="2">
        <f t="shared" si="15"/>
        <v>20.844545454545454</v>
      </c>
      <c r="R141" s="2">
        <f t="shared" si="16"/>
        <v>76.429999999999993</v>
      </c>
      <c r="S141" s="2">
        <f t="shared" si="17"/>
        <v>6.2540887086222687</v>
      </c>
    </row>
    <row r="142" spans="1:19" hidden="1">
      <c r="A142" t="s">
        <v>191</v>
      </c>
      <c r="B142" t="s">
        <v>30</v>
      </c>
      <c r="C142">
        <v>129</v>
      </c>
      <c r="D142">
        <v>3849</v>
      </c>
      <c r="E142" s="2">
        <v>249.29</v>
      </c>
      <c r="F142">
        <v>22</v>
      </c>
      <c r="G142">
        <v>10</v>
      </c>
      <c r="H142">
        <v>7.8E-2</v>
      </c>
      <c r="I142" s="3">
        <v>1767</v>
      </c>
      <c r="J142" s="1">
        <v>45607</v>
      </c>
      <c r="K142" t="s">
        <v>31</v>
      </c>
      <c r="L142" t="s">
        <v>7</v>
      </c>
      <c r="M142" t="s">
        <v>46</v>
      </c>
      <c r="N142" s="1">
        <f t="shared" si="12"/>
        <v>45607</v>
      </c>
      <c r="O142" s="4">
        <f t="shared" si="13"/>
        <v>3.3515198752922838E-2</v>
      </c>
      <c r="P142">
        <f t="shared" si="14"/>
        <v>1.9324806201550386</v>
      </c>
      <c r="Q142" s="2">
        <f t="shared" si="15"/>
        <v>11.331363636363635</v>
      </c>
      <c r="R142" s="2">
        <f t="shared" si="16"/>
        <v>24.928999999999998</v>
      </c>
      <c r="S142" s="2">
        <f t="shared" si="17"/>
        <v>7.0881302900236678</v>
      </c>
    </row>
    <row r="143" spans="1:19" hidden="1">
      <c r="A143" t="s">
        <v>192</v>
      </c>
      <c r="B143" t="s">
        <v>30</v>
      </c>
      <c r="C143">
        <v>139</v>
      </c>
      <c r="D143">
        <v>4259</v>
      </c>
      <c r="E143" s="2">
        <v>182.98</v>
      </c>
      <c r="F143">
        <v>10</v>
      </c>
      <c r="G143">
        <v>10</v>
      </c>
      <c r="H143">
        <v>3.1E-2</v>
      </c>
      <c r="I143" s="3">
        <v>1048</v>
      </c>
      <c r="J143" s="1" t="s">
        <v>43</v>
      </c>
      <c r="K143" t="s">
        <v>31</v>
      </c>
      <c r="L143" t="s">
        <v>8</v>
      </c>
      <c r="M143" t="s">
        <v>46</v>
      </c>
      <c r="N143" s="1">
        <f t="shared" si="12"/>
        <v>45612</v>
      </c>
      <c r="O143" s="4">
        <f t="shared" si="13"/>
        <v>3.2636769194646628E-2</v>
      </c>
      <c r="P143">
        <f t="shared" si="14"/>
        <v>1.3164028776978416</v>
      </c>
      <c r="Q143" s="2">
        <f t="shared" si="15"/>
        <v>18.297999999999998</v>
      </c>
      <c r="R143" s="2">
        <f t="shared" si="16"/>
        <v>18.297999999999998</v>
      </c>
      <c r="S143" s="2">
        <f t="shared" si="17"/>
        <v>5.7274019018471964</v>
      </c>
    </row>
    <row r="144" spans="1:19" hidden="1">
      <c r="A144" t="s">
        <v>193</v>
      </c>
      <c r="B144" t="s">
        <v>30</v>
      </c>
      <c r="C144">
        <v>143</v>
      </c>
      <c r="D144">
        <v>3628</v>
      </c>
      <c r="E144" s="2">
        <v>215.57</v>
      </c>
      <c r="F144">
        <v>18</v>
      </c>
      <c r="G144">
        <v>9</v>
      </c>
      <c r="H144">
        <v>6.3E-2</v>
      </c>
      <c r="I144" s="3">
        <v>1566</v>
      </c>
      <c r="J144" s="1" t="s">
        <v>132</v>
      </c>
      <c r="K144" t="s">
        <v>31</v>
      </c>
      <c r="L144" t="s">
        <v>9</v>
      </c>
      <c r="M144" t="s">
        <v>35</v>
      </c>
      <c r="N144" s="1">
        <f t="shared" si="12"/>
        <v>45613</v>
      </c>
      <c r="O144" s="4">
        <f t="shared" si="13"/>
        <v>3.9415656008820285E-2</v>
      </c>
      <c r="P144">
        <f t="shared" si="14"/>
        <v>1.5074825174825175</v>
      </c>
      <c r="Q144" s="2">
        <f t="shared" si="15"/>
        <v>11.976111111111111</v>
      </c>
      <c r="R144" s="2">
        <f t="shared" si="16"/>
        <v>23.952222222222222</v>
      </c>
      <c r="S144" s="2">
        <f t="shared" si="17"/>
        <v>7.2644616597856846</v>
      </c>
    </row>
    <row r="145" spans="1:19" hidden="1">
      <c r="A145" t="s">
        <v>194</v>
      </c>
      <c r="B145" t="s">
        <v>30</v>
      </c>
      <c r="C145">
        <v>80</v>
      </c>
      <c r="D145">
        <v>3269</v>
      </c>
      <c r="E145" s="2">
        <v>215.57</v>
      </c>
      <c r="F145">
        <v>12</v>
      </c>
      <c r="G145">
        <v>4</v>
      </c>
      <c r="H145">
        <v>0.05</v>
      </c>
      <c r="I145" s="3">
        <v>1753</v>
      </c>
      <c r="J145" s="1" t="s">
        <v>111</v>
      </c>
      <c r="K145" t="s">
        <v>31</v>
      </c>
      <c r="L145" t="s">
        <v>7</v>
      </c>
      <c r="M145" t="s">
        <v>37</v>
      </c>
      <c r="N145" s="1">
        <f t="shared" si="12"/>
        <v>45619</v>
      </c>
      <c r="O145" s="4">
        <f t="shared" si="13"/>
        <v>2.4472315692872438E-2</v>
      </c>
      <c r="P145">
        <f t="shared" si="14"/>
        <v>2.6946249999999998</v>
      </c>
      <c r="Q145" s="2">
        <f t="shared" si="15"/>
        <v>17.964166666666667</v>
      </c>
      <c r="R145" s="2">
        <f t="shared" si="16"/>
        <v>53.892499999999998</v>
      </c>
      <c r="S145" s="2">
        <f t="shared" si="17"/>
        <v>8.1319293037064533</v>
      </c>
    </row>
    <row r="146" spans="1:19" hidden="1">
      <c r="A146" t="s">
        <v>195</v>
      </c>
      <c r="B146" t="s">
        <v>30</v>
      </c>
      <c r="C146">
        <v>134</v>
      </c>
      <c r="D146">
        <v>3724</v>
      </c>
      <c r="E146" s="2">
        <v>188.02</v>
      </c>
      <c r="F146">
        <v>26</v>
      </c>
      <c r="G146">
        <v>9</v>
      </c>
      <c r="H146">
        <v>4.7E-2</v>
      </c>
      <c r="I146" s="3">
        <v>1891</v>
      </c>
      <c r="J146" s="1">
        <v>45603</v>
      </c>
      <c r="K146" t="s">
        <v>31</v>
      </c>
      <c r="L146" t="s">
        <v>7</v>
      </c>
      <c r="M146" t="s">
        <v>41</v>
      </c>
      <c r="N146" s="1">
        <f t="shared" si="12"/>
        <v>45603</v>
      </c>
      <c r="O146" s="4">
        <f t="shared" si="13"/>
        <v>3.5982814178302902E-2</v>
      </c>
      <c r="P146">
        <f t="shared" si="14"/>
        <v>1.4031343283582089</v>
      </c>
      <c r="Q146" s="2">
        <f t="shared" si="15"/>
        <v>7.2315384615384621</v>
      </c>
      <c r="R146" s="2">
        <f t="shared" si="16"/>
        <v>20.891111111111112</v>
      </c>
      <c r="S146" s="2">
        <f t="shared" si="17"/>
        <v>10.057440697798105</v>
      </c>
    </row>
    <row r="147" spans="1:19" hidden="1">
      <c r="A147" t="s">
        <v>196</v>
      </c>
      <c r="B147" t="s">
        <v>30</v>
      </c>
      <c r="C147">
        <v>174</v>
      </c>
      <c r="D147">
        <v>4838</v>
      </c>
      <c r="E147" s="2">
        <v>242.35</v>
      </c>
      <c r="F147">
        <v>21</v>
      </c>
      <c r="G147">
        <v>3</v>
      </c>
      <c r="H147">
        <v>1.7000000000000001E-2</v>
      </c>
      <c r="I147" s="3">
        <v>1599</v>
      </c>
      <c r="J147" s="1">
        <v>45618</v>
      </c>
      <c r="K147" t="s">
        <v>31</v>
      </c>
      <c r="L147" t="s">
        <v>7</v>
      </c>
      <c r="M147" t="s">
        <v>37</v>
      </c>
      <c r="N147" s="1">
        <f t="shared" si="12"/>
        <v>45618</v>
      </c>
      <c r="O147" s="4">
        <f t="shared" si="13"/>
        <v>3.5965274906986359E-2</v>
      </c>
      <c r="P147">
        <f t="shared" si="14"/>
        <v>1.3928160919540229</v>
      </c>
      <c r="Q147" s="2">
        <f t="shared" si="15"/>
        <v>11.540476190476189</v>
      </c>
      <c r="R147" s="2">
        <f t="shared" si="16"/>
        <v>80.783333333333331</v>
      </c>
      <c r="S147" s="2">
        <f t="shared" si="17"/>
        <v>6.5978956055291933</v>
      </c>
    </row>
    <row r="148" spans="1:19" hidden="1">
      <c r="A148" t="s">
        <v>197</v>
      </c>
      <c r="B148" t="s">
        <v>30</v>
      </c>
      <c r="C148">
        <v>196</v>
      </c>
      <c r="D148">
        <v>4524</v>
      </c>
      <c r="E148" s="2">
        <v>192.01</v>
      </c>
      <c r="F148">
        <v>15</v>
      </c>
      <c r="G148">
        <v>8</v>
      </c>
      <c r="H148">
        <v>4.1000000000000002E-2</v>
      </c>
      <c r="I148" s="3">
        <v>1048</v>
      </c>
      <c r="J148" s="1">
        <v>45609</v>
      </c>
      <c r="K148" t="s">
        <v>31</v>
      </c>
      <c r="L148" t="s">
        <v>7</v>
      </c>
      <c r="M148" t="s">
        <v>35</v>
      </c>
      <c r="N148" s="1">
        <f t="shared" si="12"/>
        <v>45609</v>
      </c>
      <c r="O148" s="4">
        <f t="shared" si="13"/>
        <v>4.3324491600353669E-2</v>
      </c>
      <c r="P148">
        <f t="shared" si="14"/>
        <v>0.97964285714285715</v>
      </c>
      <c r="Q148" s="2">
        <f t="shared" si="15"/>
        <v>12.800666666666666</v>
      </c>
      <c r="R148" s="2">
        <f t="shared" si="16"/>
        <v>24.001249999999999</v>
      </c>
      <c r="S148" s="2">
        <f t="shared" si="17"/>
        <v>5.4580490599447948</v>
      </c>
    </row>
    <row r="149" spans="1:19" hidden="1">
      <c r="A149" t="s">
        <v>198</v>
      </c>
      <c r="B149" t="s">
        <v>30</v>
      </c>
      <c r="C149">
        <v>194</v>
      </c>
      <c r="D149">
        <v>4694</v>
      </c>
      <c r="E149" s="2">
        <v>228.15</v>
      </c>
      <c r="F149">
        <v>17</v>
      </c>
      <c r="G149">
        <v>7</v>
      </c>
      <c r="H149">
        <v>3.5999999999999997E-2</v>
      </c>
      <c r="I149" s="3">
        <v>1874</v>
      </c>
      <c r="J149" s="1">
        <v>45610</v>
      </c>
      <c r="K149" t="s">
        <v>31</v>
      </c>
      <c r="L149" t="s">
        <v>9</v>
      </c>
      <c r="M149" t="s">
        <v>32</v>
      </c>
      <c r="N149" s="1">
        <f t="shared" si="12"/>
        <v>45610</v>
      </c>
      <c r="O149" s="4">
        <f t="shared" si="13"/>
        <v>4.1329356625479333E-2</v>
      </c>
      <c r="P149">
        <f t="shared" si="14"/>
        <v>1.1760309278350516</v>
      </c>
      <c r="Q149" s="2">
        <f t="shared" si="15"/>
        <v>13.420588235294119</v>
      </c>
      <c r="R149" s="2">
        <f t="shared" si="16"/>
        <v>32.592857142857142</v>
      </c>
      <c r="S149" s="2">
        <f t="shared" si="17"/>
        <v>8.2138943677405205</v>
      </c>
    </row>
    <row r="150" spans="1:19">
      <c r="A150" t="s">
        <v>199</v>
      </c>
      <c r="B150" t="s">
        <v>30</v>
      </c>
      <c r="C150">
        <v>180</v>
      </c>
      <c r="D150">
        <v>4326</v>
      </c>
      <c r="E150" s="2">
        <v>221.67</v>
      </c>
      <c r="F150">
        <v>13</v>
      </c>
      <c r="G150">
        <v>7</v>
      </c>
      <c r="H150">
        <v>4.5999999999999999E-2</v>
      </c>
      <c r="I150" s="3">
        <v>1427</v>
      </c>
      <c r="J150" s="1">
        <v>45454</v>
      </c>
      <c r="K150" t="s">
        <v>31</v>
      </c>
      <c r="L150" t="s">
        <v>9</v>
      </c>
      <c r="M150" t="s">
        <v>41</v>
      </c>
      <c r="N150" s="1">
        <f t="shared" si="12"/>
        <v>45454</v>
      </c>
      <c r="O150" s="4">
        <f t="shared" si="13"/>
        <v>4.1608876560332873E-2</v>
      </c>
      <c r="P150">
        <f t="shared" si="14"/>
        <v>1.2315</v>
      </c>
      <c r="Q150" s="2">
        <f t="shared" si="15"/>
        <v>17.05153846153846</v>
      </c>
      <c r="R150" s="2">
        <f t="shared" si="16"/>
        <v>31.667142857142856</v>
      </c>
      <c r="S150" s="2">
        <f t="shared" si="17"/>
        <v>6.4374971804935264</v>
      </c>
    </row>
    <row r="151" spans="1:19" hidden="1">
      <c r="A151" t="s">
        <v>200</v>
      </c>
      <c r="B151" t="s">
        <v>30</v>
      </c>
      <c r="C151">
        <v>100</v>
      </c>
      <c r="D151">
        <v>4235</v>
      </c>
      <c r="E151" s="2">
        <v>222.61</v>
      </c>
      <c r="F151">
        <v>10</v>
      </c>
      <c r="G151">
        <v>8</v>
      </c>
      <c r="H151">
        <v>5.0999999999999997E-2</v>
      </c>
      <c r="I151" s="3">
        <v>1814</v>
      </c>
      <c r="J151" s="1">
        <v>45302</v>
      </c>
      <c r="K151" t="s">
        <v>31</v>
      </c>
      <c r="L151" t="s">
        <v>7</v>
      </c>
      <c r="M151" t="s">
        <v>39</v>
      </c>
      <c r="N151" s="1">
        <f t="shared" si="12"/>
        <v>45302</v>
      </c>
      <c r="O151" s="4">
        <f t="shared" si="13"/>
        <v>2.3612750885478158E-2</v>
      </c>
      <c r="P151">
        <f t="shared" si="14"/>
        <v>2.2261000000000002</v>
      </c>
      <c r="Q151" s="2">
        <f t="shared" si="15"/>
        <v>22.261000000000003</v>
      </c>
      <c r="R151" s="2">
        <f t="shared" si="16"/>
        <v>27.826250000000002</v>
      </c>
      <c r="S151" s="2">
        <f t="shared" si="17"/>
        <v>8.1487803782399713</v>
      </c>
    </row>
    <row r="152" spans="1:19" hidden="1">
      <c r="A152" t="s">
        <v>201</v>
      </c>
      <c r="B152" t="s">
        <v>30</v>
      </c>
      <c r="C152">
        <v>153</v>
      </c>
      <c r="D152">
        <v>4367</v>
      </c>
      <c r="E152" s="2">
        <v>184.51</v>
      </c>
      <c r="F152">
        <v>29</v>
      </c>
      <c r="G152">
        <v>9</v>
      </c>
      <c r="H152">
        <v>5.8999999999999997E-2</v>
      </c>
      <c r="I152" s="3">
        <v>1507</v>
      </c>
      <c r="J152" s="1">
        <v>45609</v>
      </c>
      <c r="K152" t="s">
        <v>31</v>
      </c>
      <c r="L152" t="s">
        <v>8</v>
      </c>
      <c r="M152" t="s">
        <v>46</v>
      </c>
      <c r="N152" s="1">
        <f t="shared" si="12"/>
        <v>45609</v>
      </c>
      <c r="O152" s="4">
        <f t="shared" si="13"/>
        <v>3.5035493473780627E-2</v>
      </c>
      <c r="P152">
        <f t="shared" si="14"/>
        <v>1.2059477124183007</v>
      </c>
      <c r="Q152" s="2">
        <f t="shared" si="15"/>
        <v>6.3624137931034479</v>
      </c>
      <c r="R152" s="2">
        <f t="shared" si="16"/>
        <v>20.501111111111111</v>
      </c>
      <c r="S152" s="2">
        <f t="shared" si="17"/>
        <v>8.1675789930085099</v>
      </c>
    </row>
    <row r="153" spans="1:19" hidden="1">
      <c r="A153" t="s">
        <v>202</v>
      </c>
      <c r="B153" t="s">
        <v>30</v>
      </c>
      <c r="C153">
        <v>110</v>
      </c>
      <c r="D153">
        <v>3748</v>
      </c>
      <c r="E153" s="2">
        <v>198.68</v>
      </c>
      <c r="F153">
        <v>24</v>
      </c>
      <c r="G153">
        <v>9</v>
      </c>
      <c r="H153">
        <v>8.2000000000000003E-2</v>
      </c>
      <c r="I153" s="3">
        <v>1041</v>
      </c>
      <c r="J153" s="1">
        <v>45423</v>
      </c>
      <c r="K153" t="s">
        <v>31</v>
      </c>
      <c r="L153" t="s">
        <v>9</v>
      </c>
      <c r="M153" t="s">
        <v>39</v>
      </c>
      <c r="N153" s="1">
        <f t="shared" si="12"/>
        <v>45423</v>
      </c>
      <c r="O153" s="4">
        <f t="shared" si="13"/>
        <v>2.934898612593383E-2</v>
      </c>
      <c r="P153">
        <f t="shared" si="14"/>
        <v>1.8061818181818183</v>
      </c>
      <c r="Q153" s="2">
        <f t="shared" si="15"/>
        <v>8.2783333333333342</v>
      </c>
      <c r="R153" s="2">
        <f t="shared" si="16"/>
        <v>22.075555555555557</v>
      </c>
      <c r="S153" s="2">
        <f t="shared" si="17"/>
        <v>5.2395812361586467</v>
      </c>
    </row>
    <row r="154" spans="1:19" hidden="1">
      <c r="A154" t="s">
        <v>203</v>
      </c>
      <c r="B154" t="s">
        <v>30</v>
      </c>
      <c r="C154">
        <v>116</v>
      </c>
      <c r="D154">
        <v>3901</v>
      </c>
      <c r="E154" s="2">
        <v>215.57</v>
      </c>
      <c r="F154">
        <v>21</v>
      </c>
      <c r="G154">
        <v>4</v>
      </c>
      <c r="H154">
        <v>3.4000000000000002E-2</v>
      </c>
      <c r="I154" s="3">
        <v>1483</v>
      </c>
      <c r="J154" s="1">
        <v>45609</v>
      </c>
      <c r="K154" t="s">
        <v>31</v>
      </c>
      <c r="L154" t="s">
        <v>9</v>
      </c>
      <c r="M154" t="s">
        <v>41</v>
      </c>
      <c r="N154" s="1">
        <f t="shared" si="12"/>
        <v>45609</v>
      </c>
      <c r="O154" s="4">
        <f t="shared" si="13"/>
        <v>2.9735965137144323E-2</v>
      </c>
      <c r="P154">
        <f t="shared" si="14"/>
        <v>1.8583620689655171</v>
      </c>
      <c r="Q154" s="2">
        <f t="shared" si="15"/>
        <v>10.265238095238095</v>
      </c>
      <c r="R154" s="2">
        <f t="shared" si="16"/>
        <v>53.892499999999998</v>
      </c>
      <c r="S154" s="2">
        <f t="shared" si="17"/>
        <v>6.8794359140882317</v>
      </c>
    </row>
    <row r="155" spans="1:19" hidden="1">
      <c r="A155" t="s">
        <v>204</v>
      </c>
      <c r="B155" t="s">
        <v>30</v>
      </c>
      <c r="C155">
        <v>156</v>
      </c>
      <c r="D155">
        <v>3335</v>
      </c>
      <c r="E155" s="2">
        <v>236.98</v>
      </c>
      <c r="F155">
        <v>29</v>
      </c>
      <c r="G155">
        <v>7</v>
      </c>
      <c r="H155">
        <v>4.4999999999999998E-2</v>
      </c>
      <c r="I155" s="3">
        <v>1143</v>
      </c>
      <c r="J155" s="1">
        <v>45610</v>
      </c>
      <c r="K155" t="s">
        <v>31</v>
      </c>
      <c r="L155" t="s">
        <v>7</v>
      </c>
      <c r="M155" t="s">
        <v>35</v>
      </c>
      <c r="N155" s="1">
        <f t="shared" si="12"/>
        <v>45610</v>
      </c>
      <c r="O155" s="4">
        <f t="shared" si="13"/>
        <v>4.6776611694152925E-2</v>
      </c>
      <c r="P155">
        <f t="shared" si="14"/>
        <v>1.5191025641025639</v>
      </c>
      <c r="Q155" s="2">
        <f t="shared" si="15"/>
        <v>8.1717241379310348</v>
      </c>
      <c r="R155" s="2">
        <f t="shared" si="16"/>
        <v>33.854285714285716</v>
      </c>
      <c r="S155" s="2">
        <f t="shared" si="17"/>
        <v>4.8231918305342223</v>
      </c>
    </row>
    <row r="156" spans="1:19" hidden="1">
      <c r="A156" t="s">
        <v>205</v>
      </c>
      <c r="B156" t="s">
        <v>30</v>
      </c>
      <c r="C156">
        <v>177</v>
      </c>
      <c r="D156">
        <v>5671</v>
      </c>
      <c r="E156" s="2">
        <v>210.74</v>
      </c>
      <c r="F156">
        <v>19</v>
      </c>
      <c r="G156">
        <v>6</v>
      </c>
      <c r="H156">
        <v>5.8000000000000003E-2</v>
      </c>
      <c r="I156" s="3">
        <v>1172</v>
      </c>
      <c r="J156" s="1" t="s">
        <v>206</v>
      </c>
      <c r="K156" t="s">
        <v>31</v>
      </c>
      <c r="L156" t="s">
        <v>9</v>
      </c>
      <c r="M156" t="s">
        <v>35</v>
      </c>
      <c r="N156" s="1">
        <f t="shared" si="12"/>
        <v>45621</v>
      </c>
      <c r="O156" s="4">
        <f t="shared" si="13"/>
        <v>3.1211426556162936E-2</v>
      </c>
      <c r="P156">
        <f t="shared" si="14"/>
        <v>1.1906214689265537</v>
      </c>
      <c r="Q156" s="2">
        <f t="shared" si="15"/>
        <v>11.091578947368422</v>
      </c>
      <c r="R156" s="2">
        <f t="shared" si="16"/>
        <v>35.123333333333335</v>
      </c>
      <c r="S156" s="2">
        <f t="shared" si="17"/>
        <v>5.561355224447186</v>
      </c>
    </row>
    <row r="157" spans="1:19" hidden="1">
      <c r="A157" t="s">
        <v>207</v>
      </c>
      <c r="B157" t="s">
        <v>30</v>
      </c>
      <c r="C157">
        <v>89</v>
      </c>
      <c r="D157">
        <v>3408</v>
      </c>
      <c r="E157" s="2">
        <v>214.78</v>
      </c>
      <c r="F157">
        <v>25</v>
      </c>
      <c r="G157">
        <v>9</v>
      </c>
      <c r="H157">
        <v>0.10100000000000001</v>
      </c>
      <c r="I157" s="3">
        <v>1898</v>
      </c>
      <c r="J157" s="1">
        <v>45611</v>
      </c>
      <c r="K157" t="s">
        <v>31</v>
      </c>
      <c r="L157" t="s">
        <v>8</v>
      </c>
      <c r="M157" t="s">
        <v>35</v>
      </c>
      <c r="N157" s="1">
        <f t="shared" si="12"/>
        <v>45611</v>
      </c>
      <c r="O157" s="4">
        <f t="shared" si="13"/>
        <v>2.6115023474178403E-2</v>
      </c>
      <c r="P157">
        <f t="shared" si="14"/>
        <v>2.413258426966292</v>
      </c>
      <c r="Q157" s="2">
        <f t="shared" si="15"/>
        <v>8.5912000000000006</v>
      </c>
      <c r="R157" s="2">
        <f t="shared" si="16"/>
        <v>23.864444444444445</v>
      </c>
      <c r="S157" s="2">
        <f t="shared" si="17"/>
        <v>8.8369494366328336</v>
      </c>
    </row>
    <row r="158" spans="1:19" hidden="1">
      <c r="A158" t="s">
        <v>208</v>
      </c>
      <c r="B158" t="s">
        <v>30</v>
      </c>
      <c r="C158">
        <v>155</v>
      </c>
      <c r="D158">
        <v>4422</v>
      </c>
      <c r="E158" s="2">
        <v>183.96</v>
      </c>
      <c r="F158">
        <v>14</v>
      </c>
      <c r="G158">
        <v>8</v>
      </c>
      <c r="H158">
        <v>3.6999999999999998E-2</v>
      </c>
      <c r="I158" s="3">
        <v>1143</v>
      </c>
      <c r="J158" s="1">
        <v>45611</v>
      </c>
      <c r="K158" t="s">
        <v>31</v>
      </c>
      <c r="L158" t="s">
        <v>8</v>
      </c>
      <c r="M158" t="s">
        <v>46</v>
      </c>
      <c r="N158" s="1">
        <f t="shared" si="12"/>
        <v>45611</v>
      </c>
      <c r="O158" s="4">
        <f t="shared" si="13"/>
        <v>3.5052012663952963E-2</v>
      </c>
      <c r="P158">
        <f t="shared" si="14"/>
        <v>1.1868387096774193</v>
      </c>
      <c r="Q158" s="2">
        <f t="shared" si="15"/>
        <v>13.14</v>
      </c>
      <c r="R158" s="2">
        <f t="shared" si="16"/>
        <v>22.995000000000001</v>
      </c>
      <c r="S158" s="2">
        <f t="shared" si="17"/>
        <v>6.2133072407045011</v>
      </c>
    </row>
    <row r="159" spans="1:19" hidden="1">
      <c r="A159" t="s">
        <v>209</v>
      </c>
      <c r="B159" t="s">
        <v>30</v>
      </c>
      <c r="C159">
        <v>123</v>
      </c>
      <c r="D159">
        <v>3097</v>
      </c>
      <c r="E159" s="2">
        <v>190.55</v>
      </c>
      <c r="F159">
        <v>20</v>
      </c>
      <c r="G159">
        <v>8</v>
      </c>
      <c r="H159">
        <v>6.5000000000000002E-2</v>
      </c>
      <c r="I159" s="3">
        <v>1640</v>
      </c>
      <c r="J159" s="1">
        <v>45618</v>
      </c>
      <c r="K159" t="s">
        <v>31</v>
      </c>
      <c r="L159" t="s">
        <v>9</v>
      </c>
      <c r="M159" t="s">
        <v>35</v>
      </c>
      <c r="N159" s="1">
        <f t="shared" si="12"/>
        <v>45618</v>
      </c>
      <c r="O159" s="4">
        <f t="shared" si="13"/>
        <v>3.9715854052308687E-2</v>
      </c>
      <c r="P159">
        <f t="shared" si="14"/>
        <v>1.5491869918699188</v>
      </c>
      <c r="Q159" s="2">
        <f t="shared" si="15"/>
        <v>9.5274999999999999</v>
      </c>
      <c r="R159" s="2">
        <f t="shared" si="16"/>
        <v>23.818750000000001</v>
      </c>
      <c r="S159" s="2">
        <f t="shared" si="17"/>
        <v>8.6066649173445278</v>
      </c>
    </row>
    <row r="160" spans="1:19" hidden="1">
      <c r="A160" t="s">
        <v>210</v>
      </c>
      <c r="B160" t="s">
        <v>30</v>
      </c>
      <c r="C160">
        <v>102</v>
      </c>
      <c r="D160">
        <v>3621</v>
      </c>
      <c r="E160" s="2">
        <v>244.82</v>
      </c>
      <c r="F160">
        <v>10</v>
      </c>
      <c r="G160">
        <v>5</v>
      </c>
      <c r="H160">
        <v>4.9000000000000002E-2</v>
      </c>
      <c r="I160" s="3">
        <v>1375</v>
      </c>
      <c r="J160" s="1">
        <v>45608</v>
      </c>
      <c r="K160" t="s">
        <v>31</v>
      </c>
      <c r="L160" t="s">
        <v>8</v>
      </c>
      <c r="M160" t="s">
        <v>32</v>
      </c>
      <c r="N160" s="1">
        <f t="shared" si="12"/>
        <v>45608</v>
      </c>
      <c r="O160" s="4">
        <f t="shared" si="13"/>
        <v>2.8169014084507043E-2</v>
      </c>
      <c r="P160">
        <f t="shared" si="14"/>
        <v>2.4001960784313723</v>
      </c>
      <c r="Q160" s="2">
        <f t="shared" si="15"/>
        <v>24.481999999999999</v>
      </c>
      <c r="R160" s="2">
        <f t="shared" si="16"/>
        <v>48.963999999999999</v>
      </c>
      <c r="S160" s="2">
        <f t="shared" si="17"/>
        <v>5.6163712115023285</v>
      </c>
    </row>
    <row r="161" spans="1:19">
      <c r="A161" t="s">
        <v>211</v>
      </c>
      <c r="B161" t="s">
        <v>30</v>
      </c>
      <c r="C161">
        <v>150</v>
      </c>
      <c r="D161">
        <v>4806</v>
      </c>
      <c r="E161" s="2">
        <v>244.53</v>
      </c>
      <c r="F161">
        <v>15</v>
      </c>
      <c r="G161">
        <v>9</v>
      </c>
      <c r="H161">
        <v>4.5999999999999999E-2</v>
      </c>
      <c r="I161" s="3">
        <v>1602</v>
      </c>
      <c r="J161" s="1">
        <v>45484</v>
      </c>
      <c r="K161" t="s">
        <v>31</v>
      </c>
      <c r="L161" t="s">
        <v>8</v>
      </c>
      <c r="M161" t="s">
        <v>37</v>
      </c>
      <c r="N161" s="1">
        <f t="shared" si="12"/>
        <v>45484</v>
      </c>
      <c r="O161" s="4">
        <f t="shared" si="13"/>
        <v>3.1210986267166042E-2</v>
      </c>
      <c r="P161">
        <f t="shared" si="14"/>
        <v>1.6302000000000001</v>
      </c>
      <c r="Q161" s="2">
        <f t="shared" si="15"/>
        <v>16.302</v>
      </c>
      <c r="R161" s="2">
        <f t="shared" si="16"/>
        <v>27.17</v>
      </c>
      <c r="S161" s="2">
        <f t="shared" si="17"/>
        <v>6.5513433934486569</v>
      </c>
    </row>
    <row r="162" spans="1:19" hidden="1">
      <c r="A162" t="s">
        <v>212</v>
      </c>
      <c r="B162" t="s">
        <v>30</v>
      </c>
      <c r="C162">
        <v>160</v>
      </c>
      <c r="D162">
        <v>4518.5</v>
      </c>
      <c r="E162" s="2">
        <v>245.87</v>
      </c>
      <c r="F162">
        <v>11</v>
      </c>
      <c r="G162">
        <v>6</v>
      </c>
      <c r="H162">
        <v>3.6999999999999998E-2</v>
      </c>
      <c r="I162" s="3">
        <v>1505</v>
      </c>
      <c r="J162" s="1">
        <v>45601</v>
      </c>
      <c r="K162" t="s">
        <v>31</v>
      </c>
      <c r="L162" t="s">
        <v>7</v>
      </c>
      <c r="M162" t="s">
        <v>46</v>
      </c>
      <c r="N162" s="1">
        <f t="shared" si="12"/>
        <v>45601</v>
      </c>
      <c r="O162" s="4">
        <f t="shared" si="13"/>
        <v>3.5409981188447494E-2</v>
      </c>
      <c r="P162">
        <f t="shared" si="14"/>
        <v>1.5366875</v>
      </c>
      <c r="Q162" s="2">
        <f t="shared" si="15"/>
        <v>22.351818181818182</v>
      </c>
      <c r="R162" s="2">
        <f t="shared" si="16"/>
        <v>40.978333333333332</v>
      </c>
      <c r="S162" s="2">
        <f t="shared" si="17"/>
        <v>6.1211209175580592</v>
      </c>
    </row>
    <row r="163" spans="1:19" hidden="1">
      <c r="A163" t="s">
        <v>213</v>
      </c>
      <c r="B163" t="s">
        <v>30</v>
      </c>
      <c r="C163">
        <v>143</v>
      </c>
      <c r="D163">
        <v>3901</v>
      </c>
      <c r="E163" s="2">
        <v>191.38</v>
      </c>
      <c r="F163">
        <v>29</v>
      </c>
      <c r="G163">
        <v>4</v>
      </c>
      <c r="H163">
        <v>5.2999999999999999E-2</v>
      </c>
      <c r="I163" s="3">
        <v>1786</v>
      </c>
      <c r="J163" s="1">
        <v>45620</v>
      </c>
      <c r="K163" t="s">
        <v>31</v>
      </c>
      <c r="L163" t="s">
        <v>8</v>
      </c>
      <c r="M163" t="s">
        <v>32</v>
      </c>
      <c r="N163" s="1">
        <f t="shared" si="12"/>
        <v>45620</v>
      </c>
      <c r="O163" s="4">
        <f t="shared" si="13"/>
        <v>3.6657267367341706E-2</v>
      </c>
      <c r="P163">
        <f t="shared" si="14"/>
        <v>1.3383216783216783</v>
      </c>
      <c r="Q163" s="2">
        <f t="shared" si="15"/>
        <v>6.5993103448275861</v>
      </c>
      <c r="R163" s="2">
        <f t="shared" si="16"/>
        <v>47.844999999999999</v>
      </c>
      <c r="S163" s="2">
        <f t="shared" si="17"/>
        <v>9.3322186226355939</v>
      </c>
    </row>
    <row r="164" spans="1:19" hidden="1">
      <c r="A164" t="s">
        <v>214</v>
      </c>
      <c r="B164" t="s">
        <v>30</v>
      </c>
      <c r="C164">
        <v>178</v>
      </c>
      <c r="D164">
        <v>4673</v>
      </c>
      <c r="E164" s="2">
        <v>222.46</v>
      </c>
      <c r="F164">
        <v>29</v>
      </c>
      <c r="G164">
        <v>6</v>
      </c>
      <c r="H164">
        <v>5.0999999999999997E-2</v>
      </c>
      <c r="I164" s="3">
        <v>1219</v>
      </c>
      <c r="J164" s="1">
        <v>45600</v>
      </c>
      <c r="K164" t="s">
        <v>31</v>
      </c>
      <c r="L164" t="s">
        <v>9</v>
      </c>
      <c r="M164" t="s">
        <v>41</v>
      </c>
      <c r="N164" s="1">
        <f t="shared" si="12"/>
        <v>45600</v>
      </c>
      <c r="O164" s="4">
        <f t="shared" si="13"/>
        <v>3.8091161994436122E-2</v>
      </c>
      <c r="P164">
        <f t="shared" si="14"/>
        <v>1.2497752808988765</v>
      </c>
      <c r="Q164" s="2">
        <f t="shared" si="15"/>
        <v>7.6710344827586212</v>
      </c>
      <c r="R164" s="2">
        <f t="shared" si="16"/>
        <v>37.076666666666668</v>
      </c>
      <c r="S164" s="2">
        <f t="shared" si="17"/>
        <v>5.4796367886361592</v>
      </c>
    </row>
    <row r="165" spans="1:19">
      <c r="A165" t="s">
        <v>215</v>
      </c>
      <c r="B165" t="s">
        <v>30</v>
      </c>
      <c r="C165">
        <v>152</v>
      </c>
      <c r="D165">
        <v>3542</v>
      </c>
      <c r="E165" s="2">
        <v>208.96</v>
      </c>
      <c r="F165">
        <v>13</v>
      </c>
      <c r="G165">
        <v>9</v>
      </c>
      <c r="H165">
        <v>4.5999999999999999E-2</v>
      </c>
      <c r="I165" s="3">
        <v>1735</v>
      </c>
      <c r="J165" s="1">
        <v>45609</v>
      </c>
      <c r="K165" t="s">
        <v>31</v>
      </c>
      <c r="L165" t="s">
        <v>7</v>
      </c>
      <c r="M165" t="s">
        <v>35</v>
      </c>
      <c r="N165" s="1">
        <f t="shared" si="12"/>
        <v>45609</v>
      </c>
      <c r="O165" s="4">
        <f t="shared" si="13"/>
        <v>4.2913608130999432E-2</v>
      </c>
      <c r="P165">
        <f t="shared" si="14"/>
        <v>1.3747368421052633</v>
      </c>
      <c r="Q165" s="2">
        <f t="shared" si="15"/>
        <v>16.073846153846155</v>
      </c>
      <c r="R165" s="2">
        <f t="shared" si="16"/>
        <v>23.21777777777778</v>
      </c>
      <c r="S165" s="2">
        <f t="shared" si="17"/>
        <v>8.3030245022970899</v>
      </c>
    </row>
    <row r="166" spans="1:19">
      <c r="A166" t="s">
        <v>216</v>
      </c>
      <c r="B166" t="s">
        <v>30</v>
      </c>
      <c r="C166">
        <v>139</v>
      </c>
      <c r="D166">
        <v>4347</v>
      </c>
      <c r="E166" s="2">
        <v>238.19</v>
      </c>
      <c r="F166">
        <v>26</v>
      </c>
      <c r="G166">
        <v>5</v>
      </c>
      <c r="H166">
        <v>4.5999999999999999E-2</v>
      </c>
      <c r="I166" s="3">
        <v>1384</v>
      </c>
      <c r="J166" s="1" t="s">
        <v>217</v>
      </c>
      <c r="K166" t="s">
        <v>31</v>
      </c>
      <c r="L166" t="s">
        <v>9</v>
      </c>
      <c r="M166" t="s">
        <v>46</v>
      </c>
      <c r="N166" s="1">
        <f t="shared" si="12"/>
        <v>45609</v>
      </c>
      <c r="O166" s="4">
        <f t="shared" si="13"/>
        <v>3.1976075454336325E-2</v>
      </c>
      <c r="P166">
        <f t="shared" si="14"/>
        <v>1.7135971223021582</v>
      </c>
      <c r="Q166" s="2">
        <f t="shared" si="15"/>
        <v>9.1611538461538462</v>
      </c>
      <c r="R166" s="2">
        <f t="shared" si="16"/>
        <v>47.637999999999998</v>
      </c>
      <c r="S166" s="2">
        <f t="shared" si="17"/>
        <v>5.8104874260044506</v>
      </c>
    </row>
    <row r="167" spans="1:19" hidden="1">
      <c r="A167" t="s">
        <v>218</v>
      </c>
      <c r="B167" t="s">
        <v>30</v>
      </c>
      <c r="C167">
        <v>175</v>
      </c>
      <c r="D167">
        <v>5014</v>
      </c>
      <c r="E167" s="2">
        <v>247.24</v>
      </c>
      <c r="F167">
        <v>25</v>
      </c>
      <c r="G167">
        <v>7</v>
      </c>
      <c r="H167">
        <v>0.04</v>
      </c>
      <c r="I167" s="3">
        <v>1499</v>
      </c>
      <c r="J167" s="1" t="s">
        <v>89</v>
      </c>
      <c r="K167" t="s">
        <v>31</v>
      </c>
      <c r="L167" t="s">
        <v>8</v>
      </c>
      <c r="M167" t="s">
        <v>32</v>
      </c>
      <c r="N167" s="1">
        <f t="shared" si="12"/>
        <v>45611</v>
      </c>
      <c r="O167" s="4">
        <f t="shared" si="13"/>
        <v>3.4902273633825288E-2</v>
      </c>
      <c r="P167">
        <f t="shared" si="14"/>
        <v>1.4128000000000001</v>
      </c>
      <c r="Q167" s="2">
        <f t="shared" si="15"/>
        <v>9.8895999999999997</v>
      </c>
      <c r="R167" s="2">
        <f t="shared" si="16"/>
        <v>35.32</v>
      </c>
      <c r="S167" s="2">
        <f t="shared" si="17"/>
        <v>6.0629348001941432</v>
      </c>
    </row>
    <row r="168" spans="1:19" hidden="1">
      <c r="A168" t="s">
        <v>219</v>
      </c>
      <c r="B168" t="s">
        <v>30</v>
      </c>
      <c r="C168">
        <v>92</v>
      </c>
      <c r="D168">
        <v>4185</v>
      </c>
      <c r="E168" s="2">
        <v>218.46</v>
      </c>
      <c r="F168">
        <v>21</v>
      </c>
      <c r="G168">
        <v>9</v>
      </c>
      <c r="H168">
        <v>3.5000000000000003E-2</v>
      </c>
      <c r="I168" s="3">
        <v>1567</v>
      </c>
      <c r="J168" s="1">
        <v>45599</v>
      </c>
      <c r="K168" t="s">
        <v>31</v>
      </c>
      <c r="L168" t="s">
        <v>8</v>
      </c>
      <c r="M168" t="s">
        <v>37</v>
      </c>
      <c r="N168" s="1">
        <f t="shared" si="12"/>
        <v>45599</v>
      </c>
      <c r="O168" s="4">
        <f t="shared" si="13"/>
        <v>2.1983273596176821E-2</v>
      </c>
      <c r="P168">
        <f t="shared" si="14"/>
        <v>2.3745652173913046</v>
      </c>
      <c r="Q168" s="2">
        <f t="shared" si="15"/>
        <v>10.402857142857144</v>
      </c>
      <c r="R168" s="2">
        <f t="shared" si="16"/>
        <v>24.273333333333333</v>
      </c>
      <c r="S168" s="2">
        <f t="shared" si="17"/>
        <v>7.1729378375904052</v>
      </c>
    </row>
    <row r="169" spans="1:19">
      <c r="A169" t="s">
        <v>220</v>
      </c>
      <c r="B169" t="s">
        <v>30</v>
      </c>
      <c r="C169">
        <v>123</v>
      </c>
      <c r="D169">
        <v>5964</v>
      </c>
      <c r="E169" s="2">
        <v>215.57</v>
      </c>
      <c r="F169">
        <v>17</v>
      </c>
      <c r="G169">
        <v>6</v>
      </c>
      <c r="H169">
        <v>4.5999999999999999E-2</v>
      </c>
      <c r="I169" s="3">
        <v>1363</v>
      </c>
      <c r="J169" s="1">
        <v>45599</v>
      </c>
      <c r="K169" t="s">
        <v>31</v>
      </c>
      <c r="L169" t="s">
        <v>7</v>
      </c>
      <c r="M169" t="s">
        <v>39</v>
      </c>
      <c r="N169" s="1">
        <f t="shared" si="12"/>
        <v>45599</v>
      </c>
      <c r="O169" s="4">
        <f t="shared" si="13"/>
        <v>2.062374245472837E-2</v>
      </c>
      <c r="P169">
        <f t="shared" si="14"/>
        <v>1.75260162601626</v>
      </c>
      <c r="Q169" s="2">
        <f t="shared" si="15"/>
        <v>12.680588235294117</v>
      </c>
      <c r="R169" s="2">
        <f t="shared" si="16"/>
        <v>35.928333333333335</v>
      </c>
      <c r="S169" s="2">
        <f t="shared" si="17"/>
        <v>6.322772185369022</v>
      </c>
    </row>
    <row r="170" spans="1:19" hidden="1">
      <c r="A170" t="s">
        <v>221</v>
      </c>
      <c r="B170" t="s">
        <v>30</v>
      </c>
      <c r="C170">
        <v>86</v>
      </c>
      <c r="D170">
        <v>5124</v>
      </c>
      <c r="E170" s="2">
        <v>183.71</v>
      </c>
      <c r="F170">
        <v>13</v>
      </c>
      <c r="G170">
        <v>10</v>
      </c>
      <c r="H170">
        <v>0.11600000000000001</v>
      </c>
      <c r="I170" s="3">
        <v>1137</v>
      </c>
      <c r="J170" s="1" t="s">
        <v>34</v>
      </c>
      <c r="K170" t="s">
        <v>31</v>
      </c>
      <c r="L170" t="s">
        <v>8</v>
      </c>
      <c r="M170" t="s">
        <v>39</v>
      </c>
      <c r="N170" s="1">
        <f t="shared" si="12"/>
        <v>45616</v>
      </c>
      <c r="O170" s="4">
        <f t="shared" si="13"/>
        <v>1.6783762685402031E-2</v>
      </c>
      <c r="P170">
        <f t="shared" si="14"/>
        <v>2.1361627906976746</v>
      </c>
      <c r="Q170" s="2">
        <f t="shared" si="15"/>
        <v>14.131538461538462</v>
      </c>
      <c r="R170" s="2">
        <f t="shared" si="16"/>
        <v>18.371000000000002</v>
      </c>
      <c r="S170" s="2">
        <f t="shared" si="17"/>
        <v>6.1891023896358393</v>
      </c>
    </row>
    <row r="171" spans="1:19" hidden="1">
      <c r="A171" t="s">
        <v>222</v>
      </c>
      <c r="B171" t="s">
        <v>30</v>
      </c>
      <c r="C171">
        <v>117</v>
      </c>
      <c r="D171">
        <v>4162</v>
      </c>
      <c r="E171" s="2">
        <v>238.08</v>
      </c>
      <c r="F171">
        <v>28</v>
      </c>
      <c r="G171">
        <v>10</v>
      </c>
      <c r="H171">
        <v>8.5000000000000006E-2</v>
      </c>
      <c r="I171" s="3">
        <v>1186</v>
      </c>
      <c r="J171" s="1">
        <v>45618</v>
      </c>
      <c r="K171" t="s">
        <v>31</v>
      </c>
      <c r="L171" t="s">
        <v>8</v>
      </c>
      <c r="M171" t="s">
        <v>41</v>
      </c>
      <c r="N171" s="1">
        <f t="shared" si="12"/>
        <v>45618</v>
      </c>
      <c r="O171" s="4">
        <f t="shared" si="13"/>
        <v>2.8111484863046612E-2</v>
      </c>
      <c r="P171">
        <f t="shared" si="14"/>
        <v>2.0348717948717949</v>
      </c>
      <c r="Q171" s="2">
        <f t="shared" si="15"/>
        <v>8.5028571428571436</v>
      </c>
      <c r="R171" s="2">
        <f t="shared" si="16"/>
        <v>23.808</v>
      </c>
      <c r="S171" s="2">
        <f t="shared" si="17"/>
        <v>4.981518817204301</v>
      </c>
    </row>
    <row r="172" spans="1:19" hidden="1">
      <c r="A172" t="s">
        <v>223</v>
      </c>
      <c r="B172" t="s">
        <v>30</v>
      </c>
      <c r="C172">
        <v>146</v>
      </c>
      <c r="D172">
        <v>4330</v>
      </c>
      <c r="E172" s="2">
        <v>191.9</v>
      </c>
      <c r="F172">
        <v>20</v>
      </c>
      <c r="G172">
        <v>3</v>
      </c>
      <c r="H172">
        <v>2.1000000000000001E-2</v>
      </c>
      <c r="I172" s="3">
        <v>1748</v>
      </c>
      <c r="J172" s="1">
        <v>45605</v>
      </c>
      <c r="K172" t="s">
        <v>31</v>
      </c>
      <c r="L172" t="s">
        <v>8</v>
      </c>
      <c r="M172" t="s">
        <v>41</v>
      </c>
      <c r="N172" s="1">
        <f t="shared" si="12"/>
        <v>45605</v>
      </c>
      <c r="O172" s="4">
        <f t="shared" si="13"/>
        <v>3.3718244803695153E-2</v>
      </c>
      <c r="P172">
        <f t="shared" si="14"/>
        <v>1.3143835616438357</v>
      </c>
      <c r="Q172" s="2">
        <f t="shared" si="15"/>
        <v>9.5950000000000006</v>
      </c>
      <c r="R172" s="2">
        <f t="shared" si="16"/>
        <v>63.966666666666669</v>
      </c>
      <c r="S172" s="2">
        <f t="shared" si="17"/>
        <v>9.1089108910891081</v>
      </c>
    </row>
    <row r="173" spans="1:19" hidden="1">
      <c r="A173" t="s">
        <v>224</v>
      </c>
      <c r="B173" t="s">
        <v>30</v>
      </c>
      <c r="C173">
        <v>89</v>
      </c>
      <c r="D173">
        <v>3268</v>
      </c>
      <c r="E173" s="2">
        <v>215.57</v>
      </c>
      <c r="F173">
        <v>17</v>
      </c>
      <c r="G173">
        <v>4</v>
      </c>
      <c r="H173">
        <v>4.4999999999999998E-2</v>
      </c>
      <c r="I173" s="3">
        <v>1233</v>
      </c>
      <c r="J173" s="1">
        <v>45609</v>
      </c>
      <c r="K173" t="s">
        <v>31</v>
      </c>
      <c r="L173" t="s">
        <v>7</v>
      </c>
      <c r="M173" t="s">
        <v>41</v>
      </c>
      <c r="N173" s="1">
        <f t="shared" si="12"/>
        <v>45609</v>
      </c>
      <c r="O173" s="4">
        <f t="shared" si="13"/>
        <v>2.7233782129742961E-2</v>
      </c>
      <c r="P173">
        <f t="shared" si="14"/>
        <v>2.4221348314606739</v>
      </c>
      <c r="Q173" s="2">
        <f t="shared" si="15"/>
        <v>12.680588235294117</v>
      </c>
      <c r="R173" s="2">
        <f t="shared" si="16"/>
        <v>53.892499999999998</v>
      </c>
      <c r="S173" s="2">
        <f t="shared" si="17"/>
        <v>5.7197198125898785</v>
      </c>
    </row>
    <row r="174" spans="1:19" hidden="1">
      <c r="A174" t="s">
        <v>225</v>
      </c>
      <c r="B174" t="s">
        <v>30</v>
      </c>
      <c r="C174">
        <v>195</v>
      </c>
      <c r="D174">
        <v>3483</v>
      </c>
      <c r="E174" s="2">
        <v>213.99</v>
      </c>
      <c r="F174">
        <v>27</v>
      </c>
      <c r="G174">
        <v>7</v>
      </c>
      <c r="H174">
        <v>3.5999999999999997E-2</v>
      </c>
      <c r="I174" s="3">
        <v>1796</v>
      </c>
      <c r="J174" s="1" t="s">
        <v>111</v>
      </c>
      <c r="K174" t="s">
        <v>31</v>
      </c>
      <c r="L174" t="s">
        <v>7</v>
      </c>
      <c r="M174" t="s">
        <v>32</v>
      </c>
      <c r="N174" s="1">
        <f t="shared" si="12"/>
        <v>45619</v>
      </c>
      <c r="O174" s="4">
        <f t="shared" si="13"/>
        <v>5.5986218776916452E-2</v>
      </c>
      <c r="P174">
        <f t="shared" si="14"/>
        <v>1.0973846153846154</v>
      </c>
      <c r="Q174" s="2">
        <f t="shared" si="15"/>
        <v>7.9255555555555555</v>
      </c>
      <c r="R174" s="2">
        <f t="shared" si="16"/>
        <v>30.57</v>
      </c>
      <c r="S174" s="2">
        <f t="shared" si="17"/>
        <v>8.3929155568017197</v>
      </c>
    </row>
    <row r="175" spans="1:19" hidden="1">
      <c r="A175" t="s">
        <v>226</v>
      </c>
      <c r="B175" t="s">
        <v>30</v>
      </c>
      <c r="C175">
        <v>170</v>
      </c>
      <c r="D175">
        <v>4519</v>
      </c>
      <c r="E175" s="2">
        <v>240.63</v>
      </c>
      <c r="F175">
        <v>22</v>
      </c>
      <c r="G175">
        <v>7</v>
      </c>
      <c r="H175">
        <v>4.1000000000000002E-2</v>
      </c>
      <c r="I175" s="3">
        <v>1012</v>
      </c>
      <c r="J175" s="1" t="s">
        <v>115</v>
      </c>
      <c r="K175" t="s">
        <v>31</v>
      </c>
      <c r="L175" t="s">
        <v>8</v>
      </c>
      <c r="M175" t="s">
        <v>46</v>
      </c>
      <c r="N175" s="1">
        <f t="shared" si="12"/>
        <v>45623</v>
      </c>
      <c r="O175" s="4">
        <f t="shared" si="13"/>
        <v>3.7618942243859262E-2</v>
      </c>
      <c r="P175">
        <f t="shared" si="14"/>
        <v>1.415470588235294</v>
      </c>
      <c r="Q175" s="2">
        <f t="shared" si="15"/>
        <v>10.937727272727273</v>
      </c>
      <c r="R175" s="2">
        <f t="shared" si="16"/>
        <v>34.375714285714288</v>
      </c>
      <c r="S175" s="2">
        <f t="shared" si="17"/>
        <v>4.2056268960644978</v>
      </c>
    </row>
    <row r="176" spans="1:19" hidden="1">
      <c r="A176" t="s">
        <v>227</v>
      </c>
      <c r="B176" t="s">
        <v>30</v>
      </c>
      <c r="C176">
        <v>97</v>
      </c>
      <c r="D176">
        <v>3605</v>
      </c>
      <c r="E176" s="2">
        <v>240.29</v>
      </c>
      <c r="F176">
        <v>21</v>
      </c>
      <c r="G176">
        <v>7</v>
      </c>
      <c r="H176">
        <v>4.4999999999999998E-2</v>
      </c>
      <c r="I176" s="3">
        <v>1682</v>
      </c>
      <c r="J176" s="1">
        <v>45606</v>
      </c>
      <c r="K176" t="s">
        <v>31</v>
      </c>
      <c r="L176" t="s">
        <v>7</v>
      </c>
      <c r="M176" t="s">
        <v>37</v>
      </c>
      <c r="N176" s="1">
        <f t="shared" si="12"/>
        <v>45606</v>
      </c>
      <c r="O176" s="4">
        <f t="shared" si="13"/>
        <v>2.6907073509015257E-2</v>
      </c>
      <c r="P176">
        <f t="shared" si="14"/>
        <v>2.4772164948453606</v>
      </c>
      <c r="Q176" s="2">
        <f t="shared" si="15"/>
        <v>11.442380952380953</v>
      </c>
      <c r="R176" s="2">
        <f t="shared" si="16"/>
        <v>34.327142857142853</v>
      </c>
      <c r="S176" s="2">
        <f t="shared" si="17"/>
        <v>6.9998751508593786</v>
      </c>
    </row>
    <row r="177" spans="1:19" hidden="1">
      <c r="A177" t="s">
        <v>228</v>
      </c>
      <c r="B177" t="s">
        <v>30</v>
      </c>
      <c r="C177">
        <v>159</v>
      </c>
      <c r="D177">
        <v>5076</v>
      </c>
      <c r="E177" s="2">
        <v>204.97</v>
      </c>
      <c r="F177">
        <v>15</v>
      </c>
      <c r="G177">
        <v>10</v>
      </c>
      <c r="H177">
        <v>6.3E-2</v>
      </c>
      <c r="I177" s="3">
        <v>1638</v>
      </c>
      <c r="J177" s="1" t="s">
        <v>132</v>
      </c>
      <c r="K177" t="s">
        <v>31</v>
      </c>
      <c r="L177" t="s">
        <v>9</v>
      </c>
      <c r="M177" t="s">
        <v>35</v>
      </c>
      <c r="N177" s="1">
        <f t="shared" si="12"/>
        <v>45613</v>
      </c>
      <c r="O177" s="4">
        <f t="shared" si="13"/>
        <v>3.1323877068557916E-2</v>
      </c>
      <c r="P177">
        <f t="shared" si="14"/>
        <v>1.2891194968553459</v>
      </c>
      <c r="Q177" s="2">
        <f t="shared" si="15"/>
        <v>13.664666666666667</v>
      </c>
      <c r="R177" s="2">
        <f t="shared" si="16"/>
        <v>20.497</v>
      </c>
      <c r="S177" s="2">
        <f t="shared" si="17"/>
        <v>7.991413377567449</v>
      </c>
    </row>
    <row r="178" spans="1:19">
      <c r="A178" t="s">
        <v>229</v>
      </c>
      <c r="B178" t="s">
        <v>30</v>
      </c>
      <c r="C178">
        <v>131</v>
      </c>
      <c r="D178">
        <v>5352</v>
      </c>
      <c r="E178" s="2">
        <v>225.86</v>
      </c>
      <c r="F178">
        <v>24</v>
      </c>
      <c r="G178">
        <v>10</v>
      </c>
      <c r="H178">
        <v>4.5999999999999999E-2</v>
      </c>
      <c r="I178" s="3">
        <v>1961</v>
      </c>
      <c r="J178" s="1">
        <v>45616</v>
      </c>
      <c r="K178" t="s">
        <v>31</v>
      </c>
      <c r="L178" t="s">
        <v>8</v>
      </c>
      <c r="M178" t="s">
        <v>41</v>
      </c>
      <c r="N178" s="1">
        <f t="shared" si="12"/>
        <v>45616</v>
      </c>
      <c r="O178" s="4">
        <f t="shared" si="13"/>
        <v>2.4476831091180866E-2</v>
      </c>
      <c r="P178">
        <f t="shared" si="14"/>
        <v>1.7241221374045803</v>
      </c>
      <c r="Q178" s="2">
        <f t="shared" si="15"/>
        <v>9.4108333333333345</v>
      </c>
      <c r="R178" s="2">
        <f t="shared" si="16"/>
        <v>22.586000000000002</v>
      </c>
      <c r="S178" s="2">
        <f t="shared" si="17"/>
        <v>8.6823696094926053</v>
      </c>
    </row>
    <row r="179" spans="1:19" hidden="1">
      <c r="A179" t="s">
        <v>230</v>
      </c>
      <c r="B179" t="s">
        <v>30</v>
      </c>
      <c r="C179">
        <v>108</v>
      </c>
      <c r="D179">
        <v>5503</v>
      </c>
      <c r="E179" s="2">
        <v>185.26</v>
      </c>
      <c r="F179">
        <v>11</v>
      </c>
      <c r="G179">
        <v>7</v>
      </c>
      <c r="H179">
        <v>6.5000000000000002E-2</v>
      </c>
      <c r="I179" s="3">
        <v>1921</v>
      </c>
      <c r="J179" s="1">
        <v>45454</v>
      </c>
      <c r="K179" t="s">
        <v>31</v>
      </c>
      <c r="L179" t="s">
        <v>8</v>
      </c>
      <c r="M179" t="s">
        <v>37</v>
      </c>
      <c r="N179" s="1">
        <f t="shared" si="12"/>
        <v>45454</v>
      </c>
      <c r="O179" s="4">
        <f t="shared" si="13"/>
        <v>1.9625658731600944E-2</v>
      </c>
      <c r="P179">
        <f t="shared" si="14"/>
        <v>1.7153703703703702</v>
      </c>
      <c r="Q179" s="2">
        <f t="shared" si="15"/>
        <v>16.84181818181818</v>
      </c>
      <c r="R179" s="2">
        <f t="shared" si="16"/>
        <v>26.465714285714284</v>
      </c>
      <c r="S179" s="2">
        <f t="shared" si="17"/>
        <v>10.369210838821116</v>
      </c>
    </row>
    <row r="180" spans="1:19" hidden="1">
      <c r="A180" t="s">
        <v>231</v>
      </c>
      <c r="B180" t="s">
        <v>30</v>
      </c>
      <c r="C180">
        <v>93</v>
      </c>
      <c r="D180">
        <v>4308</v>
      </c>
      <c r="E180" s="2">
        <v>209.83</v>
      </c>
      <c r="F180">
        <v>19</v>
      </c>
      <c r="G180">
        <v>9</v>
      </c>
      <c r="H180">
        <v>9.7000000000000003E-2</v>
      </c>
      <c r="I180" s="3">
        <v>1694</v>
      </c>
      <c r="J180" s="1">
        <v>45616</v>
      </c>
      <c r="K180" t="s">
        <v>31</v>
      </c>
      <c r="L180" t="s">
        <v>8</v>
      </c>
      <c r="M180" t="s">
        <v>35</v>
      </c>
      <c r="N180" s="1">
        <f t="shared" si="12"/>
        <v>45616</v>
      </c>
      <c r="O180" s="4">
        <f t="shared" si="13"/>
        <v>2.1587743732590529E-2</v>
      </c>
      <c r="P180">
        <f t="shared" si="14"/>
        <v>2.256236559139785</v>
      </c>
      <c r="Q180" s="2">
        <f t="shared" si="15"/>
        <v>11.043684210526317</v>
      </c>
      <c r="R180" s="2">
        <f t="shared" si="16"/>
        <v>23.314444444444447</v>
      </c>
      <c r="S180" s="2">
        <f t="shared" si="17"/>
        <v>8.0732021159986651</v>
      </c>
    </row>
    <row r="181" spans="1:19">
      <c r="A181" t="s">
        <v>232</v>
      </c>
      <c r="B181" t="s">
        <v>30</v>
      </c>
      <c r="C181">
        <v>137</v>
      </c>
      <c r="D181">
        <v>3555</v>
      </c>
      <c r="E181" s="2">
        <v>213.5</v>
      </c>
      <c r="F181">
        <v>29</v>
      </c>
      <c r="G181">
        <v>3</v>
      </c>
      <c r="H181">
        <v>4.5999999999999999E-2</v>
      </c>
      <c r="I181" s="3">
        <v>1505</v>
      </c>
      <c r="J181" s="1">
        <v>45602</v>
      </c>
      <c r="K181" t="s">
        <v>31</v>
      </c>
      <c r="L181" t="s">
        <v>7</v>
      </c>
      <c r="M181" t="s">
        <v>35</v>
      </c>
      <c r="N181" s="1">
        <f t="shared" si="12"/>
        <v>45602</v>
      </c>
      <c r="O181" s="4">
        <f t="shared" si="13"/>
        <v>3.8537271448663854E-2</v>
      </c>
      <c r="P181">
        <f t="shared" si="14"/>
        <v>1.5583941605839415</v>
      </c>
      <c r="Q181" s="2">
        <f t="shared" si="15"/>
        <v>7.3620689655172411</v>
      </c>
      <c r="R181" s="2">
        <f t="shared" si="16"/>
        <v>71.166666666666671</v>
      </c>
      <c r="S181" s="2">
        <f t="shared" si="17"/>
        <v>7.0491803278688527</v>
      </c>
    </row>
    <row r="182" spans="1:19" hidden="1">
      <c r="A182" t="s">
        <v>233</v>
      </c>
      <c r="B182" t="s">
        <v>30</v>
      </c>
      <c r="C182">
        <v>81</v>
      </c>
      <c r="D182">
        <v>5615</v>
      </c>
      <c r="E182" s="2">
        <v>193.14</v>
      </c>
      <c r="F182">
        <v>30</v>
      </c>
      <c r="G182">
        <v>6</v>
      </c>
      <c r="H182">
        <v>7.3999999999999996E-2</v>
      </c>
      <c r="I182" s="3">
        <v>1255</v>
      </c>
      <c r="J182" s="1">
        <v>45624</v>
      </c>
      <c r="K182" t="s">
        <v>31</v>
      </c>
      <c r="L182" t="s">
        <v>8</v>
      </c>
      <c r="M182" t="s">
        <v>46</v>
      </c>
      <c r="N182" s="1">
        <f t="shared" si="12"/>
        <v>45624</v>
      </c>
      <c r="O182" s="4">
        <f t="shared" si="13"/>
        <v>1.4425645592163847E-2</v>
      </c>
      <c r="P182">
        <f t="shared" si="14"/>
        <v>2.3844444444444441</v>
      </c>
      <c r="Q182" s="2">
        <f t="shared" si="15"/>
        <v>6.4379999999999997</v>
      </c>
      <c r="R182" s="2">
        <f t="shared" si="16"/>
        <v>32.19</v>
      </c>
      <c r="S182" s="2">
        <f t="shared" si="17"/>
        <v>6.4978771875323602</v>
      </c>
    </row>
    <row r="183" spans="1:19" hidden="1">
      <c r="A183" t="s">
        <v>234</v>
      </c>
      <c r="B183" t="s">
        <v>30</v>
      </c>
      <c r="C183">
        <v>160</v>
      </c>
      <c r="D183">
        <v>4743</v>
      </c>
      <c r="E183" s="2">
        <v>206.22</v>
      </c>
      <c r="F183">
        <v>23</v>
      </c>
      <c r="G183">
        <v>10</v>
      </c>
      <c r="H183">
        <v>6.2E-2</v>
      </c>
      <c r="I183" s="3">
        <v>1825</v>
      </c>
      <c r="J183" s="1">
        <v>45616</v>
      </c>
      <c r="K183" t="s">
        <v>31</v>
      </c>
      <c r="L183" t="s">
        <v>8</v>
      </c>
      <c r="M183" t="s">
        <v>32</v>
      </c>
      <c r="N183" s="1">
        <f t="shared" si="12"/>
        <v>45616</v>
      </c>
      <c r="O183" s="4">
        <f t="shared" si="13"/>
        <v>3.3733923676997679E-2</v>
      </c>
      <c r="P183">
        <f t="shared" si="14"/>
        <v>1.288875</v>
      </c>
      <c r="Q183" s="2">
        <f t="shared" si="15"/>
        <v>8.9660869565217389</v>
      </c>
      <c r="R183" s="2">
        <f t="shared" si="16"/>
        <v>20.622</v>
      </c>
      <c r="S183" s="2">
        <f t="shared" si="17"/>
        <v>8.8497720880612931</v>
      </c>
    </row>
    <row r="184" spans="1:19" hidden="1">
      <c r="A184" t="s">
        <v>235</v>
      </c>
      <c r="B184" t="s">
        <v>30</v>
      </c>
      <c r="C184">
        <v>186</v>
      </c>
      <c r="D184">
        <v>3337</v>
      </c>
      <c r="E184" s="2">
        <v>183.58</v>
      </c>
      <c r="F184">
        <v>16</v>
      </c>
      <c r="G184">
        <v>8</v>
      </c>
      <c r="H184">
        <v>4.2999999999999997E-2</v>
      </c>
      <c r="I184" s="3">
        <v>1045</v>
      </c>
      <c r="J184" s="1">
        <v>45626</v>
      </c>
      <c r="K184" t="s">
        <v>31</v>
      </c>
      <c r="L184" t="s">
        <v>7</v>
      </c>
      <c r="M184" t="s">
        <v>41</v>
      </c>
      <c r="N184" s="1">
        <f t="shared" si="12"/>
        <v>45626</v>
      </c>
      <c r="O184" s="4">
        <f t="shared" si="13"/>
        <v>5.5738687443811809E-2</v>
      </c>
      <c r="P184">
        <f t="shared" si="14"/>
        <v>0.98698924731182802</v>
      </c>
      <c r="Q184" s="2">
        <f t="shared" si="15"/>
        <v>11.473750000000001</v>
      </c>
      <c r="R184" s="2">
        <f t="shared" si="16"/>
        <v>22.947500000000002</v>
      </c>
      <c r="S184" s="2">
        <f t="shared" si="17"/>
        <v>5.6923412136398293</v>
      </c>
    </row>
    <row r="185" spans="1:19" hidden="1">
      <c r="A185" t="s">
        <v>236</v>
      </c>
      <c r="B185" t="s">
        <v>30</v>
      </c>
      <c r="C185">
        <v>105</v>
      </c>
      <c r="D185">
        <v>3234</v>
      </c>
      <c r="E185" s="2">
        <v>238.8</v>
      </c>
      <c r="F185">
        <v>27</v>
      </c>
      <c r="G185">
        <v>10</v>
      </c>
      <c r="H185">
        <v>9.5000000000000001E-2</v>
      </c>
      <c r="I185" s="3">
        <v>1248</v>
      </c>
      <c r="J185" s="1">
        <v>45602</v>
      </c>
      <c r="K185" t="s">
        <v>31</v>
      </c>
      <c r="L185" t="s">
        <v>7</v>
      </c>
      <c r="M185" t="s">
        <v>41</v>
      </c>
      <c r="N185" s="1">
        <f t="shared" si="12"/>
        <v>45602</v>
      </c>
      <c r="O185" s="4">
        <f t="shared" si="13"/>
        <v>3.2467532467532464E-2</v>
      </c>
      <c r="P185">
        <f t="shared" si="14"/>
        <v>2.2742857142857145</v>
      </c>
      <c r="Q185" s="2">
        <f t="shared" si="15"/>
        <v>8.844444444444445</v>
      </c>
      <c r="R185" s="2">
        <f t="shared" si="16"/>
        <v>23.880000000000003</v>
      </c>
      <c r="S185" s="2">
        <f t="shared" si="17"/>
        <v>5.2261306532663312</v>
      </c>
    </row>
    <row r="186" spans="1:19">
      <c r="A186" t="s">
        <v>237</v>
      </c>
      <c r="B186" t="s">
        <v>30</v>
      </c>
      <c r="C186">
        <v>131</v>
      </c>
      <c r="D186">
        <v>3913</v>
      </c>
      <c r="E186" s="2">
        <v>203.69</v>
      </c>
      <c r="F186">
        <v>14</v>
      </c>
      <c r="G186">
        <v>10</v>
      </c>
      <c r="H186">
        <v>4.5999999999999999E-2</v>
      </c>
      <c r="I186" s="3">
        <v>1079</v>
      </c>
      <c r="J186" s="1">
        <v>45621</v>
      </c>
      <c r="K186" t="s">
        <v>31</v>
      </c>
      <c r="L186" t="s">
        <v>7</v>
      </c>
      <c r="M186" t="s">
        <v>39</v>
      </c>
      <c r="N186" s="1">
        <f t="shared" si="12"/>
        <v>45621</v>
      </c>
      <c r="O186" s="4">
        <f t="shared" si="13"/>
        <v>3.3478149757219522E-2</v>
      </c>
      <c r="P186">
        <f t="shared" si="14"/>
        <v>1.5548854961832062</v>
      </c>
      <c r="Q186" s="2">
        <f t="shared" si="15"/>
        <v>14.549285714285714</v>
      </c>
      <c r="R186" s="2">
        <f t="shared" si="16"/>
        <v>20.369</v>
      </c>
      <c r="S186" s="2">
        <f t="shared" si="17"/>
        <v>5.2972654524031615</v>
      </c>
    </row>
    <row r="187" spans="1:19" hidden="1">
      <c r="A187" t="s">
        <v>238</v>
      </c>
      <c r="B187" t="s">
        <v>30</v>
      </c>
      <c r="C187">
        <v>129</v>
      </c>
      <c r="D187">
        <v>3208</v>
      </c>
      <c r="E187" s="2">
        <v>204.2</v>
      </c>
      <c r="F187">
        <v>18</v>
      </c>
      <c r="G187">
        <v>8</v>
      </c>
      <c r="H187">
        <v>3.2000000000000001E-2</v>
      </c>
      <c r="I187" s="3">
        <v>1456</v>
      </c>
      <c r="J187" s="1">
        <v>45625</v>
      </c>
      <c r="K187" t="s">
        <v>31</v>
      </c>
      <c r="L187" t="s">
        <v>7</v>
      </c>
      <c r="M187" t="s">
        <v>32</v>
      </c>
      <c r="N187" s="1">
        <f t="shared" si="12"/>
        <v>45625</v>
      </c>
      <c r="O187" s="4">
        <f t="shared" si="13"/>
        <v>4.0211970074812968E-2</v>
      </c>
      <c r="P187">
        <f t="shared" si="14"/>
        <v>1.5829457364341084</v>
      </c>
      <c r="Q187" s="2">
        <f t="shared" si="15"/>
        <v>11.344444444444443</v>
      </c>
      <c r="R187" s="2">
        <f t="shared" si="16"/>
        <v>25.524999999999999</v>
      </c>
      <c r="S187" s="2">
        <f t="shared" si="17"/>
        <v>7.1302644466209602</v>
      </c>
    </row>
    <row r="188" spans="1:19" hidden="1">
      <c r="A188" t="s">
        <v>239</v>
      </c>
      <c r="B188" t="s">
        <v>30</v>
      </c>
      <c r="C188">
        <v>187</v>
      </c>
      <c r="D188">
        <v>5972</v>
      </c>
      <c r="E188" s="2">
        <v>220.64</v>
      </c>
      <c r="F188">
        <v>30</v>
      </c>
      <c r="G188">
        <v>7</v>
      </c>
      <c r="H188">
        <v>3.6999999999999998E-2</v>
      </c>
      <c r="I188" s="3">
        <v>1980</v>
      </c>
      <c r="J188" s="1">
        <v>45610</v>
      </c>
      <c r="K188" t="s">
        <v>31</v>
      </c>
      <c r="L188" t="s">
        <v>7</v>
      </c>
      <c r="M188" t="s">
        <v>35</v>
      </c>
      <c r="N188" s="1">
        <f t="shared" si="12"/>
        <v>45610</v>
      </c>
      <c r="O188" s="4">
        <f t="shared" si="13"/>
        <v>3.131279303415941E-2</v>
      </c>
      <c r="P188">
        <f t="shared" si="14"/>
        <v>1.1798930481283423</v>
      </c>
      <c r="Q188" s="2">
        <f t="shared" si="15"/>
        <v>7.3546666666666658</v>
      </c>
      <c r="R188" s="2">
        <f t="shared" si="16"/>
        <v>31.52</v>
      </c>
      <c r="S188" s="2">
        <f t="shared" si="17"/>
        <v>8.97389412617839</v>
      </c>
    </row>
    <row r="189" spans="1:19" hidden="1">
      <c r="A189" t="s">
        <v>240</v>
      </c>
      <c r="B189" t="s">
        <v>30</v>
      </c>
      <c r="C189">
        <v>167</v>
      </c>
      <c r="D189">
        <v>3662</v>
      </c>
      <c r="E189" s="2">
        <v>235.43</v>
      </c>
      <c r="F189">
        <v>10</v>
      </c>
      <c r="G189">
        <v>7</v>
      </c>
      <c r="H189">
        <v>4.2000000000000003E-2</v>
      </c>
      <c r="I189" s="3">
        <v>1684</v>
      </c>
      <c r="J189" s="1">
        <v>45621</v>
      </c>
      <c r="K189" t="s">
        <v>31</v>
      </c>
      <c r="L189" t="s">
        <v>8</v>
      </c>
      <c r="M189" t="s">
        <v>39</v>
      </c>
      <c r="N189" s="1">
        <f t="shared" si="12"/>
        <v>45621</v>
      </c>
      <c r="O189" s="4">
        <f t="shared" si="13"/>
        <v>4.5603495357728015E-2</v>
      </c>
      <c r="P189">
        <f t="shared" si="14"/>
        <v>1.4097604790419163</v>
      </c>
      <c r="Q189" s="2">
        <f t="shared" si="15"/>
        <v>23.542999999999999</v>
      </c>
      <c r="R189" s="2">
        <f t="shared" si="16"/>
        <v>33.632857142857141</v>
      </c>
      <c r="S189" s="2">
        <f t="shared" si="17"/>
        <v>7.1528692180265896</v>
      </c>
    </row>
    <row r="190" spans="1:19" hidden="1">
      <c r="A190" t="s">
        <v>241</v>
      </c>
      <c r="B190" t="s">
        <v>30</v>
      </c>
      <c r="C190">
        <v>140</v>
      </c>
      <c r="D190">
        <v>3359</v>
      </c>
      <c r="E190" s="2">
        <v>182.13</v>
      </c>
      <c r="F190">
        <v>29</v>
      </c>
      <c r="G190">
        <v>7</v>
      </c>
      <c r="H190">
        <v>4.4999999999999998E-2</v>
      </c>
      <c r="I190" s="3">
        <v>1973</v>
      </c>
      <c r="J190" s="1">
        <v>45624</v>
      </c>
      <c r="K190" t="s">
        <v>31</v>
      </c>
      <c r="L190" t="s">
        <v>7</v>
      </c>
      <c r="M190" t="s">
        <v>37</v>
      </c>
      <c r="N190" s="1">
        <f t="shared" si="12"/>
        <v>45624</v>
      </c>
      <c r="O190" s="4">
        <f t="shared" si="13"/>
        <v>4.1679071152128606E-2</v>
      </c>
      <c r="P190">
        <f t="shared" si="14"/>
        <v>1.3009285714285714</v>
      </c>
      <c r="Q190" s="2">
        <f t="shared" si="15"/>
        <v>6.280344827586207</v>
      </c>
      <c r="R190" s="2">
        <f t="shared" si="16"/>
        <v>26.018571428571427</v>
      </c>
      <c r="S190" s="2">
        <f t="shared" si="17"/>
        <v>10.832921539559656</v>
      </c>
    </row>
    <row r="191" spans="1:19">
      <c r="A191" t="s">
        <v>242</v>
      </c>
      <c r="B191" t="s">
        <v>30</v>
      </c>
      <c r="C191">
        <v>198</v>
      </c>
      <c r="D191">
        <v>3700</v>
      </c>
      <c r="E191" s="2">
        <v>220.67</v>
      </c>
      <c r="F191">
        <v>14</v>
      </c>
      <c r="G191">
        <v>5</v>
      </c>
      <c r="H191">
        <v>4.5999999999999999E-2</v>
      </c>
      <c r="I191" s="3">
        <v>1531</v>
      </c>
      <c r="J191" s="1">
        <v>45606</v>
      </c>
      <c r="K191" t="s">
        <v>31</v>
      </c>
      <c r="L191" t="s">
        <v>8</v>
      </c>
      <c r="M191" t="s">
        <v>46</v>
      </c>
      <c r="N191" s="1">
        <f t="shared" si="12"/>
        <v>45606</v>
      </c>
      <c r="O191" s="4">
        <f t="shared" si="13"/>
        <v>5.3513513513513515E-2</v>
      </c>
      <c r="P191">
        <f t="shared" si="14"/>
        <v>1.1144949494949494</v>
      </c>
      <c r="Q191" s="2">
        <f t="shared" si="15"/>
        <v>15.762142857142857</v>
      </c>
      <c r="R191" s="2">
        <f t="shared" si="16"/>
        <v>44.134</v>
      </c>
      <c r="S191" s="2">
        <f t="shared" si="17"/>
        <v>6.9379616622105411</v>
      </c>
    </row>
    <row r="192" spans="1:19" hidden="1">
      <c r="A192" t="s">
        <v>243</v>
      </c>
      <c r="B192" t="s">
        <v>30</v>
      </c>
      <c r="C192">
        <v>196</v>
      </c>
      <c r="D192">
        <v>3835</v>
      </c>
      <c r="E192" s="2">
        <v>218.07</v>
      </c>
      <c r="F192">
        <v>10</v>
      </c>
      <c r="G192">
        <v>9</v>
      </c>
      <c r="H192">
        <v>4.1000000000000002E-2</v>
      </c>
      <c r="I192" s="3">
        <v>1871</v>
      </c>
      <c r="J192" s="1">
        <v>45393</v>
      </c>
      <c r="K192" t="s">
        <v>31</v>
      </c>
      <c r="L192" t="s">
        <v>9</v>
      </c>
      <c r="M192" t="s">
        <v>41</v>
      </c>
      <c r="N192" s="1">
        <f t="shared" si="12"/>
        <v>45393</v>
      </c>
      <c r="O192" s="4">
        <f t="shared" si="13"/>
        <v>5.1108213820078227E-2</v>
      </c>
      <c r="P192">
        <f t="shared" si="14"/>
        <v>1.1126020408163264</v>
      </c>
      <c r="Q192" s="2">
        <f t="shared" si="15"/>
        <v>21.806999999999999</v>
      </c>
      <c r="R192" s="2">
        <f t="shared" si="16"/>
        <v>24.23</v>
      </c>
      <c r="S192" s="2">
        <f t="shared" si="17"/>
        <v>8.5798138212500579</v>
      </c>
    </row>
    <row r="193" spans="1:19">
      <c r="A193" t="s">
        <v>244</v>
      </c>
      <c r="B193" t="s">
        <v>30</v>
      </c>
      <c r="C193">
        <v>140</v>
      </c>
      <c r="D193">
        <v>5638</v>
      </c>
      <c r="E193" s="2">
        <v>208.02</v>
      </c>
      <c r="F193">
        <v>22</v>
      </c>
      <c r="G193">
        <v>5</v>
      </c>
      <c r="H193">
        <v>4.5999999999999999E-2</v>
      </c>
      <c r="I193" s="3">
        <v>1652</v>
      </c>
      <c r="J193" s="1">
        <v>45614</v>
      </c>
      <c r="K193" t="s">
        <v>31</v>
      </c>
      <c r="L193" t="s">
        <v>7</v>
      </c>
      <c r="M193" t="s">
        <v>39</v>
      </c>
      <c r="N193" s="1">
        <f t="shared" si="12"/>
        <v>45614</v>
      </c>
      <c r="O193" s="4">
        <f t="shared" si="13"/>
        <v>2.4831500532103583E-2</v>
      </c>
      <c r="P193">
        <f t="shared" si="14"/>
        <v>1.485857142857143</v>
      </c>
      <c r="Q193" s="2">
        <f t="shared" si="15"/>
        <v>9.4554545454545451</v>
      </c>
      <c r="R193" s="2">
        <f t="shared" si="16"/>
        <v>41.603999999999999</v>
      </c>
      <c r="S193" s="2">
        <f t="shared" si="17"/>
        <v>7.941544082299778</v>
      </c>
    </row>
    <row r="194" spans="1:19" hidden="1">
      <c r="A194" t="s">
        <v>245</v>
      </c>
      <c r="B194" t="s">
        <v>30</v>
      </c>
      <c r="C194">
        <v>157</v>
      </c>
      <c r="D194">
        <v>5825</v>
      </c>
      <c r="E194" s="2">
        <v>230.6</v>
      </c>
      <c r="F194">
        <v>16</v>
      </c>
      <c r="G194">
        <v>3</v>
      </c>
      <c r="H194">
        <v>1.9E-2</v>
      </c>
      <c r="I194" s="3">
        <v>1041</v>
      </c>
      <c r="J194" s="1">
        <v>45612</v>
      </c>
      <c r="K194" t="s">
        <v>31</v>
      </c>
      <c r="L194" t="s">
        <v>7</v>
      </c>
      <c r="M194" t="s">
        <v>39</v>
      </c>
      <c r="N194" s="1">
        <f t="shared" ref="N194:N257" si="18">IF(A194="","",IF(ISNUMBER(J194),J194,IF(MID(J194,5,1)="-",DATE(LEFT(J194,4),MID(J194,6,2),RIGHT(J194,2)),IF(MID(J194,5,1)="/",DATE(LEFT(J194,4),MID(J194,6,2),RIGHT(J194,2)),DATE(RIGHT(J194,4),MID(J194,4,2),LEFT(J194,2))))))</f>
        <v>45612</v>
      </c>
      <c r="O194" s="4">
        <f t="shared" ref="O194:O257" si="19">IFERROR(C194/D194,0)</f>
        <v>2.6952789699570816E-2</v>
      </c>
      <c r="P194">
        <f t="shared" ref="P194:P257" si="20">IFERROR(E194/C194,0)</f>
        <v>1.4687898089171973</v>
      </c>
      <c r="Q194" s="2">
        <f t="shared" ref="Q194:Q257" si="21">IFERROR(E194/F194,0)</f>
        <v>14.4125</v>
      </c>
      <c r="R194" s="2">
        <f t="shared" ref="R194:R257" si="22">IFERROR(E194/G194,0)</f>
        <v>76.86666666666666</v>
      </c>
      <c r="S194" s="2">
        <f t="shared" ref="S194:S257" si="23">IFERROR(I194/E194,0)</f>
        <v>4.5143104943625323</v>
      </c>
    </row>
    <row r="195" spans="1:19" hidden="1">
      <c r="A195" t="s">
        <v>246</v>
      </c>
      <c r="B195" t="s">
        <v>30</v>
      </c>
      <c r="C195">
        <v>91</v>
      </c>
      <c r="D195">
        <v>5428</v>
      </c>
      <c r="E195" s="2">
        <v>248.38</v>
      </c>
      <c r="F195">
        <v>11</v>
      </c>
      <c r="G195">
        <v>3</v>
      </c>
      <c r="H195">
        <v>3.3000000000000002E-2</v>
      </c>
      <c r="I195" s="3">
        <v>1835</v>
      </c>
      <c r="J195" s="1" t="s">
        <v>73</v>
      </c>
      <c r="K195" t="s">
        <v>31</v>
      </c>
      <c r="L195" t="s">
        <v>9</v>
      </c>
      <c r="M195" t="s">
        <v>32</v>
      </c>
      <c r="N195" s="1">
        <f t="shared" si="18"/>
        <v>45618</v>
      </c>
      <c r="O195" s="4">
        <f t="shared" si="19"/>
        <v>1.6764922623434046E-2</v>
      </c>
      <c r="P195">
        <f t="shared" si="20"/>
        <v>2.7294505494505494</v>
      </c>
      <c r="Q195" s="2">
        <f t="shared" si="21"/>
        <v>22.58</v>
      </c>
      <c r="R195" s="2">
        <f t="shared" si="22"/>
        <v>82.793333333333337</v>
      </c>
      <c r="S195" s="2">
        <f t="shared" si="23"/>
        <v>7.3878734197600453</v>
      </c>
    </row>
    <row r="196" spans="1:19" hidden="1">
      <c r="A196" t="s">
        <v>247</v>
      </c>
      <c r="B196" t="s">
        <v>30</v>
      </c>
      <c r="C196">
        <v>140</v>
      </c>
      <c r="D196">
        <v>3571</v>
      </c>
      <c r="E196" s="2">
        <v>238.12</v>
      </c>
      <c r="F196">
        <v>21</v>
      </c>
      <c r="G196">
        <v>9</v>
      </c>
      <c r="H196">
        <v>6.4000000000000001E-2</v>
      </c>
      <c r="I196" s="3">
        <v>1762</v>
      </c>
      <c r="J196" s="1">
        <v>45612</v>
      </c>
      <c r="K196" t="s">
        <v>31</v>
      </c>
      <c r="L196" t="s">
        <v>7</v>
      </c>
      <c r="M196" t="s">
        <v>32</v>
      </c>
      <c r="N196" s="1">
        <f t="shared" si="18"/>
        <v>45612</v>
      </c>
      <c r="O196" s="4">
        <f t="shared" si="19"/>
        <v>3.9204704564547749E-2</v>
      </c>
      <c r="P196">
        <f t="shared" si="20"/>
        <v>1.7008571428571428</v>
      </c>
      <c r="Q196" s="2">
        <f t="shared" si="21"/>
        <v>11.339047619047619</v>
      </c>
      <c r="R196" s="2">
        <f t="shared" si="22"/>
        <v>26.457777777777778</v>
      </c>
      <c r="S196" s="2">
        <f t="shared" si="23"/>
        <v>7.3996304384344027</v>
      </c>
    </row>
    <row r="197" spans="1:19" hidden="1">
      <c r="A197" t="s">
        <v>248</v>
      </c>
      <c r="B197" t="s">
        <v>30</v>
      </c>
      <c r="C197">
        <v>154</v>
      </c>
      <c r="D197">
        <v>3638</v>
      </c>
      <c r="E197" s="2">
        <v>182.17</v>
      </c>
      <c r="F197">
        <v>11</v>
      </c>
      <c r="G197">
        <v>8</v>
      </c>
      <c r="H197">
        <v>5.6000000000000001E-2</v>
      </c>
      <c r="I197" s="3">
        <v>1413</v>
      </c>
      <c r="J197" s="1">
        <v>45600</v>
      </c>
      <c r="K197" t="s">
        <v>31</v>
      </c>
      <c r="L197" t="s">
        <v>8</v>
      </c>
      <c r="M197" t="s">
        <v>41</v>
      </c>
      <c r="N197" s="1">
        <f t="shared" si="18"/>
        <v>45600</v>
      </c>
      <c r="O197" s="4">
        <f t="shared" si="19"/>
        <v>4.2330951072017592E-2</v>
      </c>
      <c r="P197">
        <f t="shared" si="20"/>
        <v>1.1829220779220779</v>
      </c>
      <c r="Q197" s="2">
        <f t="shared" si="21"/>
        <v>16.560909090909089</v>
      </c>
      <c r="R197" s="2">
        <f t="shared" si="22"/>
        <v>22.771249999999998</v>
      </c>
      <c r="S197" s="2">
        <f t="shared" si="23"/>
        <v>7.7564911895482247</v>
      </c>
    </row>
    <row r="198" spans="1:19" hidden="1">
      <c r="A198" t="s">
        <v>249</v>
      </c>
      <c r="B198" t="s">
        <v>30</v>
      </c>
      <c r="C198">
        <v>133</v>
      </c>
      <c r="D198">
        <v>4505</v>
      </c>
      <c r="E198" s="2">
        <v>200.52</v>
      </c>
      <c r="F198">
        <v>23</v>
      </c>
      <c r="G198">
        <v>3</v>
      </c>
      <c r="H198">
        <v>3.9E-2</v>
      </c>
      <c r="I198" s="3">
        <v>1562</v>
      </c>
      <c r="J198" s="1" t="s">
        <v>100</v>
      </c>
      <c r="K198" t="s">
        <v>31</v>
      </c>
      <c r="L198" t="s">
        <v>9</v>
      </c>
      <c r="M198" t="s">
        <v>46</v>
      </c>
      <c r="N198" s="1">
        <f t="shared" si="18"/>
        <v>45622</v>
      </c>
      <c r="O198" s="4">
        <f t="shared" si="19"/>
        <v>2.9522752497225305E-2</v>
      </c>
      <c r="P198">
        <f t="shared" si="20"/>
        <v>1.5076691729323308</v>
      </c>
      <c r="Q198" s="2">
        <f t="shared" si="21"/>
        <v>8.7182608695652171</v>
      </c>
      <c r="R198" s="2">
        <f t="shared" si="22"/>
        <v>66.84</v>
      </c>
      <c r="S198" s="2">
        <f t="shared" si="23"/>
        <v>7.7897466586874122</v>
      </c>
    </row>
    <row r="199" spans="1:19">
      <c r="A199" t="s">
        <v>250</v>
      </c>
      <c r="B199" t="s">
        <v>30</v>
      </c>
      <c r="C199">
        <v>139</v>
      </c>
      <c r="D199">
        <v>5016</v>
      </c>
      <c r="E199" s="2">
        <v>238.59</v>
      </c>
      <c r="F199">
        <v>26</v>
      </c>
      <c r="G199">
        <v>9</v>
      </c>
      <c r="H199">
        <v>4.5999999999999999E-2</v>
      </c>
      <c r="I199" s="3">
        <v>1620</v>
      </c>
      <c r="J199" s="1">
        <v>45616</v>
      </c>
      <c r="K199" t="s">
        <v>31</v>
      </c>
      <c r="L199" t="s">
        <v>8</v>
      </c>
      <c r="M199" t="s">
        <v>37</v>
      </c>
      <c r="N199" s="1">
        <f t="shared" si="18"/>
        <v>45616</v>
      </c>
      <c r="O199" s="4">
        <f t="shared" si="19"/>
        <v>2.7711323763955343E-2</v>
      </c>
      <c r="P199">
        <f t="shared" si="20"/>
        <v>1.7164748201438849</v>
      </c>
      <c r="Q199" s="2">
        <f t="shared" si="21"/>
        <v>9.1765384615384615</v>
      </c>
      <c r="R199" s="2">
        <f t="shared" si="22"/>
        <v>26.51</v>
      </c>
      <c r="S199" s="2">
        <f t="shared" si="23"/>
        <v>6.789890607317993</v>
      </c>
    </row>
    <row r="200" spans="1:19" hidden="1">
      <c r="A200" t="s">
        <v>251</v>
      </c>
      <c r="B200" t="s">
        <v>30</v>
      </c>
      <c r="C200">
        <v>141</v>
      </c>
      <c r="D200">
        <v>3071</v>
      </c>
      <c r="E200" s="2">
        <v>208.2</v>
      </c>
      <c r="F200">
        <v>10</v>
      </c>
      <c r="G200">
        <v>6</v>
      </c>
      <c r="H200">
        <v>4.2999999999999997E-2</v>
      </c>
      <c r="I200" s="3">
        <v>1647</v>
      </c>
      <c r="J200" s="1" t="s">
        <v>105</v>
      </c>
      <c r="K200" t="s">
        <v>31</v>
      </c>
      <c r="L200" t="s">
        <v>9</v>
      </c>
      <c r="M200" t="s">
        <v>37</v>
      </c>
      <c r="N200" s="1">
        <f t="shared" si="18"/>
        <v>45614</v>
      </c>
      <c r="O200" s="4">
        <f t="shared" si="19"/>
        <v>4.5913383262780855E-2</v>
      </c>
      <c r="P200">
        <f t="shared" si="20"/>
        <v>1.4765957446808511</v>
      </c>
      <c r="Q200" s="2">
        <f t="shared" si="21"/>
        <v>20.82</v>
      </c>
      <c r="R200" s="2">
        <f t="shared" si="22"/>
        <v>34.699999999999996</v>
      </c>
      <c r="S200" s="2">
        <f t="shared" si="23"/>
        <v>7.9106628242074937</v>
      </c>
    </row>
    <row r="201" spans="1:19">
      <c r="A201" t="s">
        <v>252</v>
      </c>
      <c r="B201" t="s">
        <v>30</v>
      </c>
      <c r="C201">
        <v>135</v>
      </c>
      <c r="D201">
        <v>5682</v>
      </c>
      <c r="E201" s="2">
        <v>215.57</v>
      </c>
      <c r="F201">
        <v>30</v>
      </c>
      <c r="G201">
        <v>3</v>
      </c>
      <c r="H201">
        <v>4.5999999999999999E-2</v>
      </c>
      <c r="I201" s="3">
        <v>1445</v>
      </c>
      <c r="J201" s="1">
        <v>45611</v>
      </c>
      <c r="K201" t="s">
        <v>31</v>
      </c>
      <c r="L201" t="s">
        <v>9</v>
      </c>
      <c r="M201" t="s">
        <v>39</v>
      </c>
      <c r="N201" s="1">
        <f t="shared" si="18"/>
        <v>45611</v>
      </c>
      <c r="O201" s="4">
        <f t="shared" si="19"/>
        <v>2.3759239704329461E-2</v>
      </c>
      <c r="P201">
        <f t="shared" si="20"/>
        <v>1.5968148148148147</v>
      </c>
      <c r="Q201" s="2">
        <f t="shared" si="21"/>
        <v>7.1856666666666662</v>
      </c>
      <c r="R201" s="2">
        <f t="shared" si="22"/>
        <v>71.856666666666669</v>
      </c>
      <c r="S201" s="2">
        <f t="shared" si="23"/>
        <v>6.7031590666604819</v>
      </c>
    </row>
    <row r="202" spans="1:19" hidden="1">
      <c r="A202" t="s">
        <v>253</v>
      </c>
      <c r="B202" t="s">
        <v>30</v>
      </c>
      <c r="C202">
        <v>199</v>
      </c>
      <c r="D202">
        <v>5067</v>
      </c>
      <c r="E202" s="2">
        <v>247.38</v>
      </c>
      <c r="F202">
        <v>24</v>
      </c>
      <c r="G202">
        <v>8</v>
      </c>
      <c r="H202">
        <v>5.8999999999999997E-2</v>
      </c>
      <c r="I202" s="3">
        <v>1365</v>
      </c>
      <c r="J202" s="1">
        <v>45615</v>
      </c>
      <c r="K202" t="s">
        <v>31</v>
      </c>
      <c r="L202" t="s">
        <v>8</v>
      </c>
      <c r="M202" t="s">
        <v>46</v>
      </c>
      <c r="N202" s="1">
        <f t="shared" si="18"/>
        <v>45615</v>
      </c>
      <c r="O202" s="4">
        <f t="shared" si="19"/>
        <v>3.9273731991316362E-2</v>
      </c>
      <c r="P202">
        <f t="shared" si="20"/>
        <v>1.2431155778894472</v>
      </c>
      <c r="Q202" s="2">
        <f t="shared" si="21"/>
        <v>10.307499999999999</v>
      </c>
      <c r="R202" s="2">
        <f t="shared" si="22"/>
        <v>30.922499999999999</v>
      </c>
      <c r="S202" s="2">
        <f t="shared" si="23"/>
        <v>5.5178268251273348</v>
      </c>
    </row>
    <row r="203" spans="1:19" hidden="1">
      <c r="A203" t="s">
        <v>254</v>
      </c>
      <c r="B203" t="s">
        <v>30</v>
      </c>
      <c r="C203">
        <v>138</v>
      </c>
      <c r="D203">
        <v>3971</v>
      </c>
      <c r="E203" s="2">
        <v>184.87</v>
      </c>
      <c r="F203">
        <v>28</v>
      </c>
      <c r="G203">
        <v>3</v>
      </c>
      <c r="H203">
        <v>2.1999999999999999E-2</v>
      </c>
      <c r="I203" s="3">
        <v>1718</v>
      </c>
      <c r="J203" s="1">
        <v>45603</v>
      </c>
      <c r="K203" t="s">
        <v>31</v>
      </c>
      <c r="L203" t="s">
        <v>9</v>
      </c>
      <c r="M203" t="s">
        <v>32</v>
      </c>
      <c r="N203" s="1">
        <f t="shared" si="18"/>
        <v>45603</v>
      </c>
      <c r="O203" s="4">
        <f t="shared" si="19"/>
        <v>3.4751951649458573E-2</v>
      </c>
      <c r="P203">
        <f t="shared" si="20"/>
        <v>1.3396376811594204</v>
      </c>
      <c r="Q203" s="2">
        <f t="shared" si="21"/>
        <v>6.6025</v>
      </c>
      <c r="R203" s="2">
        <f t="shared" si="22"/>
        <v>61.623333333333335</v>
      </c>
      <c r="S203" s="2">
        <f t="shared" si="23"/>
        <v>9.2930167144479903</v>
      </c>
    </row>
    <row r="204" spans="1:19" hidden="1">
      <c r="A204" t="s">
        <v>255</v>
      </c>
      <c r="B204" t="s">
        <v>30</v>
      </c>
      <c r="C204">
        <v>175</v>
      </c>
      <c r="D204">
        <v>4481</v>
      </c>
      <c r="E204" s="2">
        <v>236.38</v>
      </c>
      <c r="F204">
        <v>21</v>
      </c>
      <c r="G204">
        <v>10</v>
      </c>
      <c r="H204">
        <v>5.7000000000000002E-2</v>
      </c>
      <c r="I204" s="3">
        <v>1257</v>
      </c>
      <c r="J204" s="1" t="s">
        <v>34</v>
      </c>
      <c r="K204" t="s">
        <v>31</v>
      </c>
      <c r="L204" t="s">
        <v>7</v>
      </c>
      <c r="M204" t="s">
        <v>35</v>
      </c>
      <c r="N204" s="1">
        <f t="shared" si="18"/>
        <v>45616</v>
      </c>
      <c r="O204" s="4">
        <f t="shared" si="19"/>
        <v>3.9053782637804062E-2</v>
      </c>
      <c r="P204">
        <f t="shared" si="20"/>
        <v>1.350742857142857</v>
      </c>
      <c r="Q204" s="2">
        <f t="shared" si="21"/>
        <v>11.256190476190476</v>
      </c>
      <c r="R204" s="2">
        <f t="shared" si="22"/>
        <v>23.637999999999998</v>
      </c>
      <c r="S204" s="2">
        <f t="shared" si="23"/>
        <v>5.3177087740079534</v>
      </c>
    </row>
    <row r="205" spans="1:19" hidden="1">
      <c r="A205" t="s">
        <v>256</v>
      </c>
      <c r="B205" t="s">
        <v>30</v>
      </c>
      <c r="C205">
        <v>170</v>
      </c>
      <c r="D205">
        <v>5476</v>
      </c>
      <c r="E205" s="2">
        <v>186.29</v>
      </c>
      <c r="F205">
        <v>25</v>
      </c>
      <c r="G205">
        <v>4</v>
      </c>
      <c r="H205">
        <v>2.4E-2</v>
      </c>
      <c r="I205" s="3">
        <v>1731</v>
      </c>
      <c r="J205" s="1">
        <v>45515</v>
      </c>
      <c r="K205" t="s">
        <v>31</v>
      </c>
      <c r="L205" t="s">
        <v>8</v>
      </c>
      <c r="M205" t="s">
        <v>46</v>
      </c>
      <c r="N205" s="1">
        <f t="shared" si="18"/>
        <v>45515</v>
      </c>
      <c r="O205" s="4">
        <f t="shared" si="19"/>
        <v>3.1044558071585099E-2</v>
      </c>
      <c r="P205">
        <f t="shared" si="20"/>
        <v>1.0958235294117646</v>
      </c>
      <c r="Q205" s="2">
        <f t="shared" si="21"/>
        <v>7.4516</v>
      </c>
      <c r="R205" s="2">
        <f t="shared" si="22"/>
        <v>46.572499999999998</v>
      </c>
      <c r="S205" s="2">
        <f t="shared" si="23"/>
        <v>9.2919641419292507</v>
      </c>
    </row>
    <row r="206" spans="1:19" hidden="1">
      <c r="A206" t="s">
        <v>257</v>
      </c>
      <c r="B206" t="s">
        <v>30</v>
      </c>
      <c r="C206">
        <v>138</v>
      </c>
      <c r="D206">
        <v>4426</v>
      </c>
      <c r="E206" s="2">
        <v>203.75</v>
      </c>
      <c r="F206">
        <v>24</v>
      </c>
      <c r="G206">
        <v>10</v>
      </c>
      <c r="H206">
        <v>7.1999999999999995E-2</v>
      </c>
      <c r="I206" s="3">
        <v>1838</v>
      </c>
      <c r="J206" s="1">
        <v>45601</v>
      </c>
      <c r="K206" t="s">
        <v>31</v>
      </c>
      <c r="L206" t="s">
        <v>8</v>
      </c>
      <c r="M206" t="s">
        <v>35</v>
      </c>
      <c r="N206" s="1">
        <f t="shared" si="18"/>
        <v>45601</v>
      </c>
      <c r="O206" s="4">
        <f t="shared" si="19"/>
        <v>3.1179394487121554E-2</v>
      </c>
      <c r="P206">
        <f t="shared" si="20"/>
        <v>1.4764492753623188</v>
      </c>
      <c r="Q206" s="2">
        <f t="shared" si="21"/>
        <v>8.4895833333333339</v>
      </c>
      <c r="R206" s="2">
        <f t="shared" si="22"/>
        <v>20.375</v>
      </c>
      <c r="S206" s="2">
        <f t="shared" si="23"/>
        <v>9.0208588957055209</v>
      </c>
    </row>
    <row r="207" spans="1:19" hidden="1">
      <c r="A207" t="s">
        <v>258</v>
      </c>
      <c r="B207" t="s">
        <v>30</v>
      </c>
      <c r="C207">
        <v>108</v>
      </c>
      <c r="D207">
        <v>4080</v>
      </c>
      <c r="E207" s="2">
        <v>247.8</v>
      </c>
      <c r="F207">
        <v>18</v>
      </c>
      <c r="G207">
        <v>4</v>
      </c>
      <c r="H207">
        <v>3.6999999999999998E-2</v>
      </c>
      <c r="I207" s="3">
        <v>1363</v>
      </c>
      <c r="J207" s="1">
        <v>45626</v>
      </c>
      <c r="K207" t="s">
        <v>31</v>
      </c>
      <c r="L207" t="s">
        <v>9</v>
      </c>
      <c r="M207" t="s">
        <v>41</v>
      </c>
      <c r="N207" s="1">
        <f t="shared" si="18"/>
        <v>45626</v>
      </c>
      <c r="O207" s="4">
        <f t="shared" si="19"/>
        <v>2.6470588235294117E-2</v>
      </c>
      <c r="P207">
        <f t="shared" si="20"/>
        <v>2.2944444444444447</v>
      </c>
      <c r="Q207" s="2">
        <f t="shared" si="21"/>
        <v>13.766666666666667</v>
      </c>
      <c r="R207" s="2">
        <f t="shared" si="22"/>
        <v>61.95</v>
      </c>
      <c r="S207" s="2">
        <f t="shared" si="23"/>
        <v>5.5004035512510088</v>
      </c>
    </row>
    <row r="208" spans="1:19" hidden="1">
      <c r="A208" t="s">
        <v>259</v>
      </c>
      <c r="B208" t="s">
        <v>30</v>
      </c>
      <c r="C208">
        <v>150</v>
      </c>
      <c r="D208">
        <v>4113</v>
      </c>
      <c r="E208" s="2">
        <v>219.67</v>
      </c>
      <c r="F208">
        <v>12</v>
      </c>
      <c r="G208">
        <v>7</v>
      </c>
      <c r="H208">
        <v>4.7E-2</v>
      </c>
      <c r="I208" s="3">
        <v>1196</v>
      </c>
      <c r="J208" s="1">
        <v>45618</v>
      </c>
      <c r="K208" t="s">
        <v>31</v>
      </c>
      <c r="L208" t="s">
        <v>8</v>
      </c>
      <c r="M208" t="s">
        <v>32</v>
      </c>
      <c r="N208" s="1">
        <f t="shared" si="18"/>
        <v>45618</v>
      </c>
      <c r="O208" s="4">
        <f t="shared" si="19"/>
        <v>3.6469730123997082E-2</v>
      </c>
      <c r="P208">
        <f t="shared" si="20"/>
        <v>1.4644666666666666</v>
      </c>
      <c r="Q208" s="2">
        <f t="shared" si="21"/>
        <v>18.305833333333332</v>
      </c>
      <c r="R208" s="2">
        <f t="shared" si="22"/>
        <v>31.381428571428568</v>
      </c>
      <c r="S208" s="2">
        <f t="shared" si="23"/>
        <v>5.4445304320116543</v>
      </c>
    </row>
    <row r="209" spans="1:19" hidden="1">
      <c r="A209" t="s">
        <v>260</v>
      </c>
      <c r="B209" t="s">
        <v>30</v>
      </c>
      <c r="C209">
        <v>90</v>
      </c>
      <c r="D209">
        <v>5119</v>
      </c>
      <c r="E209" s="2">
        <v>226.58</v>
      </c>
      <c r="F209">
        <v>14</v>
      </c>
      <c r="G209">
        <v>10</v>
      </c>
      <c r="H209">
        <v>0.111</v>
      </c>
      <c r="I209" s="3">
        <v>1348</v>
      </c>
      <c r="J209" s="1">
        <v>45603</v>
      </c>
      <c r="K209" t="s">
        <v>31</v>
      </c>
      <c r="L209" t="s">
        <v>7</v>
      </c>
      <c r="M209" t="s">
        <v>46</v>
      </c>
      <c r="N209" s="1">
        <f t="shared" si="18"/>
        <v>45603</v>
      </c>
      <c r="O209" s="4">
        <f t="shared" si="19"/>
        <v>1.758155889822231E-2</v>
      </c>
      <c r="P209">
        <f t="shared" si="20"/>
        <v>2.5175555555555555</v>
      </c>
      <c r="Q209" s="2">
        <f t="shared" si="21"/>
        <v>16.184285714285714</v>
      </c>
      <c r="R209" s="2">
        <f t="shared" si="22"/>
        <v>22.658000000000001</v>
      </c>
      <c r="S209" s="2">
        <f t="shared" si="23"/>
        <v>5.9493335687174502</v>
      </c>
    </row>
    <row r="210" spans="1:19">
      <c r="A210" t="s">
        <v>261</v>
      </c>
      <c r="B210" t="s">
        <v>30</v>
      </c>
      <c r="C210">
        <v>98</v>
      </c>
      <c r="D210">
        <v>3422</v>
      </c>
      <c r="E210" s="2">
        <v>223.55</v>
      </c>
      <c r="F210">
        <v>17</v>
      </c>
      <c r="G210">
        <v>7</v>
      </c>
      <c r="H210">
        <v>4.5999999999999999E-2</v>
      </c>
      <c r="I210" s="3">
        <v>1414</v>
      </c>
      <c r="J210" s="1">
        <v>45615</v>
      </c>
      <c r="K210" t="s">
        <v>31</v>
      </c>
      <c r="L210" t="s">
        <v>9</v>
      </c>
      <c r="M210" t="s">
        <v>41</v>
      </c>
      <c r="N210" s="1">
        <f t="shared" si="18"/>
        <v>45615</v>
      </c>
      <c r="O210" s="4">
        <f t="shared" si="19"/>
        <v>2.863822326125073E-2</v>
      </c>
      <c r="P210">
        <f t="shared" si="20"/>
        <v>2.281122448979592</v>
      </c>
      <c r="Q210" s="2">
        <f t="shared" si="21"/>
        <v>13.15</v>
      </c>
      <c r="R210" s="2">
        <f t="shared" si="22"/>
        <v>31.935714285714287</v>
      </c>
      <c r="S210" s="2">
        <f t="shared" si="23"/>
        <v>6.3252068888391859</v>
      </c>
    </row>
    <row r="211" spans="1:19" hidden="1">
      <c r="A211" t="s">
        <v>262</v>
      </c>
      <c r="B211" t="s">
        <v>30</v>
      </c>
      <c r="C211">
        <v>130</v>
      </c>
      <c r="D211">
        <v>3327</v>
      </c>
      <c r="E211" s="2">
        <v>224.83</v>
      </c>
      <c r="F211">
        <v>13</v>
      </c>
      <c r="G211">
        <v>3</v>
      </c>
      <c r="H211">
        <v>2.3E-2</v>
      </c>
      <c r="I211" s="3">
        <v>1668</v>
      </c>
      <c r="J211" s="1" t="s">
        <v>43</v>
      </c>
      <c r="K211" t="s">
        <v>31</v>
      </c>
      <c r="L211" t="s">
        <v>8</v>
      </c>
      <c r="M211" t="s">
        <v>41</v>
      </c>
      <c r="N211" s="1">
        <f t="shared" si="18"/>
        <v>45612</v>
      </c>
      <c r="O211" s="4">
        <f t="shared" si="19"/>
        <v>3.9074241058010217E-2</v>
      </c>
      <c r="P211">
        <f t="shared" si="20"/>
        <v>1.7294615384615386</v>
      </c>
      <c r="Q211" s="2">
        <f t="shared" si="21"/>
        <v>17.294615384615387</v>
      </c>
      <c r="R211" s="2">
        <f t="shared" si="22"/>
        <v>74.943333333333342</v>
      </c>
      <c r="S211" s="2">
        <f t="shared" si="23"/>
        <v>7.418938753725036</v>
      </c>
    </row>
    <row r="212" spans="1:19" hidden="1">
      <c r="A212" t="s">
        <v>263</v>
      </c>
      <c r="B212" t="s">
        <v>30</v>
      </c>
      <c r="C212">
        <v>199</v>
      </c>
      <c r="D212">
        <v>4518.5</v>
      </c>
      <c r="E212" s="2">
        <v>199.98</v>
      </c>
      <c r="F212">
        <v>15</v>
      </c>
      <c r="G212">
        <v>8</v>
      </c>
      <c r="H212">
        <v>0.04</v>
      </c>
      <c r="I212" s="3">
        <v>1467</v>
      </c>
      <c r="J212" s="1">
        <v>45604</v>
      </c>
      <c r="K212" t="s">
        <v>31</v>
      </c>
      <c r="L212" t="s">
        <v>9</v>
      </c>
      <c r="M212" t="s">
        <v>39</v>
      </c>
      <c r="N212" s="1">
        <f t="shared" si="18"/>
        <v>45604</v>
      </c>
      <c r="O212" s="4">
        <f t="shared" si="19"/>
        <v>4.4041164103131573E-2</v>
      </c>
      <c r="P212">
        <f t="shared" si="20"/>
        <v>1.0049246231155777</v>
      </c>
      <c r="Q212" s="2">
        <f t="shared" si="21"/>
        <v>13.331999999999999</v>
      </c>
      <c r="R212" s="2">
        <f t="shared" si="22"/>
        <v>24.997499999999999</v>
      </c>
      <c r="S212" s="2">
        <f t="shared" si="23"/>
        <v>7.3357335733573361</v>
      </c>
    </row>
    <row r="213" spans="1:19">
      <c r="A213" t="s">
        <v>264</v>
      </c>
      <c r="B213" t="s">
        <v>30</v>
      </c>
      <c r="C213">
        <v>101</v>
      </c>
      <c r="D213">
        <v>3241</v>
      </c>
      <c r="E213" s="2">
        <v>183.34</v>
      </c>
      <c r="F213">
        <v>24</v>
      </c>
      <c r="G213">
        <v>7</v>
      </c>
      <c r="H213">
        <v>4.5999999999999999E-2</v>
      </c>
      <c r="I213" s="3">
        <v>1483</v>
      </c>
      <c r="J213" s="1">
        <v>45576</v>
      </c>
      <c r="K213" t="s">
        <v>31</v>
      </c>
      <c r="L213" t="s">
        <v>9</v>
      </c>
      <c r="M213" t="s">
        <v>39</v>
      </c>
      <c r="N213" s="1">
        <f t="shared" si="18"/>
        <v>45576</v>
      </c>
      <c r="O213" s="4">
        <f t="shared" si="19"/>
        <v>3.1163221228016045E-2</v>
      </c>
      <c r="P213">
        <f t="shared" si="20"/>
        <v>1.8152475247524753</v>
      </c>
      <c r="Q213" s="2">
        <f t="shared" si="21"/>
        <v>7.6391666666666671</v>
      </c>
      <c r="R213" s="2">
        <f t="shared" si="22"/>
        <v>26.19142857142857</v>
      </c>
      <c r="S213" s="2">
        <f t="shared" si="23"/>
        <v>8.0887967710265087</v>
      </c>
    </row>
    <row r="214" spans="1:19" hidden="1">
      <c r="A214" t="s">
        <v>265</v>
      </c>
      <c r="B214" t="s">
        <v>30</v>
      </c>
      <c r="C214">
        <v>118</v>
      </c>
      <c r="D214">
        <v>3970</v>
      </c>
      <c r="E214" s="2">
        <v>215.57</v>
      </c>
      <c r="F214">
        <v>27</v>
      </c>
      <c r="G214">
        <v>9</v>
      </c>
      <c r="H214">
        <v>7.5999999999999998E-2</v>
      </c>
      <c r="I214" s="3">
        <v>1036</v>
      </c>
      <c r="J214" s="1">
        <v>45615</v>
      </c>
      <c r="K214" t="s">
        <v>31</v>
      </c>
      <c r="L214" t="s">
        <v>7</v>
      </c>
      <c r="M214" t="s">
        <v>35</v>
      </c>
      <c r="N214" s="1">
        <f t="shared" si="18"/>
        <v>45615</v>
      </c>
      <c r="O214" s="4">
        <f t="shared" si="19"/>
        <v>2.9722921914357683E-2</v>
      </c>
      <c r="P214">
        <f t="shared" si="20"/>
        <v>1.8268644067796609</v>
      </c>
      <c r="Q214" s="2">
        <f t="shared" si="21"/>
        <v>7.9840740740740737</v>
      </c>
      <c r="R214" s="2">
        <f t="shared" si="22"/>
        <v>23.952222222222222</v>
      </c>
      <c r="S214" s="2">
        <f t="shared" si="23"/>
        <v>4.8058635246091761</v>
      </c>
    </row>
    <row r="215" spans="1:19">
      <c r="A215" t="s">
        <v>266</v>
      </c>
      <c r="B215" t="s">
        <v>30</v>
      </c>
      <c r="C215">
        <v>199</v>
      </c>
      <c r="D215">
        <v>5734</v>
      </c>
      <c r="E215" s="2">
        <v>247.99</v>
      </c>
      <c r="F215">
        <v>18</v>
      </c>
      <c r="G215">
        <v>7</v>
      </c>
      <c r="H215">
        <v>4.5999999999999999E-2</v>
      </c>
      <c r="I215" s="3">
        <v>1455</v>
      </c>
      <c r="J215" s="1">
        <v>45607</v>
      </c>
      <c r="K215" t="s">
        <v>31</v>
      </c>
      <c r="L215" t="s">
        <v>7</v>
      </c>
      <c r="M215" t="s">
        <v>37</v>
      </c>
      <c r="N215" s="1">
        <f t="shared" si="18"/>
        <v>45607</v>
      </c>
      <c r="O215" s="4">
        <f t="shared" si="19"/>
        <v>3.470526682943844E-2</v>
      </c>
      <c r="P215">
        <f t="shared" si="20"/>
        <v>1.2461809045226131</v>
      </c>
      <c r="Q215" s="2">
        <f t="shared" si="21"/>
        <v>13.777222222222223</v>
      </c>
      <c r="R215" s="2">
        <f t="shared" si="22"/>
        <v>35.427142857142861</v>
      </c>
      <c r="S215" s="2">
        <f t="shared" si="23"/>
        <v>5.8671720633896527</v>
      </c>
    </row>
    <row r="216" spans="1:19" hidden="1">
      <c r="A216" t="s">
        <v>267</v>
      </c>
      <c r="B216" t="s">
        <v>30</v>
      </c>
      <c r="C216">
        <v>183</v>
      </c>
      <c r="D216">
        <v>4001</v>
      </c>
      <c r="E216" s="2">
        <v>237.85</v>
      </c>
      <c r="F216">
        <v>23</v>
      </c>
      <c r="G216">
        <v>4</v>
      </c>
      <c r="H216">
        <v>2.1999999999999999E-2</v>
      </c>
      <c r="I216" s="3">
        <v>1430</v>
      </c>
      <c r="J216" s="1">
        <v>45617</v>
      </c>
      <c r="K216" t="s">
        <v>31</v>
      </c>
      <c r="L216" t="s">
        <v>8</v>
      </c>
      <c r="M216" t="s">
        <v>41</v>
      </c>
      <c r="N216" s="1">
        <f t="shared" si="18"/>
        <v>45617</v>
      </c>
      <c r="O216" s="4">
        <f t="shared" si="19"/>
        <v>4.5738565358660332E-2</v>
      </c>
      <c r="P216">
        <f t="shared" si="20"/>
        <v>1.2997267759562841</v>
      </c>
      <c r="Q216" s="2">
        <f t="shared" si="21"/>
        <v>10.341304347826087</v>
      </c>
      <c r="R216" s="2">
        <f t="shared" si="22"/>
        <v>59.462499999999999</v>
      </c>
      <c r="S216" s="2">
        <f t="shared" si="23"/>
        <v>6.0121925583350855</v>
      </c>
    </row>
    <row r="217" spans="1:19" hidden="1">
      <c r="A217" t="s">
        <v>268</v>
      </c>
      <c r="B217" t="s">
        <v>30</v>
      </c>
      <c r="C217">
        <v>126</v>
      </c>
      <c r="D217">
        <v>4206</v>
      </c>
      <c r="E217" s="2">
        <v>233.76</v>
      </c>
      <c r="F217">
        <v>29</v>
      </c>
      <c r="G217">
        <v>10</v>
      </c>
      <c r="H217">
        <v>4.1000000000000002E-2</v>
      </c>
      <c r="I217" s="3">
        <v>1998</v>
      </c>
      <c r="J217" s="1">
        <v>45602</v>
      </c>
      <c r="K217" t="s">
        <v>31</v>
      </c>
      <c r="L217" t="s">
        <v>9</v>
      </c>
      <c r="M217" t="s">
        <v>41</v>
      </c>
      <c r="N217" s="1">
        <f t="shared" si="18"/>
        <v>45602</v>
      </c>
      <c r="O217" s="4">
        <f t="shared" si="19"/>
        <v>2.9957203994293864E-2</v>
      </c>
      <c r="P217">
        <f t="shared" si="20"/>
        <v>1.8552380952380951</v>
      </c>
      <c r="Q217" s="2">
        <f t="shared" si="21"/>
        <v>8.0606896551724141</v>
      </c>
      <c r="R217" s="2">
        <f t="shared" si="22"/>
        <v>23.375999999999998</v>
      </c>
      <c r="S217" s="2">
        <f t="shared" si="23"/>
        <v>8.5472279260780297</v>
      </c>
    </row>
    <row r="218" spans="1:19">
      <c r="A218" t="s">
        <v>269</v>
      </c>
      <c r="B218" t="s">
        <v>30</v>
      </c>
      <c r="C218">
        <v>199</v>
      </c>
      <c r="D218">
        <v>4745</v>
      </c>
      <c r="E218" s="2">
        <v>215.57</v>
      </c>
      <c r="F218">
        <v>13</v>
      </c>
      <c r="G218">
        <v>9</v>
      </c>
      <c r="H218">
        <v>4.5999999999999999E-2</v>
      </c>
      <c r="I218" s="3">
        <v>1800</v>
      </c>
      <c r="J218" s="1">
        <v>45624</v>
      </c>
      <c r="K218" t="s">
        <v>31</v>
      </c>
      <c r="L218" t="s">
        <v>9</v>
      </c>
      <c r="M218" t="s">
        <v>46</v>
      </c>
      <c r="N218" s="1">
        <f t="shared" si="18"/>
        <v>45624</v>
      </c>
      <c r="O218" s="4">
        <f t="shared" si="19"/>
        <v>4.1938883034773444E-2</v>
      </c>
      <c r="P218">
        <f t="shared" si="20"/>
        <v>1.0832663316582913</v>
      </c>
      <c r="Q218" s="2">
        <f t="shared" si="21"/>
        <v>16.58230769230769</v>
      </c>
      <c r="R218" s="2">
        <f t="shared" si="22"/>
        <v>23.952222222222222</v>
      </c>
      <c r="S218" s="2">
        <f t="shared" si="23"/>
        <v>8.349955930788143</v>
      </c>
    </row>
    <row r="219" spans="1:19" hidden="1">
      <c r="A219" t="s">
        <v>270</v>
      </c>
      <c r="B219" t="s">
        <v>30</v>
      </c>
      <c r="C219">
        <v>92</v>
      </c>
      <c r="D219">
        <v>4042</v>
      </c>
      <c r="E219" s="2">
        <v>200.75</v>
      </c>
      <c r="F219">
        <v>15</v>
      </c>
      <c r="G219">
        <v>7</v>
      </c>
      <c r="H219">
        <v>7.5999999999999998E-2</v>
      </c>
      <c r="I219" s="3">
        <v>1234</v>
      </c>
      <c r="J219" s="1">
        <v>45620</v>
      </c>
      <c r="K219" t="s">
        <v>31</v>
      </c>
      <c r="L219" t="s">
        <v>9</v>
      </c>
      <c r="M219" t="s">
        <v>32</v>
      </c>
      <c r="N219" s="1">
        <f t="shared" si="18"/>
        <v>45620</v>
      </c>
      <c r="O219" s="4">
        <f t="shared" si="19"/>
        <v>2.2761009401286492E-2</v>
      </c>
      <c r="P219">
        <f t="shared" si="20"/>
        <v>2.1820652173913042</v>
      </c>
      <c r="Q219" s="2">
        <f t="shared" si="21"/>
        <v>13.383333333333333</v>
      </c>
      <c r="R219" s="2">
        <f t="shared" si="22"/>
        <v>28.678571428571427</v>
      </c>
      <c r="S219" s="2">
        <f t="shared" si="23"/>
        <v>6.1469489414694891</v>
      </c>
    </row>
    <row r="220" spans="1:19">
      <c r="A220" t="s">
        <v>271</v>
      </c>
      <c r="B220" t="s">
        <v>30</v>
      </c>
      <c r="C220">
        <v>139</v>
      </c>
      <c r="D220">
        <v>4883</v>
      </c>
      <c r="E220" s="2">
        <v>249.61</v>
      </c>
      <c r="F220">
        <v>10</v>
      </c>
      <c r="G220">
        <v>3</v>
      </c>
      <c r="H220">
        <v>4.5999999999999999E-2</v>
      </c>
      <c r="I220" s="3">
        <v>1464</v>
      </c>
      <c r="J220" s="1">
        <v>45608</v>
      </c>
      <c r="K220" t="s">
        <v>31</v>
      </c>
      <c r="L220" t="s">
        <v>9</v>
      </c>
      <c r="M220" t="s">
        <v>41</v>
      </c>
      <c r="N220" s="1">
        <f t="shared" si="18"/>
        <v>45608</v>
      </c>
      <c r="O220" s="4">
        <f t="shared" si="19"/>
        <v>2.8466106901494984E-2</v>
      </c>
      <c r="P220">
        <f t="shared" si="20"/>
        <v>1.7957553956834533</v>
      </c>
      <c r="Q220" s="2">
        <f t="shared" si="21"/>
        <v>24.961000000000002</v>
      </c>
      <c r="R220" s="2">
        <f t="shared" si="22"/>
        <v>83.203333333333333</v>
      </c>
      <c r="S220" s="2">
        <f t="shared" si="23"/>
        <v>5.8651496334281479</v>
      </c>
    </row>
    <row r="221" spans="1:19" hidden="1">
      <c r="A221" t="s">
        <v>272</v>
      </c>
      <c r="B221" t="s">
        <v>30</v>
      </c>
      <c r="C221">
        <v>92</v>
      </c>
      <c r="D221">
        <v>3748</v>
      </c>
      <c r="E221" s="2">
        <v>208.15</v>
      </c>
      <c r="F221">
        <v>14</v>
      </c>
      <c r="G221">
        <v>8</v>
      </c>
      <c r="H221">
        <v>8.6999999999999994E-2</v>
      </c>
      <c r="I221" s="3">
        <v>1297</v>
      </c>
      <c r="J221" s="1">
        <v>45598</v>
      </c>
      <c r="K221" t="s">
        <v>31</v>
      </c>
      <c r="L221" t="s">
        <v>7</v>
      </c>
      <c r="M221" t="s">
        <v>46</v>
      </c>
      <c r="N221" s="1">
        <f t="shared" si="18"/>
        <v>45598</v>
      </c>
      <c r="O221" s="4">
        <f t="shared" si="19"/>
        <v>2.454642475987193E-2</v>
      </c>
      <c r="P221">
        <f t="shared" si="20"/>
        <v>2.2625000000000002</v>
      </c>
      <c r="Q221" s="2">
        <f t="shared" si="21"/>
        <v>14.867857142857144</v>
      </c>
      <c r="R221" s="2">
        <f t="shared" si="22"/>
        <v>26.018750000000001</v>
      </c>
      <c r="S221" s="2">
        <f t="shared" si="23"/>
        <v>6.2310833533509484</v>
      </c>
    </row>
    <row r="222" spans="1:19" hidden="1">
      <c r="A222" t="s">
        <v>273</v>
      </c>
      <c r="B222" t="s">
        <v>30</v>
      </c>
      <c r="C222">
        <v>135</v>
      </c>
      <c r="D222">
        <v>3480</v>
      </c>
      <c r="E222" s="2">
        <v>224.94</v>
      </c>
      <c r="F222">
        <v>11</v>
      </c>
      <c r="G222">
        <v>4</v>
      </c>
      <c r="H222">
        <v>0.03</v>
      </c>
      <c r="I222" s="3">
        <v>1398</v>
      </c>
      <c r="J222" s="1">
        <v>45619</v>
      </c>
      <c r="K222" t="s">
        <v>31</v>
      </c>
      <c r="L222" t="s">
        <v>9</v>
      </c>
      <c r="M222" t="s">
        <v>37</v>
      </c>
      <c r="N222" s="1">
        <f t="shared" si="18"/>
        <v>45619</v>
      </c>
      <c r="O222" s="4">
        <f t="shared" si="19"/>
        <v>3.8793103448275863E-2</v>
      </c>
      <c r="P222">
        <f t="shared" si="20"/>
        <v>1.6662222222222223</v>
      </c>
      <c r="Q222" s="2">
        <f t="shared" si="21"/>
        <v>20.449090909090909</v>
      </c>
      <c r="R222" s="2">
        <f t="shared" si="22"/>
        <v>56.234999999999999</v>
      </c>
      <c r="S222" s="2">
        <f t="shared" si="23"/>
        <v>6.2149906641771135</v>
      </c>
    </row>
    <row r="223" spans="1:19" hidden="1">
      <c r="A223" t="s">
        <v>274</v>
      </c>
      <c r="B223" t="s">
        <v>30</v>
      </c>
      <c r="C223">
        <v>177</v>
      </c>
      <c r="D223">
        <v>3007</v>
      </c>
      <c r="E223" s="2">
        <v>223.22</v>
      </c>
      <c r="F223">
        <v>30</v>
      </c>
      <c r="G223">
        <v>8</v>
      </c>
      <c r="H223">
        <v>4.4999999999999998E-2</v>
      </c>
      <c r="I223" s="3">
        <v>1766</v>
      </c>
      <c r="J223" s="1">
        <v>45598</v>
      </c>
      <c r="K223" t="s">
        <v>31</v>
      </c>
      <c r="L223" t="s">
        <v>8</v>
      </c>
      <c r="M223" t="s">
        <v>37</v>
      </c>
      <c r="N223" s="1">
        <f t="shared" si="18"/>
        <v>45598</v>
      </c>
      <c r="O223" s="4">
        <f t="shared" si="19"/>
        <v>5.8862653807781842E-2</v>
      </c>
      <c r="P223">
        <f t="shared" si="20"/>
        <v>1.2611299435028249</v>
      </c>
      <c r="Q223" s="2">
        <f t="shared" si="21"/>
        <v>7.440666666666667</v>
      </c>
      <c r="R223" s="2">
        <f t="shared" si="22"/>
        <v>27.9025</v>
      </c>
      <c r="S223" s="2">
        <f t="shared" si="23"/>
        <v>7.9114774661768656</v>
      </c>
    </row>
    <row r="224" spans="1:19" hidden="1">
      <c r="A224" t="s">
        <v>275</v>
      </c>
      <c r="B224" t="s">
        <v>30</v>
      </c>
      <c r="C224">
        <v>117</v>
      </c>
      <c r="D224">
        <v>3380</v>
      </c>
      <c r="E224" s="2">
        <v>186.73</v>
      </c>
      <c r="F224">
        <v>21</v>
      </c>
      <c r="G224">
        <v>10</v>
      </c>
      <c r="H224">
        <v>5.5E-2</v>
      </c>
      <c r="I224" s="3">
        <v>1958</v>
      </c>
      <c r="J224" s="1">
        <v>45615</v>
      </c>
      <c r="K224" t="s">
        <v>31</v>
      </c>
      <c r="L224" t="s">
        <v>7</v>
      </c>
      <c r="M224" t="s">
        <v>39</v>
      </c>
      <c r="N224" s="1">
        <f t="shared" si="18"/>
        <v>45615</v>
      </c>
      <c r="O224" s="4">
        <f t="shared" si="19"/>
        <v>3.4615384615384617E-2</v>
      </c>
      <c r="P224">
        <f t="shared" si="20"/>
        <v>1.5959829059829058</v>
      </c>
      <c r="Q224" s="2">
        <f t="shared" si="21"/>
        <v>8.8919047619047618</v>
      </c>
      <c r="R224" s="2">
        <f t="shared" si="22"/>
        <v>18.672999999999998</v>
      </c>
      <c r="S224" s="2">
        <f t="shared" si="23"/>
        <v>10.485728056552242</v>
      </c>
    </row>
    <row r="225" spans="1:19" hidden="1">
      <c r="A225" t="s">
        <v>276</v>
      </c>
      <c r="B225" t="s">
        <v>30</v>
      </c>
      <c r="C225">
        <v>127</v>
      </c>
      <c r="D225">
        <v>4823</v>
      </c>
      <c r="E225" s="2">
        <v>194.69</v>
      </c>
      <c r="F225">
        <v>11</v>
      </c>
      <c r="G225">
        <v>10</v>
      </c>
      <c r="H225">
        <v>5.7000000000000002E-2</v>
      </c>
      <c r="I225" s="3">
        <v>1496</v>
      </c>
      <c r="J225" s="1" t="s">
        <v>89</v>
      </c>
      <c r="K225" t="s">
        <v>31</v>
      </c>
      <c r="L225" t="s">
        <v>7</v>
      </c>
      <c r="M225" t="s">
        <v>35</v>
      </c>
      <c r="N225" s="1">
        <f t="shared" si="18"/>
        <v>45611</v>
      </c>
      <c r="O225" s="4">
        <f t="shared" si="19"/>
        <v>2.6332158407630105E-2</v>
      </c>
      <c r="P225">
        <f t="shared" si="20"/>
        <v>1.5329921259842521</v>
      </c>
      <c r="Q225" s="2">
        <f t="shared" si="21"/>
        <v>17.699090909090909</v>
      </c>
      <c r="R225" s="2">
        <f t="shared" si="22"/>
        <v>19.469000000000001</v>
      </c>
      <c r="S225" s="2">
        <f t="shared" si="23"/>
        <v>7.6840104781961065</v>
      </c>
    </row>
    <row r="226" spans="1:19" hidden="1">
      <c r="A226" t="s">
        <v>277</v>
      </c>
      <c r="B226" t="s">
        <v>30</v>
      </c>
      <c r="C226">
        <v>132</v>
      </c>
      <c r="D226">
        <v>4490</v>
      </c>
      <c r="E226" s="2">
        <v>202.45</v>
      </c>
      <c r="F226">
        <v>10</v>
      </c>
      <c r="G226">
        <v>7</v>
      </c>
      <c r="H226">
        <v>5.2999999999999999E-2</v>
      </c>
      <c r="I226" s="3">
        <v>1441</v>
      </c>
      <c r="J226" s="1">
        <v>45606</v>
      </c>
      <c r="K226" t="s">
        <v>31</v>
      </c>
      <c r="L226" t="s">
        <v>8</v>
      </c>
      <c r="M226" t="s">
        <v>37</v>
      </c>
      <c r="N226" s="1">
        <f t="shared" si="18"/>
        <v>45606</v>
      </c>
      <c r="O226" s="4">
        <f t="shared" si="19"/>
        <v>2.9398663697104678E-2</v>
      </c>
      <c r="P226">
        <f t="shared" si="20"/>
        <v>1.5337121212121212</v>
      </c>
      <c r="Q226" s="2">
        <f t="shared" si="21"/>
        <v>20.244999999999997</v>
      </c>
      <c r="R226" s="2">
        <f t="shared" si="22"/>
        <v>28.921428571428571</v>
      </c>
      <c r="S226" s="2">
        <f t="shared" si="23"/>
        <v>7.1178068658928133</v>
      </c>
    </row>
    <row r="227" spans="1:19" hidden="1">
      <c r="A227" t="s">
        <v>278</v>
      </c>
      <c r="B227" t="s">
        <v>30</v>
      </c>
      <c r="C227">
        <v>102</v>
      </c>
      <c r="D227">
        <v>5149</v>
      </c>
      <c r="E227" s="2">
        <v>229.48</v>
      </c>
      <c r="F227">
        <v>27</v>
      </c>
      <c r="G227">
        <v>9</v>
      </c>
      <c r="H227">
        <v>8.7999999999999995E-2</v>
      </c>
      <c r="I227" s="3">
        <v>1137</v>
      </c>
      <c r="J227" s="1" t="s">
        <v>100</v>
      </c>
      <c r="K227" t="s">
        <v>31</v>
      </c>
      <c r="L227" t="s">
        <v>7</v>
      </c>
      <c r="M227" t="s">
        <v>32</v>
      </c>
      <c r="N227" s="1">
        <f t="shared" si="18"/>
        <v>45622</v>
      </c>
      <c r="O227" s="4">
        <f t="shared" si="19"/>
        <v>1.9809671780928337E-2</v>
      </c>
      <c r="P227">
        <f t="shared" si="20"/>
        <v>2.2498039215686272</v>
      </c>
      <c r="Q227" s="2">
        <f t="shared" si="21"/>
        <v>8.4992592592592597</v>
      </c>
      <c r="R227" s="2">
        <f t="shared" si="22"/>
        <v>25.497777777777777</v>
      </c>
      <c r="S227" s="2">
        <f t="shared" si="23"/>
        <v>4.9546801464179886</v>
      </c>
    </row>
    <row r="228" spans="1:19">
      <c r="A228" t="s">
        <v>279</v>
      </c>
      <c r="B228" t="s">
        <v>30</v>
      </c>
      <c r="C228">
        <v>91</v>
      </c>
      <c r="D228">
        <v>4290</v>
      </c>
      <c r="E228" s="2">
        <v>213.74</v>
      </c>
      <c r="F228">
        <v>20</v>
      </c>
      <c r="G228">
        <v>10</v>
      </c>
      <c r="H228">
        <v>4.5999999999999999E-2</v>
      </c>
      <c r="I228" s="3">
        <v>1797</v>
      </c>
      <c r="J228" s="1">
        <v>45612</v>
      </c>
      <c r="K228" t="s">
        <v>31</v>
      </c>
      <c r="L228" t="s">
        <v>8</v>
      </c>
      <c r="M228" t="s">
        <v>41</v>
      </c>
      <c r="N228" s="1">
        <f t="shared" si="18"/>
        <v>45612</v>
      </c>
      <c r="O228" s="4">
        <f t="shared" si="19"/>
        <v>2.1212121212121213E-2</v>
      </c>
      <c r="P228">
        <f t="shared" si="20"/>
        <v>2.3487912087912091</v>
      </c>
      <c r="Q228" s="2">
        <f t="shared" si="21"/>
        <v>10.687000000000001</v>
      </c>
      <c r="R228" s="2">
        <f t="shared" si="22"/>
        <v>21.374000000000002</v>
      </c>
      <c r="S228" s="2">
        <f t="shared" si="23"/>
        <v>8.4074108730232986</v>
      </c>
    </row>
    <row r="229" spans="1:19">
      <c r="A229" t="s">
        <v>280</v>
      </c>
      <c r="B229" t="s">
        <v>30</v>
      </c>
      <c r="C229">
        <v>163</v>
      </c>
      <c r="D229">
        <v>5643</v>
      </c>
      <c r="E229" s="2">
        <v>217.4</v>
      </c>
      <c r="F229">
        <v>30</v>
      </c>
      <c r="G229">
        <v>6</v>
      </c>
      <c r="H229">
        <v>4.5999999999999999E-2</v>
      </c>
      <c r="I229" s="3">
        <v>1678</v>
      </c>
      <c r="J229" s="1">
        <v>45597</v>
      </c>
      <c r="K229" t="s">
        <v>31</v>
      </c>
      <c r="L229" t="s">
        <v>7</v>
      </c>
      <c r="M229" t="s">
        <v>37</v>
      </c>
      <c r="N229" s="1">
        <f t="shared" si="18"/>
        <v>45597</v>
      </c>
      <c r="O229" s="4">
        <f t="shared" si="19"/>
        <v>2.8885344674818358E-2</v>
      </c>
      <c r="P229">
        <f t="shared" si="20"/>
        <v>1.3337423312883436</v>
      </c>
      <c r="Q229" s="2">
        <f t="shared" si="21"/>
        <v>7.246666666666667</v>
      </c>
      <c r="R229" s="2">
        <f t="shared" si="22"/>
        <v>36.233333333333334</v>
      </c>
      <c r="S229" s="2">
        <f t="shared" si="23"/>
        <v>7.7184912603495857</v>
      </c>
    </row>
    <row r="230" spans="1:19" hidden="1">
      <c r="A230" t="s">
        <v>281</v>
      </c>
      <c r="B230" t="s">
        <v>30</v>
      </c>
      <c r="C230">
        <v>92</v>
      </c>
      <c r="D230">
        <v>3916</v>
      </c>
      <c r="E230" s="2">
        <v>188.1</v>
      </c>
      <c r="F230">
        <v>20</v>
      </c>
      <c r="G230">
        <v>6</v>
      </c>
      <c r="H230">
        <v>6.5000000000000002E-2</v>
      </c>
      <c r="I230" s="3">
        <v>1005</v>
      </c>
      <c r="J230" s="1">
        <v>45610</v>
      </c>
      <c r="K230" t="s">
        <v>31</v>
      </c>
      <c r="L230" t="s">
        <v>7</v>
      </c>
      <c r="M230" t="s">
        <v>41</v>
      </c>
      <c r="N230" s="1">
        <f t="shared" si="18"/>
        <v>45610</v>
      </c>
      <c r="O230" s="4">
        <f t="shared" si="19"/>
        <v>2.3493360572012258E-2</v>
      </c>
      <c r="P230">
        <f t="shared" si="20"/>
        <v>2.0445652173913045</v>
      </c>
      <c r="Q230" s="2">
        <f t="shared" si="21"/>
        <v>9.4049999999999994</v>
      </c>
      <c r="R230" s="2">
        <f t="shared" si="22"/>
        <v>31.349999999999998</v>
      </c>
      <c r="S230" s="2">
        <f t="shared" si="23"/>
        <v>5.3429027113237639</v>
      </c>
    </row>
    <row r="231" spans="1:19">
      <c r="A231" t="s">
        <v>282</v>
      </c>
      <c r="B231" t="s">
        <v>30</v>
      </c>
      <c r="C231">
        <v>165</v>
      </c>
      <c r="D231">
        <v>4551</v>
      </c>
      <c r="E231" s="2">
        <v>185.35</v>
      </c>
      <c r="F231">
        <v>30</v>
      </c>
      <c r="G231">
        <v>7</v>
      </c>
      <c r="H231">
        <v>4.5999999999999999E-2</v>
      </c>
      <c r="I231" s="3">
        <v>1662</v>
      </c>
      <c r="J231" s="1">
        <v>45602</v>
      </c>
      <c r="K231" t="s">
        <v>31</v>
      </c>
      <c r="L231" t="s">
        <v>7</v>
      </c>
      <c r="M231" t="s">
        <v>37</v>
      </c>
      <c r="N231" s="1">
        <f t="shared" si="18"/>
        <v>45602</v>
      </c>
      <c r="O231" s="4">
        <f t="shared" si="19"/>
        <v>3.6255767963085037E-2</v>
      </c>
      <c r="P231">
        <f t="shared" si="20"/>
        <v>1.1233333333333333</v>
      </c>
      <c r="Q231" s="2">
        <f t="shared" si="21"/>
        <v>6.1783333333333328</v>
      </c>
      <c r="R231" s="2">
        <f t="shared" si="22"/>
        <v>26.478571428571428</v>
      </c>
      <c r="S231" s="2">
        <f t="shared" si="23"/>
        <v>8.9668195306177498</v>
      </c>
    </row>
    <row r="232" spans="1:19">
      <c r="A232" t="s">
        <v>283</v>
      </c>
      <c r="B232" t="s">
        <v>30</v>
      </c>
      <c r="C232">
        <v>127</v>
      </c>
      <c r="D232">
        <v>3344</v>
      </c>
      <c r="E232" s="2">
        <v>201.7</v>
      </c>
      <c r="F232">
        <v>10</v>
      </c>
      <c r="G232">
        <v>8</v>
      </c>
      <c r="H232">
        <v>4.5999999999999999E-2</v>
      </c>
      <c r="I232" s="3">
        <v>1190</v>
      </c>
      <c r="J232" s="1">
        <v>45607</v>
      </c>
      <c r="K232" t="s">
        <v>31</v>
      </c>
      <c r="L232" t="s">
        <v>7</v>
      </c>
      <c r="M232" t="s">
        <v>46</v>
      </c>
      <c r="N232" s="1">
        <f t="shared" si="18"/>
        <v>45607</v>
      </c>
      <c r="O232" s="4">
        <f t="shared" si="19"/>
        <v>3.7978468899521528E-2</v>
      </c>
      <c r="P232">
        <f t="shared" si="20"/>
        <v>1.5881889763779526</v>
      </c>
      <c r="Q232" s="2">
        <f t="shared" si="21"/>
        <v>20.169999999999998</v>
      </c>
      <c r="R232" s="2">
        <f t="shared" si="22"/>
        <v>25.212499999999999</v>
      </c>
      <c r="S232" s="2">
        <f t="shared" si="23"/>
        <v>5.8998512642538428</v>
      </c>
    </row>
    <row r="233" spans="1:19" hidden="1">
      <c r="A233" t="s">
        <v>284</v>
      </c>
      <c r="B233" t="s">
        <v>30</v>
      </c>
      <c r="C233">
        <v>178</v>
      </c>
      <c r="D233">
        <v>4441</v>
      </c>
      <c r="E233" s="2">
        <v>231.97</v>
      </c>
      <c r="F233">
        <v>22</v>
      </c>
      <c r="G233">
        <v>4</v>
      </c>
      <c r="H233">
        <v>2.1999999999999999E-2</v>
      </c>
      <c r="I233" s="3">
        <v>1886</v>
      </c>
      <c r="J233" s="1">
        <v>45620</v>
      </c>
      <c r="K233" t="s">
        <v>31</v>
      </c>
      <c r="L233" t="s">
        <v>8</v>
      </c>
      <c r="M233" t="s">
        <v>46</v>
      </c>
      <c r="N233" s="1">
        <f t="shared" si="18"/>
        <v>45620</v>
      </c>
      <c r="O233" s="4">
        <f t="shared" si="19"/>
        <v>4.0081062823688361E-2</v>
      </c>
      <c r="P233">
        <f t="shared" si="20"/>
        <v>1.3032022471910112</v>
      </c>
      <c r="Q233" s="2">
        <f t="shared" si="21"/>
        <v>10.54409090909091</v>
      </c>
      <c r="R233" s="2">
        <f t="shared" si="22"/>
        <v>57.9925</v>
      </c>
      <c r="S233" s="2">
        <f t="shared" si="23"/>
        <v>8.1303616847006079</v>
      </c>
    </row>
    <row r="234" spans="1:19" hidden="1">
      <c r="A234" t="s">
        <v>285</v>
      </c>
      <c r="B234" t="s">
        <v>30</v>
      </c>
      <c r="C234">
        <v>101</v>
      </c>
      <c r="D234">
        <v>4518.5</v>
      </c>
      <c r="E234" s="2">
        <v>234.17</v>
      </c>
      <c r="F234">
        <v>29</v>
      </c>
      <c r="G234">
        <v>5</v>
      </c>
      <c r="H234">
        <v>0.05</v>
      </c>
      <c r="I234" s="3">
        <v>1568</v>
      </c>
      <c r="J234" s="1">
        <v>45623</v>
      </c>
      <c r="K234" t="s">
        <v>31</v>
      </c>
      <c r="L234" t="s">
        <v>8</v>
      </c>
      <c r="M234" t="s">
        <v>39</v>
      </c>
      <c r="N234" s="1">
        <f t="shared" si="18"/>
        <v>45623</v>
      </c>
      <c r="O234" s="4">
        <f t="shared" si="19"/>
        <v>2.2352550625207482E-2</v>
      </c>
      <c r="P234">
        <f t="shared" si="20"/>
        <v>2.3185148514851486</v>
      </c>
      <c r="Q234" s="2">
        <f t="shared" si="21"/>
        <v>8.0748275862068954</v>
      </c>
      <c r="R234" s="2">
        <f t="shared" si="22"/>
        <v>46.833999999999996</v>
      </c>
      <c r="S234" s="2">
        <f t="shared" si="23"/>
        <v>6.6959900926677207</v>
      </c>
    </row>
    <row r="235" spans="1:19">
      <c r="A235" t="s">
        <v>286</v>
      </c>
      <c r="B235" t="s">
        <v>30</v>
      </c>
      <c r="C235">
        <v>161</v>
      </c>
      <c r="D235">
        <v>5977</v>
      </c>
      <c r="E235" s="2">
        <v>193.27</v>
      </c>
      <c r="F235">
        <v>24</v>
      </c>
      <c r="G235">
        <v>7</v>
      </c>
      <c r="H235">
        <v>4.5999999999999999E-2</v>
      </c>
      <c r="I235" s="3">
        <v>1366</v>
      </c>
      <c r="J235" s="1" t="s">
        <v>217</v>
      </c>
      <c r="K235" t="s">
        <v>31</v>
      </c>
      <c r="L235" t="s">
        <v>7</v>
      </c>
      <c r="M235" t="s">
        <v>41</v>
      </c>
      <c r="N235" s="1">
        <f t="shared" si="18"/>
        <v>45609</v>
      </c>
      <c r="O235" s="4">
        <f t="shared" si="19"/>
        <v>2.6936590262673581E-2</v>
      </c>
      <c r="P235">
        <f t="shared" si="20"/>
        <v>1.2004347826086956</v>
      </c>
      <c r="Q235" s="2">
        <f t="shared" si="21"/>
        <v>8.0529166666666665</v>
      </c>
      <c r="R235" s="2">
        <f t="shared" si="22"/>
        <v>27.610000000000003</v>
      </c>
      <c r="S235" s="2">
        <f t="shared" si="23"/>
        <v>7.0678325658405337</v>
      </c>
    </row>
    <row r="236" spans="1:19" hidden="1">
      <c r="A236" t="s">
        <v>287</v>
      </c>
      <c r="B236" t="s">
        <v>30</v>
      </c>
      <c r="C236">
        <v>95</v>
      </c>
      <c r="D236">
        <v>4562</v>
      </c>
      <c r="E236" s="2">
        <v>187.62</v>
      </c>
      <c r="F236">
        <v>24</v>
      </c>
      <c r="G236">
        <v>9</v>
      </c>
      <c r="H236">
        <v>9.5000000000000001E-2</v>
      </c>
      <c r="I236" s="3">
        <v>1239</v>
      </c>
      <c r="J236" s="1">
        <v>45622</v>
      </c>
      <c r="K236" t="s">
        <v>31</v>
      </c>
      <c r="L236" t="s">
        <v>7</v>
      </c>
      <c r="M236" t="s">
        <v>39</v>
      </c>
      <c r="N236" s="1">
        <f t="shared" si="18"/>
        <v>45622</v>
      </c>
      <c r="O236" s="4">
        <f t="shared" si="19"/>
        <v>2.0824199912319159E-2</v>
      </c>
      <c r="P236">
        <f t="shared" si="20"/>
        <v>1.9749473684210528</v>
      </c>
      <c r="Q236" s="2">
        <f t="shared" si="21"/>
        <v>7.8174999999999999</v>
      </c>
      <c r="R236" s="2">
        <f t="shared" si="22"/>
        <v>20.846666666666668</v>
      </c>
      <c r="S236" s="2">
        <f t="shared" si="23"/>
        <v>6.6037735849056602</v>
      </c>
    </row>
    <row r="237" spans="1:19">
      <c r="A237" t="s">
        <v>288</v>
      </c>
      <c r="B237" t="s">
        <v>30</v>
      </c>
      <c r="C237">
        <v>85</v>
      </c>
      <c r="D237">
        <v>5099</v>
      </c>
      <c r="E237" s="2">
        <v>232.56</v>
      </c>
      <c r="F237">
        <v>28</v>
      </c>
      <c r="G237">
        <v>9</v>
      </c>
      <c r="H237">
        <v>4.5999999999999999E-2</v>
      </c>
      <c r="I237" s="3">
        <v>1526</v>
      </c>
      <c r="J237" s="1">
        <v>45333</v>
      </c>
      <c r="K237" t="s">
        <v>31</v>
      </c>
      <c r="L237" t="s">
        <v>8</v>
      </c>
      <c r="M237" t="s">
        <v>39</v>
      </c>
      <c r="N237" s="1">
        <f t="shared" si="18"/>
        <v>45333</v>
      </c>
      <c r="O237" s="4">
        <f t="shared" si="19"/>
        <v>1.6669935281427732E-2</v>
      </c>
      <c r="P237">
        <f t="shared" si="20"/>
        <v>2.7360000000000002</v>
      </c>
      <c r="Q237" s="2">
        <f t="shared" si="21"/>
        <v>8.305714285714286</v>
      </c>
      <c r="R237" s="2">
        <f t="shared" si="22"/>
        <v>25.84</v>
      </c>
      <c r="S237" s="2">
        <f t="shared" si="23"/>
        <v>6.5617475060199517</v>
      </c>
    </row>
    <row r="238" spans="1:19" hidden="1">
      <c r="A238" t="s">
        <v>289</v>
      </c>
      <c r="B238" t="s">
        <v>30</v>
      </c>
      <c r="C238">
        <v>192</v>
      </c>
      <c r="D238">
        <v>5852</v>
      </c>
      <c r="E238" s="2">
        <v>181.05</v>
      </c>
      <c r="F238">
        <v>16</v>
      </c>
      <c r="G238">
        <v>8</v>
      </c>
      <c r="H238">
        <v>4.2000000000000003E-2</v>
      </c>
      <c r="I238" s="3">
        <v>1600</v>
      </c>
      <c r="J238" s="1">
        <v>45617</v>
      </c>
      <c r="K238" t="s">
        <v>31</v>
      </c>
      <c r="L238" t="s">
        <v>7</v>
      </c>
      <c r="M238" t="s">
        <v>46</v>
      </c>
      <c r="N238" s="1">
        <f t="shared" si="18"/>
        <v>45617</v>
      </c>
      <c r="O238" s="4">
        <f t="shared" si="19"/>
        <v>3.2809295967190705E-2</v>
      </c>
      <c r="P238">
        <f t="shared" si="20"/>
        <v>0.94296875000000002</v>
      </c>
      <c r="Q238" s="2">
        <f t="shared" si="21"/>
        <v>11.315625000000001</v>
      </c>
      <c r="R238" s="2">
        <f t="shared" si="22"/>
        <v>22.631250000000001</v>
      </c>
      <c r="S238" s="2">
        <f t="shared" si="23"/>
        <v>8.8373377520022096</v>
      </c>
    </row>
    <row r="239" spans="1:19">
      <c r="A239" t="s">
        <v>290</v>
      </c>
      <c r="B239" t="s">
        <v>30</v>
      </c>
      <c r="C239">
        <v>80</v>
      </c>
      <c r="D239">
        <v>3823</v>
      </c>
      <c r="E239" s="2">
        <v>181.57</v>
      </c>
      <c r="F239">
        <v>13</v>
      </c>
      <c r="G239">
        <v>4</v>
      </c>
      <c r="H239">
        <v>4.5999999999999999E-2</v>
      </c>
      <c r="I239" s="3">
        <v>1564</v>
      </c>
      <c r="J239" s="1">
        <v>45609</v>
      </c>
      <c r="K239" t="s">
        <v>31</v>
      </c>
      <c r="L239" t="s">
        <v>7</v>
      </c>
      <c r="M239" t="s">
        <v>41</v>
      </c>
      <c r="N239" s="1">
        <f t="shared" si="18"/>
        <v>45609</v>
      </c>
      <c r="O239" s="4">
        <f t="shared" si="19"/>
        <v>2.0925974365681402E-2</v>
      </c>
      <c r="P239">
        <f t="shared" si="20"/>
        <v>2.269625</v>
      </c>
      <c r="Q239" s="2">
        <f t="shared" si="21"/>
        <v>13.966923076923077</v>
      </c>
      <c r="R239" s="2">
        <f t="shared" si="22"/>
        <v>45.392499999999998</v>
      </c>
      <c r="S239" s="2">
        <f t="shared" si="23"/>
        <v>8.6137577793688394</v>
      </c>
    </row>
    <row r="240" spans="1:19" hidden="1">
      <c r="A240" t="s">
        <v>291</v>
      </c>
      <c r="B240" t="s">
        <v>30</v>
      </c>
      <c r="C240">
        <v>191</v>
      </c>
      <c r="D240">
        <v>4612</v>
      </c>
      <c r="E240" s="2">
        <v>238.23</v>
      </c>
      <c r="F240">
        <v>20</v>
      </c>
      <c r="G240">
        <v>10</v>
      </c>
      <c r="H240">
        <v>5.1999999999999998E-2</v>
      </c>
      <c r="I240" s="3">
        <v>1531</v>
      </c>
      <c r="J240" s="1">
        <v>45302</v>
      </c>
      <c r="K240" t="s">
        <v>31</v>
      </c>
      <c r="L240" t="s">
        <v>8</v>
      </c>
      <c r="M240" t="s">
        <v>32</v>
      </c>
      <c r="N240" s="1">
        <f t="shared" si="18"/>
        <v>45302</v>
      </c>
      <c r="O240" s="4">
        <f t="shared" si="19"/>
        <v>4.1413703382480488E-2</v>
      </c>
      <c r="P240">
        <f t="shared" si="20"/>
        <v>1.2472774869109946</v>
      </c>
      <c r="Q240" s="2">
        <f t="shared" si="21"/>
        <v>11.9115</v>
      </c>
      <c r="R240" s="2">
        <f t="shared" si="22"/>
        <v>23.823</v>
      </c>
      <c r="S240" s="2">
        <f t="shared" si="23"/>
        <v>6.4265625655878775</v>
      </c>
    </row>
    <row r="241" spans="1:19" hidden="1">
      <c r="A241" t="s">
        <v>292</v>
      </c>
      <c r="B241" t="s">
        <v>30</v>
      </c>
      <c r="C241">
        <v>147</v>
      </c>
      <c r="D241">
        <v>5881</v>
      </c>
      <c r="E241" s="2">
        <v>196.34</v>
      </c>
      <c r="F241">
        <v>23</v>
      </c>
      <c r="G241">
        <v>7</v>
      </c>
      <c r="H241">
        <v>4.8000000000000001E-2</v>
      </c>
      <c r="I241" s="3">
        <v>1614</v>
      </c>
      <c r="J241" s="1">
        <v>45614</v>
      </c>
      <c r="K241" t="s">
        <v>31</v>
      </c>
      <c r="L241" t="s">
        <v>7</v>
      </c>
      <c r="M241" t="s">
        <v>39</v>
      </c>
      <c r="N241" s="1">
        <f t="shared" si="18"/>
        <v>45614</v>
      </c>
      <c r="O241" s="4">
        <f t="shared" si="19"/>
        <v>2.4995749022275124E-2</v>
      </c>
      <c r="P241">
        <f t="shared" si="20"/>
        <v>1.3356462585034015</v>
      </c>
      <c r="Q241" s="2">
        <f t="shared" si="21"/>
        <v>8.5365217391304355</v>
      </c>
      <c r="R241" s="2">
        <f t="shared" si="22"/>
        <v>28.048571428571428</v>
      </c>
      <c r="S241" s="2">
        <f t="shared" si="23"/>
        <v>8.2204339411225416</v>
      </c>
    </row>
    <row r="242" spans="1:19" hidden="1">
      <c r="A242" t="s">
        <v>293</v>
      </c>
      <c r="B242" t="s">
        <v>30</v>
      </c>
      <c r="C242">
        <v>100</v>
      </c>
      <c r="D242">
        <v>5204</v>
      </c>
      <c r="E242" s="2">
        <v>197.53</v>
      </c>
      <c r="F242">
        <v>26</v>
      </c>
      <c r="G242">
        <v>4</v>
      </c>
      <c r="H242">
        <v>0.04</v>
      </c>
      <c r="I242" s="3">
        <v>1675</v>
      </c>
      <c r="J242" s="1" t="s">
        <v>167</v>
      </c>
      <c r="K242" t="s">
        <v>31</v>
      </c>
      <c r="L242" t="s">
        <v>9</v>
      </c>
      <c r="M242" t="s">
        <v>35</v>
      </c>
      <c r="N242" s="1">
        <f t="shared" si="18"/>
        <v>45620</v>
      </c>
      <c r="O242" s="4">
        <f t="shared" si="19"/>
        <v>1.921598770176787E-2</v>
      </c>
      <c r="P242">
        <f t="shared" si="20"/>
        <v>1.9753000000000001</v>
      </c>
      <c r="Q242" s="2">
        <f t="shared" si="21"/>
        <v>7.5973076923076928</v>
      </c>
      <c r="R242" s="2">
        <f t="shared" si="22"/>
        <v>49.3825</v>
      </c>
      <c r="S242" s="2">
        <f t="shared" si="23"/>
        <v>8.4797245987951193</v>
      </c>
    </row>
    <row r="243" spans="1:19" hidden="1">
      <c r="A243" t="s">
        <v>294</v>
      </c>
      <c r="B243" t="s">
        <v>30</v>
      </c>
      <c r="C243">
        <v>82</v>
      </c>
      <c r="D243">
        <v>5130</v>
      </c>
      <c r="E243" s="2">
        <v>233.75</v>
      </c>
      <c r="F243">
        <v>20</v>
      </c>
      <c r="G243">
        <v>9</v>
      </c>
      <c r="H243">
        <v>0.11</v>
      </c>
      <c r="I243" s="3">
        <v>1505</v>
      </c>
      <c r="J243" s="1" t="s">
        <v>89</v>
      </c>
      <c r="K243" t="s">
        <v>31</v>
      </c>
      <c r="L243" t="s">
        <v>8</v>
      </c>
      <c r="M243" t="s">
        <v>37</v>
      </c>
      <c r="N243" s="1">
        <f t="shared" si="18"/>
        <v>45611</v>
      </c>
      <c r="O243" s="4">
        <f t="shared" si="19"/>
        <v>1.5984405458089667E-2</v>
      </c>
      <c r="P243">
        <f t="shared" si="20"/>
        <v>2.850609756097561</v>
      </c>
      <c r="Q243" s="2">
        <f t="shared" si="21"/>
        <v>11.6875</v>
      </c>
      <c r="R243" s="2">
        <f t="shared" si="22"/>
        <v>25.972222222222221</v>
      </c>
      <c r="S243" s="2">
        <f t="shared" si="23"/>
        <v>6.4385026737967914</v>
      </c>
    </row>
    <row r="244" spans="1:19" hidden="1">
      <c r="A244" t="s">
        <v>295</v>
      </c>
      <c r="B244" t="s">
        <v>30</v>
      </c>
      <c r="C244">
        <v>123</v>
      </c>
      <c r="D244">
        <v>5231</v>
      </c>
      <c r="E244" s="2">
        <v>202.93</v>
      </c>
      <c r="F244">
        <v>30</v>
      </c>
      <c r="G244">
        <v>10</v>
      </c>
      <c r="H244">
        <v>8.1000000000000003E-2</v>
      </c>
      <c r="I244" s="3">
        <v>1551</v>
      </c>
      <c r="J244" s="1">
        <v>45619</v>
      </c>
      <c r="K244" t="s">
        <v>31</v>
      </c>
      <c r="L244" t="s">
        <v>7</v>
      </c>
      <c r="M244" t="s">
        <v>41</v>
      </c>
      <c r="N244" s="1">
        <f t="shared" si="18"/>
        <v>45619</v>
      </c>
      <c r="O244" s="4">
        <f t="shared" si="19"/>
        <v>2.3513668514624355E-2</v>
      </c>
      <c r="P244">
        <f t="shared" si="20"/>
        <v>1.6498373983739838</v>
      </c>
      <c r="Q244" s="2">
        <f t="shared" si="21"/>
        <v>6.764333333333334</v>
      </c>
      <c r="R244" s="2">
        <f t="shared" si="22"/>
        <v>20.292999999999999</v>
      </c>
      <c r="S244" s="2">
        <f t="shared" si="23"/>
        <v>7.6430296161237861</v>
      </c>
    </row>
    <row r="245" spans="1:19" hidden="1">
      <c r="A245" t="s">
        <v>296</v>
      </c>
      <c r="B245" t="s">
        <v>30</v>
      </c>
      <c r="C245">
        <v>165</v>
      </c>
      <c r="D245">
        <v>5980</v>
      </c>
      <c r="E245" s="2">
        <v>248.41</v>
      </c>
      <c r="F245">
        <v>17</v>
      </c>
      <c r="G245">
        <v>3</v>
      </c>
      <c r="H245">
        <v>1.7999999999999999E-2</v>
      </c>
      <c r="I245" s="3">
        <v>1803</v>
      </c>
      <c r="J245" s="1">
        <v>45454</v>
      </c>
      <c r="K245" t="s">
        <v>31</v>
      </c>
      <c r="L245" t="s">
        <v>9</v>
      </c>
      <c r="M245" t="s">
        <v>41</v>
      </c>
      <c r="N245" s="1">
        <f t="shared" si="18"/>
        <v>45454</v>
      </c>
      <c r="O245" s="4">
        <f t="shared" si="19"/>
        <v>2.7591973244147156E-2</v>
      </c>
      <c r="P245">
        <f t="shared" si="20"/>
        <v>1.5055151515151515</v>
      </c>
      <c r="Q245" s="2">
        <f t="shared" si="21"/>
        <v>14.61235294117647</v>
      </c>
      <c r="R245" s="2">
        <f t="shared" si="22"/>
        <v>82.803333333333327</v>
      </c>
      <c r="S245" s="2">
        <f t="shared" si="23"/>
        <v>7.2581619097459846</v>
      </c>
    </row>
    <row r="246" spans="1:19" hidden="1">
      <c r="A246" t="s">
        <v>297</v>
      </c>
      <c r="B246" t="s">
        <v>30</v>
      </c>
      <c r="C246">
        <v>167</v>
      </c>
      <c r="D246">
        <v>3202</v>
      </c>
      <c r="E246" s="2">
        <v>214.87</v>
      </c>
      <c r="F246">
        <v>26</v>
      </c>
      <c r="G246">
        <v>6</v>
      </c>
      <c r="H246">
        <v>3.5999999999999997E-2</v>
      </c>
      <c r="I246" s="3">
        <v>1571</v>
      </c>
      <c r="J246" s="1">
        <v>45637</v>
      </c>
      <c r="K246" t="s">
        <v>31</v>
      </c>
      <c r="L246" t="s">
        <v>7</v>
      </c>
      <c r="M246" t="s">
        <v>37</v>
      </c>
      <c r="N246" s="1">
        <f t="shared" si="18"/>
        <v>45637</v>
      </c>
      <c r="O246" s="4">
        <f t="shared" si="19"/>
        <v>5.2154903185509055E-2</v>
      </c>
      <c r="P246">
        <f t="shared" si="20"/>
        <v>1.2866467065868263</v>
      </c>
      <c r="Q246" s="2">
        <f t="shared" si="21"/>
        <v>8.2642307692307693</v>
      </c>
      <c r="R246" s="2">
        <f t="shared" si="22"/>
        <v>35.811666666666667</v>
      </c>
      <c r="S246" s="2">
        <f t="shared" si="23"/>
        <v>7.3113975892400056</v>
      </c>
    </row>
    <row r="247" spans="1:19" hidden="1">
      <c r="A247" t="s">
        <v>298</v>
      </c>
      <c r="B247" t="s">
        <v>30</v>
      </c>
      <c r="C247">
        <v>111</v>
      </c>
      <c r="D247">
        <v>5847</v>
      </c>
      <c r="E247" s="2">
        <v>196.71</v>
      </c>
      <c r="F247">
        <v>21</v>
      </c>
      <c r="G247">
        <v>9</v>
      </c>
      <c r="H247">
        <v>8.1000000000000003E-2</v>
      </c>
      <c r="I247" s="3">
        <v>1445</v>
      </c>
      <c r="J247" s="1">
        <v>45626</v>
      </c>
      <c r="K247" t="s">
        <v>31</v>
      </c>
      <c r="L247" t="s">
        <v>8</v>
      </c>
      <c r="M247" t="s">
        <v>41</v>
      </c>
      <c r="N247" s="1">
        <f t="shared" si="18"/>
        <v>45626</v>
      </c>
      <c r="O247" s="4">
        <f t="shared" si="19"/>
        <v>1.8984094407388404E-2</v>
      </c>
      <c r="P247">
        <f t="shared" si="20"/>
        <v>1.7721621621621622</v>
      </c>
      <c r="Q247" s="2">
        <f t="shared" si="21"/>
        <v>9.3671428571428574</v>
      </c>
      <c r="R247" s="2">
        <f t="shared" si="22"/>
        <v>21.856666666666669</v>
      </c>
      <c r="S247" s="2">
        <f t="shared" si="23"/>
        <v>7.3458390524121802</v>
      </c>
    </row>
    <row r="248" spans="1:19" hidden="1">
      <c r="A248" t="s">
        <v>299</v>
      </c>
      <c r="B248" t="s">
        <v>30</v>
      </c>
      <c r="C248">
        <v>94</v>
      </c>
      <c r="D248">
        <v>4359</v>
      </c>
      <c r="E248" s="2">
        <v>215.57</v>
      </c>
      <c r="F248">
        <v>28</v>
      </c>
      <c r="G248">
        <v>5</v>
      </c>
      <c r="H248">
        <v>4.4999999999999998E-2</v>
      </c>
      <c r="I248" s="3">
        <v>1920</v>
      </c>
      <c r="J248" s="1">
        <v>45603</v>
      </c>
      <c r="K248" t="s">
        <v>31</v>
      </c>
      <c r="L248" t="s">
        <v>9</v>
      </c>
      <c r="M248" t="s">
        <v>32</v>
      </c>
      <c r="N248" s="1">
        <f t="shared" si="18"/>
        <v>45603</v>
      </c>
      <c r="O248" s="4">
        <f t="shared" si="19"/>
        <v>2.1564579031888048E-2</v>
      </c>
      <c r="P248">
        <f t="shared" si="20"/>
        <v>2.2932978723404256</v>
      </c>
      <c r="Q248" s="2">
        <f t="shared" si="21"/>
        <v>7.6989285714285716</v>
      </c>
      <c r="R248" s="2">
        <f t="shared" si="22"/>
        <v>43.113999999999997</v>
      </c>
      <c r="S248" s="2">
        <f t="shared" si="23"/>
        <v>8.9066196595073528</v>
      </c>
    </row>
    <row r="249" spans="1:19">
      <c r="A249" t="s">
        <v>300</v>
      </c>
      <c r="B249" t="s">
        <v>30</v>
      </c>
      <c r="C249">
        <v>179</v>
      </c>
      <c r="D249">
        <v>3185</v>
      </c>
      <c r="E249" s="2">
        <v>236.74</v>
      </c>
      <c r="F249">
        <v>29</v>
      </c>
      <c r="G249">
        <v>5</v>
      </c>
      <c r="H249">
        <v>4.5999999999999999E-2</v>
      </c>
      <c r="I249" s="3">
        <v>1156</v>
      </c>
      <c r="J249" s="1">
        <v>45607</v>
      </c>
      <c r="K249" t="s">
        <v>31</v>
      </c>
      <c r="L249" t="s">
        <v>7</v>
      </c>
      <c r="M249" t="s">
        <v>35</v>
      </c>
      <c r="N249" s="1">
        <f t="shared" si="18"/>
        <v>45607</v>
      </c>
      <c r="O249" s="4">
        <f t="shared" si="19"/>
        <v>5.6200941915227627E-2</v>
      </c>
      <c r="P249">
        <f t="shared" si="20"/>
        <v>1.3225698324022346</v>
      </c>
      <c r="Q249" s="2">
        <f t="shared" si="21"/>
        <v>8.1634482758620699</v>
      </c>
      <c r="R249" s="2">
        <f t="shared" si="22"/>
        <v>47.347999999999999</v>
      </c>
      <c r="S249" s="2">
        <f t="shared" si="23"/>
        <v>4.8829940018585791</v>
      </c>
    </row>
    <row r="250" spans="1:19" hidden="1">
      <c r="A250" t="s">
        <v>301</v>
      </c>
      <c r="B250" t="s">
        <v>30</v>
      </c>
      <c r="C250">
        <v>166</v>
      </c>
      <c r="D250">
        <v>5592</v>
      </c>
      <c r="E250" s="2">
        <v>183.03</v>
      </c>
      <c r="F250">
        <v>22</v>
      </c>
      <c r="G250">
        <v>4</v>
      </c>
      <c r="H250">
        <v>2.4E-2</v>
      </c>
      <c r="I250" s="3">
        <v>1636</v>
      </c>
      <c r="J250" s="1">
        <v>45618</v>
      </c>
      <c r="K250" t="s">
        <v>31</v>
      </c>
      <c r="L250" t="s">
        <v>9</v>
      </c>
      <c r="M250" t="s">
        <v>41</v>
      </c>
      <c r="N250" s="1">
        <f t="shared" si="18"/>
        <v>45618</v>
      </c>
      <c r="O250" s="4">
        <f t="shared" si="19"/>
        <v>2.9685264663805437E-2</v>
      </c>
      <c r="P250">
        <f t="shared" si="20"/>
        <v>1.102590361445783</v>
      </c>
      <c r="Q250" s="2">
        <f t="shared" si="21"/>
        <v>8.3195454545454552</v>
      </c>
      <c r="R250" s="2">
        <f t="shared" si="22"/>
        <v>45.7575</v>
      </c>
      <c r="S250" s="2">
        <f t="shared" si="23"/>
        <v>8.9384253947440317</v>
      </c>
    </row>
    <row r="251" spans="1:19">
      <c r="A251" t="s">
        <v>302</v>
      </c>
      <c r="B251" t="s">
        <v>30</v>
      </c>
      <c r="C251">
        <v>90</v>
      </c>
      <c r="D251">
        <v>5062</v>
      </c>
      <c r="E251" s="2">
        <v>191.4</v>
      </c>
      <c r="F251">
        <v>23</v>
      </c>
      <c r="G251">
        <v>6</v>
      </c>
      <c r="H251">
        <v>4.5999999999999999E-2</v>
      </c>
      <c r="I251" s="3">
        <v>1775</v>
      </c>
      <c r="J251" s="1">
        <v>45615</v>
      </c>
      <c r="K251" t="s">
        <v>31</v>
      </c>
      <c r="L251" t="s">
        <v>9</v>
      </c>
      <c r="M251" t="s">
        <v>35</v>
      </c>
      <c r="N251" s="1">
        <f t="shared" si="18"/>
        <v>45615</v>
      </c>
      <c r="O251" s="4">
        <f t="shared" si="19"/>
        <v>1.7779533781114184E-2</v>
      </c>
      <c r="P251">
        <f t="shared" si="20"/>
        <v>2.1266666666666669</v>
      </c>
      <c r="Q251" s="2">
        <f t="shared" si="21"/>
        <v>8.3217391304347821</v>
      </c>
      <c r="R251" s="2">
        <f t="shared" si="22"/>
        <v>31.900000000000002</v>
      </c>
      <c r="S251" s="2">
        <f t="shared" si="23"/>
        <v>9.2737722048066864</v>
      </c>
    </row>
    <row r="252" spans="1:19" hidden="1">
      <c r="A252" t="s">
        <v>303</v>
      </c>
      <c r="B252" t="s">
        <v>30</v>
      </c>
      <c r="C252">
        <v>106</v>
      </c>
      <c r="D252">
        <v>5830</v>
      </c>
      <c r="E252" s="2">
        <v>241.9</v>
      </c>
      <c r="F252">
        <v>29</v>
      </c>
      <c r="G252">
        <v>10</v>
      </c>
      <c r="H252">
        <v>3.5000000000000003E-2</v>
      </c>
      <c r="I252" s="3">
        <v>1897</v>
      </c>
      <c r="J252" s="1">
        <v>45598</v>
      </c>
      <c r="K252" t="s">
        <v>31</v>
      </c>
      <c r="L252" t="s">
        <v>7</v>
      </c>
      <c r="M252" t="s">
        <v>39</v>
      </c>
      <c r="N252" s="1">
        <f t="shared" si="18"/>
        <v>45598</v>
      </c>
      <c r="O252" s="4">
        <f t="shared" si="19"/>
        <v>1.8181818181818181E-2</v>
      </c>
      <c r="P252">
        <f t="shared" si="20"/>
        <v>2.2820754716981133</v>
      </c>
      <c r="Q252" s="2">
        <f t="shared" si="21"/>
        <v>8.341379310344827</v>
      </c>
      <c r="R252" s="2">
        <f t="shared" si="22"/>
        <v>24.19</v>
      </c>
      <c r="S252" s="2">
        <f t="shared" si="23"/>
        <v>7.8420835055808187</v>
      </c>
    </row>
    <row r="253" spans="1:19">
      <c r="A253" t="s">
        <v>304</v>
      </c>
      <c r="B253" t="s">
        <v>30</v>
      </c>
      <c r="C253">
        <v>139</v>
      </c>
      <c r="D253">
        <v>4629</v>
      </c>
      <c r="E253" s="2">
        <v>236.96</v>
      </c>
      <c r="F253">
        <v>10</v>
      </c>
      <c r="G253">
        <v>6</v>
      </c>
      <c r="H253">
        <v>4.5999999999999999E-2</v>
      </c>
      <c r="I253" s="3">
        <v>1183</v>
      </c>
      <c r="J253" s="1">
        <v>45454</v>
      </c>
      <c r="K253" t="s">
        <v>31</v>
      </c>
      <c r="L253" t="s">
        <v>7</v>
      </c>
      <c r="M253" t="s">
        <v>39</v>
      </c>
      <c r="N253" s="1">
        <f t="shared" si="18"/>
        <v>45454</v>
      </c>
      <c r="O253" s="4">
        <f t="shared" si="19"/>
        <v>3.0028083819399438E-2</v>
      </c>
      <c r="P253">
        <f t="shared" si="20"/>
        <v>1.7047482014388491</v>
      </c>
      <c r="Q253" s="2">
        <f t="shared" si="21"/>
        <v>23.696000000000002</v>
      </c>
      <c r="R253" s="2">
        <f t="shared" si="22"/>
        <v>39.493333333333332</v>
      </c>
      <c r="S253" s="2">
        <f t="shared" si="23"/>
        <v>4.9924037812288988</v>
      </c>
    </row>
    <row r="254" spans="1:19">
      <c r="A254" t="s">
        <v>305</v>
      </c>
      <c r="B254" t="s">
        <v>30</v>
      </c>
      <c r="C254">
        <v>158</v>
      </c>
      <c r="D254">
        <v>4780</v>
      </c>
      <c r="E254" s="2">
        <v>247.2</v>
      </c>
      <c r="F254">
        <v>23</v>
      </c>
      <c r="G254">
        <v>9</v>
      </c>
      <c r="H254">
        <v>4.5999999999999999E-2</v>
      </c>
      <c r="I254" s="3">
        <v>1005</v>
      </c>
      <c r="J254" s="1">
        <v>45620</v>
      </c>
      <c r="K254" t="s">
        <v>31</v>
      </c>
      <c r="L254" t="s">
        <v>7</v>
      </c>
      <c r="M254" t="s">
        <v>32</v>
      </c>
      <c r="N254" s="1">
        <f t="shared" si="18"/>
        <v>45620</v>
      </c>
      <c r="O254" s="4">
        <f t="shared" si="19"/>
        <v>3.3054393305439328E-2</v>
      </c>
      <c r="P254">
        <f t="shared" si="20"/>
        <v>1.5645569620253164</v>
      </c>
      <c r="Q254" s="2">
        <f t="shared" si="21"/>
        <v>10.747826086956522</v>
      </c>
      <c r="R254" s="2">
        <f t="shared" si="22"/>
        <v>27.466666666666665</v>
      </c>
      <c r="S254" s="2">
        <f t="shared" si="23"/>
        <v>4.0655339805825248</v>
      </c>
    </row>
    <row r="255" spans="1:19" hidden="1">
      <c r="A255" t="s">
        <v>306</v>
      </c>
      <c r="B255" t="s">
        <v>30</v>
      </c>
      <c r="C255">
        <v>187</v>
      </c>
      <c r="D255">
        <v>3800</v>
      </c>
      <c r="E255" s="2">
        <v>241</v>
      </c>
      <c r="F255">
        <v>16</v>
      </c>
      <c r="G255">
        <v>8</v>
      </c>
      <c r="H255">
        <v>4.2999999999999997E-2</v>
      </c>
      <c r="I255" s="3">
        <v>1842</v>
      </c>
      <c r="J255" s="1">
        <v>45605</v>
      </c>
      <c r="K255" t="s">
        <v>31</v>
      </c>
      <c r="L255" t="s">
        <v>8</v>
      </c>
      <c r="M255" t="s">
        <v>46</v>
      </c>
      <c r="N255" s="1">
        <f t="shared" si="18"/>
        <v>45605</v>
      </c>
      <c r="O255" s="4">
        <f t="shared" si="19"/>
        <v>4.9210526315789475E-2</v>
      </c>
      <c r="P255">
        <f t="shared" si="20"/>
        <v>1.2887700534759359</v>
      </c>
      <c r="Q255" s="2">
        <f t="shared" si="21"/>
        <v>15.0625</v>
      </c>
      <c r="R255" s="2">
        <f t="shared" si="22"/>
        <v>30.125</v>
      </c>
      <c r="S255" s="2">
        <f t="shared" si="23"/>
        <v>7.6431535269709547</v>
      </c>
    </row>
    <row r="256" spans="1:19" hidden="1">
      <c r="A256" t="s">
        <v>307</v>
      </c>
      <c r="B256" t="s">
        <v>30</v>
      </c>
      <c r="C256">
        <v>95</v>
      </c>
      <c r="D256">
        <v>4096</v>
      </c>
      <c r="E256" s="2">
        <v>242.69</v>
      </c>
      <c r="F256">
        <v>26</v>
      </c>
      <c r="G256">
        <v>9</v>
      </c>
      <c r="H256">
        <v>9.5000000000000001E-2</v>
      </c>
      <c r="I256" s="3">
        <v>1550</v>
      </c>
      <c r="J256" s="1" t="s">
        <v>73</v>
      </c>
      <c r="K256" t="s">
        <v>31</v>
      </c>
      <c r="L256" t="s">
        <v>9</v>
      </c>
      <c r="M256" t="s">
        <v>41</v>
      </c>
      <c r="N256" s="1">
        <f t="shared" si="18"/>
        <v>45618</v>
      </c>
      <c r="O256" s="4">
        <f t="shared" si="19"/>
        <v>2.3193359375E-2</v>
      </c>
      <c r="P256">
        <f t="shared" si="20"/>
        <v>2.5546315789473684</v>
      </c>
      <c r="Q256" s="2">
        <f t="shared" si="21"/>
        <v>9.3342307692307696</v>
      </c>
      <c r="R256" s="2">
        <f t="shared" si="22"/>
        <v>26.965555555555554</v>
      </c>
      <c r="S256" s="2">
        <f t="shared" si="23"/>
        <v>6.3867485269273558</v>
      </c>
    </row>
    <row r="257" spans="1:19" hidden="1">
      <c r="A257" t="s">
        <v>308</v>
      </c>
      <c r="B257" t="s">
        <v>30</v>
      </c>
      <c r="C257">
        <v>118</v>
      </c>
      <c r="D257">
        <v>3562</v>
      </c>
      <c r="E257" s="2">
        <v>231.5</v>
      </c>
      <c r="F257">
        <v>12</v>
      </c>
      <c r="G257">
        <v>3</v>
      </c>
      <c r="H257">
        <v>2.5000000000000001E-2</v>
      </c>
      <c r="I257" s="3">
        <v>1856</v>
      </c>
      <c r="J257" s="1">
        <v>45615</v>
      </c>
      <c r="K257" t="s">
        <v>31</v>
      </c>
      <c r="L257" t="s">
        <v>7</v>
      </c>
      <c r="M257" t="s">
        <v>35</v>
      </c>
      <c r="N257" s="1">
        <f t="shared" si="18"/>
        <v>45615</v>
      </c>
      <c r="O257" s="4">
        <f t="shared" si="19"/>
        <v>3.3127456485120721E-2</v>
      </c>
      <c r="P257">
        <f t="shared" si="20"/>
        <v>1.9618644067796611</v>
      </c>
      <c r="Q257" s="2">
        <f t="shared" si="21"/>
        <v>19.291666666666668</v>
      </c>
      <c r="R257" s="2">
        <f t="shared" si="22"/>
        <v>77.166666666666671</v>
      </c>
      <c r="S257" s="2">
        <f t="shared" si="23"/>
        <v>8.0172786177105824</v>
      </c>
    </row>
    <row r="258" spans="1:19" hidden="1">
      <c r="A258" t="s">
        <v>309</v>
      </c>
      <c r="B258" t="s">
        <v>30</v>
      </c>
      <c r="C258">
        <v>166</v>
      </c>
      <c r="D258">
        <v>3910</v>
      </c>
      <c r="E258" s="2">
        <v>191.32</v>
      </c>
      <c r="F258">
        <v>27</v>
      </c>
      <c r="G258">
        <v>7</v>
      </c>
      <c r="H258">
        <v>4.2000000000000003E-2</v>
      </c>
      <c r="I258" s="3">
        <v>1505</v>
      </c>
      <c r="J258" s="1">
        <v>45611</v>
      </c>
      <c r="K258" t="s">
        <v>31</v>
      </c>
      <c r="L258" t="s">
        <v>8</v>
      </c>
      <c r="M258" t="s">
        <v>46</v>
      </c>
      <c r="N258" s="1">
        <f t="shared" ref="N258:N321" si="24">IF(A258="","",IF(ISNUMBER(J258),J258,IF(MID(J258,5,1)="-",DATE(LEFT(J258,4),MID(J258,6,2),RIGHT(J258,2)),IF(MID(J258,5,1)="/",DATE(LEFT(J258,4),MID(J258,6,2),RIGHT(J258,2)),DATE(RIGHT(J258,4),MID(J258,4,2),LEFT(J258,2))))))</f>
        <v>45611</v>
      </c>
      <c r="O258" s="4">
        <f t="shared" ref="O258:O321" si="25">IFERROR(C258/D258,0)</f>
        <v>4.2455242966751919E-2</v>
      </c>
      <c r="P258">
        <f t="shared" ref="P258:P321" si="26">IFERROR(E258/C258,0)</f>
        <v>1.1525301204819276</v>
      </c>
      <c r="Q258" s="2">
        <f t="shared" ref="Q258:Q321" si="27">IFERROR(E258/F258,0)</f>
        <v>7.0859259259259257</v>
      </c>
      <c r="R258" s="2">
        <f t="shared" ref="R258:R321" si="28">IFERROR(E258/G258,0)</f>
        <v>27.331428571428571</v>
      </c>
      <c r="S258" s="2">
        <f t="shared" ref="S258:S321" si="29">IFERROR(I258/E258,0)</f>
        <v>7.8664018398494671</v>
      </c>
    </row>
    <row r="259" spans="1:19" hidden="1">
      <c r="A259" t="s">
        <v>310</v>
      </c>
      <c r="B259" t="s">
        <v>30</v>
      </c>
      <c r="C259">
        <v>146</v>
      </c>
      <c r="D259">
        <v>5411</v>
      </c>
      <c r="E259" s="2">
        <v>201.76</v>
      </c>
      <c r="F259">
        <v>28</v>
      </c>
      <c r="G259">
        <v>7</v>
      </c>
      <c r="H259">
        <v>4.8000000000000001E-2</v>
      </c>
      <c r="I259" s="3">
        <v>1393</v>
      </c>
      <c r="J259" s="1" t="s">
        <v>50</v>
      </c>
      <c r="K259" t="s">
        <v>31</v>
      </c>
      <c r="L259" t="s">
        <v>7</v>
      </c>
      <c r="M259" t="s">
        <v>37</v>
      </c>
      <c r="N259" s="1">
        <f t="shared" si="24"/>
        <v>45610</v>
      </c>
      <c r="O259" s="4">
        <f t="shared" si="25"/>
        <v>2.6982073553871742E-2</v>
      </c>
      <c r="P259">
        <f t="shared" si="26"/>
        <v>1.3819178082191781</v>
      </c>
      <c r="Q259" s="2">
        <f t="shared" si="27"/>
        <v>7.2057142857142855</v>
      </c>
      <c r="R259" s="2">
        <f t="shared" si="28"/>
        <v>28.822857142857142</v>
      </c>
      <c r="S259" s="2">
        <f t="shared" si="29"/>
        <v>6.9042426645519432</v>
      </c>
    </row>
    <row r="260" spans="1:19" hidden="1">
      <c r="A260" t="s">
        <v>311</v>
      </c>
      <c r="B260" t="s">
        <v>30</v>
      </c>
      <c r="C260">
        <v>101</v>
      </c>
      <c r="D260">
        <v>4026</v>
      </c>
      <c r="E260" s="2">
        <v>219.68</v>
      </c>
      <c r="F260">
        <v>22</v>
      </c>
      <c r="G260">
        <v>9</v>
      </c>
      <c r="H260">
        <v>8.8999999999999996E-2</v>
      </c>
      <c r="I260" s="3">
        <v>1149</v>
      </c>
      <c r="J260" s="1" t="s">
        <v>89</v>
      </c>
      <c r="K260" t="s">
        <v>31</v>
      </c>
      <c r="L260" t="s">
        <v>7</v>
      </c>
      <c r="M260" t="s">
        <v>46</v>
      </c>
      <c r="N260" s="1">
        <f t="shared" si="24"/>
        <v>45611</v>
      </c>
      <c r="O260" s="4">
        <f t="shared" si="25"/>
        <v>2.5086934923000497E-2</v>
      </c>
      <c r="P260">
        <f t="shared" si="26"/>
        <v>2.1750495049504952</v>
      </c>
      <c r="Q260" s="2">
        <f t="shared" si="27"/>
        <v>9.9854545454545462</v>
      </c>
      <c r="R260" s="2">
        <f t="shared" si="28"/>
        <v>24.408888888888889</v>
      </c>
      <c r="S260" s="2">
        <f t="shared" si="29"/>
        <v>5.2303350327749456</v>
      </c>
    </row>
    <row r="261" spans="1:19" hidden="1">
      <c r="A261" t="s">
        <v>312</v>
      </c>
      <c r="B261" t="s">
        <v>30</v>
      </c>
      <c r="C261">
        <v>185</v>
      </c>
      <c r="D261">
        <v>3716</v>
      </c>
      <c r="E261" s="2">
        <v>218.23</v>
      </c>
      <c r="F261">
        <v>27</v>
      </c>
      <c r="G261">
        <v>7</v>
      </c>
      <c r="H261">
        <v>5.6000000000000001E-2</v>
      </c>
      <c r="I261" s="3">
        <v>1015</v>
      </c>
      <c r="J261" s="1">
        <v>45599</v>
      </c>
      <c r="K261" t="s">
        <v>31</v>
      </c>
      <c r="L261" t="s">
        <v>7</v>
      </c>
      <c r="M261" t="s">
        <v>41</v>
      </c>
      <c r="N261" s="1">
        <f t="shared" si="24"/>
        <v>45599</v>
      </c>
      <c r="O261" s="4">
        <f t="shared" si="25"/>
        <v>4.9784714747039827E-2</v>
      </c>
      <c r="P261">
        <f t="shared" si="26"/>
        <v>1.1796216216216215</v>
      </c>
      <c r="Q261" s="2">
        <f t="shared" si="27"/>
        <v>8.0825925925925919</v>
      </c>
      <c r="R261" s="2">
        <f t="shared" si="28"/>
        <v>31.175714285714285</v>
      </c>
      <c r="S261" s="2">
        <f t="shared" si="29"/>
        <v>4.6510562250836278</v>
      </c>
    </row>
    <row r="262" spans="1:19" hidden="1">
      <c r="A262" t="s">
        <v>313</v>
      </c>
      <c r="B262" t="s">
        <v>30</v>
      </c>
      <c r="C262">
        <v>147</v>
      </c>
      <c r="D262">
        <v>5162</v>
      </c>
      <c r="E262" s="2">
        <v>186.79</v>
      </c>
      <c r="F262">
        <v>30</v>
      </c>
      <c r="G262">
        <v>7</v>
      </c>
      <c r="H262">
        <v>4.8000000000000001E-2</v>
      </c>
      <c r="I262" s="3">
        <v>1733</v>
      </c>
      <c r="J262" s="1">
        <v>45621</v>
      </c>
      <c r="K262" t="s">
        <v>31</v>
      </c>
      <c r="L262" t="s">
        <v>7</v>
      </c>
      <c r="M262" t="s">
        <v>46</v>
      </c>
      <c r="N262" s="1">
        <f t="shared" si="24"/>
        <v>45621</v>
      </c>
      <c r="O262" s="4">
        <f t="shared" si="25"/>
        <v>2.8477334366524602E-2</v>
      </c>
      <c r="P262">
        <f t="shared" si="26"/>
        <v>1.2706802721088435</v>
      </c>
      <c r="Q262" s="2">
        <f t="shared" si="27"/>
        <v>6.2263333333333328</v>
      </c>
      <c r="R262" s="2">
        <f t="shared" si="28"/>
        <v>26.684285714285714</v>
      </c>
      <c r="S262" s="2">
        <f t="shared" si="29"/>
        <v>9.2777985973553196</v>
      </c>
    </row>
    <row r="263" spans="1:19" hidden="1">
      <c r="A263" t="s">
        <v>314</v>
      </c>
      <c r="B263" t="s">
        <v>30</v>
      </c>
      <c r="C263">
        <v>188</v>
      </c>
      <c r="D263">
        <v>3859</v>
      </c>
      <c r="E263" s="2">
        <v>211.83</v>
      </c>
      <c r="F263">
        <v>30</v>
      </c>
      <c r="G263">
        <v>9</v>
      </c>
      <c r="H263">
        <v>4.8000000000000001E-2</v>
      </c>
      <c r="I263" s="3">
        <v>1719</v>
      </c>
      <c r="J263" s="1">
        <v>45624</v>
      </c>
      <c r="K263" t="s">
        <v>31</v>
      </c>
      <c r="L263" t="s">
        <v>8</v>
      </c>
      <c r="M263" t="s">
        <v>41</v>
      </c>
      <c r="N263" s="1">
        <f t="shared" si="24"/>
        <v>45624</v>
      </c>
      <c r="O263" s="4">
        <f t="shared" si="25"/>
        <v>4.8717284270536405E-2</v>
      </c>
      <c r="P263">
        <f t="shared" si="26"/>
        <v>1.1267553191489363</v>
      </c>
      <c r="Q263" s="2">
        <f t="shared" si="27"/>
        <v>7.0610000000000008</v>
      </c>
      <c r="R263" s="2">
        <f t="shared" si="28"/>
        <v>23.536666666666669</v>
      </c>
      <c r="S263" s="2">
        <f t="shared" si="29"/>
        <v>8.1149978756550052</v>
      </c>
    </row>
    <row r="264" spans="1:19">
      <c r="A264" t="s">
        <v>315</v>
      </c>
      <c r="B264" t="s">
        <v>30</v>
      </c>
      <c r="C264">
        <v>122</v>
      </c>
      <c r="D264">
        <v>3350</v>
      </c>
      <c r="E264" s="2">
        <v>225.89</v>
      </c>
      <c r="F264">
        <v>28</v>
      </c>
      <c r="G264">
        <v>3</v>
      </c>
      <c r="H264">
        <v>4.5999999999999999E-2</v>
      </c>
      <c r="I264" s="3">
        <v>1509</v>
      </c>
      <c r="J264" s="1">
        <v>45620</v>
      </c>
      <c r="K264" t="s">
        <v>31</v>
      </c>
      <c r="L264" t="s">
        <v>7</v>
      </c>
      <c r="M264" t="s">
        <v>37</v>
      </c>
      <c r="N264" s="1">
        <f t="shared" si="24"/>
        <v>45620</v>
      </c>
      <c r="O264" s="4">
        <f t="shared" si="25"/>
        <v>3.6417910447761194E-2</v>
      </c>
      <c r="P264">
        <f t="shared" si="26"/>
        <v>1.8515573770491802</v>
      </c>
      <c r="Q264" s="2">
        <f t="shared" si="27"/>
        <v>8.067499999999999</v>
      </c>
      <c r="R264" s="2">
        <f t="shared" si="28"/>
        <v>75.296666666666667</v>
      </c>
      <c r="S264" s="2">
        <f t="shared" si="29"/>
        <v>6.680242595953783</v>
      </c>
    </row>
    <row r="265" spans="1:19" hidden="1">
      <c r="A265" t="s">
        <v>316</v>
      </c>
      <c r="B265" t="s">
        <v>30</v>
      </c>
      <c r="C265">
        <v>143</v>
      </c>
      <c r="D265">
        <v>5340</v>
      </c>
      <c r="E265" s="2">
        <v>215.57</v>
      </c>
      <c r="F265">
        <v>20</v>
      </c>
      <c r="G265">
        <v>9</v>
      </c>
      <c r="H265">
        <v>6.3E-2</v>
      </c>
      <c r="I265" s="3">
        <v>1223</v>
      </c>
      <c r="J265" s="1">
        <v>45601</v>
      </c>
      <c r="K265" t="s">
        <v>31</v>
      </c>
      <c r="L265" t="s">
        <v>9</v>
      </c>
      <c r="M265" t="s">
        <v>41</v>
      </c>
      <c r="N265" s="1">
        <f t="shared" si="24"/>
        <v>45601</v>
      </c>
      <c r="O265" s="4">
        <f t="shared" si="25"/>
        <v>2.6779026217228465E-2</v>
      </c>
      <c r="P265">
        <f t="shared" si="26"/>
        <v>1.5074825174825175</v>
      </c>
      <c r="Q265" s="2">
        <f t="shared" si="27"/>
        <v>10.778499999999999</v>
      </c>
      <c r="R265" s="2">
        <f t="shared" si="28"/>
        <v>23.952222222222222</v>
      </c>
      <c r="S265" s="2">
        <f t="shared" si="29"/>
        <v>5.6733311685299439</v>
      </c>
    </row>
    <row r="266" spans="1:19" hidden="1">
      <c r="A266" t="s">
        <v>317</v>
      </c>
      <c r="B266" t="s">
        <v>30</v>
      </c>
      <c r="C266">
        <v>170</v>
      </c>
      <c r="D266">
        <v>3124</v>
      </c>
      <c r="E266" s="2">
        <v>234.92</v>
      </c>
      <c r="F266">
        <v>17</v>
      </c>
      <c r="G266">
        <v>3</v>
      </c>
      <c r="H266">
        <v>1.7999999999999999E-2</v>
      </c>
      <c r="I266" s="3">
        <v>1232</v>
      </c>
      <c r="J266" s="1">
        <v>45607</v>
      </c>
      <c r="K266" t="s">
        <v>31</v>
      </c>
      <c r="L266" t="s">
        <v>7</v>
      </c>
      <c r="M266" t="s">
        <v>39</v>
      </c>
      <c r="N266" s="1">
        <f t="shared" si="24"/>
        <v>45607</v>
      </c>
      <c r="O266" s="4">
        <f t="shared" si="25"/>
        <v>5.441741357234315E-2</v>
      </c>
      <c r="P266">
        <f t="shared" si="26"/>
        <v>1.3818823529411763</v>
      </c>
      <c r="Q266" s="2">
        <f t="shared" si="27"/>
        <v>13.818823529411764</v>
      </c>
      <c r="R266" s="2">
        <f t="shared" si="28"/>
        <v>78.306666666666658</v>
      </c>
      <c r="S266" s="2">
        <f t="shared" si="29"/>
        <v>5.2443384982121577</v>
      </c>
    </row>
    <row r="267" spans="1:19" hidden="1">
      <c r="A267" t="s">
        <v>318</v>
      </c>
      <c r="B267" t="s">
        <v>30</v>
      </c>
      <c r="C267">
        <v>114</v>
      </c>
      <c r="D267">
        <v>5017</v>
      </c>
      <c r="E267" s="2">
        <v>242.62</v>
      </c>
      <c r="F267">
        <v>11</v>
      </c>
      <c r="G267">
        <v>6</v>
      </c>
      <c r="H267">
        <v>5.2999999999999999E-2</v>
      </c>
      <c r="I267" s="3">
        <v>1303</v>
      </c>
      <c r="J267" s="1">
        <v>45613</v>
      </c>
      <c r="K267" t="s">
        <v>31</v>
      </c>
      <c r="L267" t="s">
        <v>8</v>
      </c>
      <c r="M267" t="s">
        <v>37</v>
      </c>
      <c r="N267" s="1">
        <f t="shared" si="24"/>
        <v>45613</v>
      </c>
      <c r="O267" s="4">
        <f t="shared" si="25"/>
        <v>2.2722742674905323E-2</v>
      </c>
      <c r="P267">
        <f t="shared" si="26"/>
        <v>2.1282456140350878</v>
      </c>
      <c r="Q267" s="2">
        <f t="shared" si="27"/>
        <v>22.056363636363638</v>
      </c>
      <c r="R267" s="2">
        <f t="shared" si="28"/>
        <v>40.436666666666667</v>
      </c>
      <c r="S267" s="2">
        <f t="shared" si="29"/>
        <v>5.3705382903305576</v>
      </c>
    </row>
    <row r="268" spans="1:19" hidden="1">
      <c r="A268" t="s">
        <v>319</v>
      </c>
      <c r="B268" t="s">
        <v>30</v>
      </c>
      <c r="C268">
        <v>186</v>
      </c>
      <c r="D268">
        <v>3424</v>
      </c>
      <c r="E268" s="2">
        <v>201.81</v>
      </c>
      <c r="F268">
        <v>27</v>
      </c>
      <c r="G268">
        <v>3</v>
      </c>
      <c r="H268">
        <v>1.6E-2</v>
      </c>
      <c r="I268" s="3">
        <v>1337</v>
      </c>
      <c r="J268" s="1">
        <v>45622</v>
      </c>
      <c r="K268" t="s">
        <v>31</v>
      </c>
      <c r="L268" t="s">
        <v>7</v>
      </c>
      <c r="M268" t="s">
        <v>39</v>
      </c>
      <c r="N268" s="1">
        <f t="shared" si="24"/>
        <v>45622</v>
      </c>
      <c r="O268" s="4">
        <f t="shared" si="25"/>
        <v>5.4322429906542055E-2</v>
      </c>
      <c r="P268">
        <f t="shared" si="26"/>
        <v>1.085</v>
      </c>
      <c r="Q268" s="2">
        <f t="shared" si="27"/>
        <v>7.4744444444444449</v>
      </c>
      <c r="R268" s="2">
        <f t="shared" si="28"/>
        <v>67.27</v>
      </c>
      <c r="S268" s="2">
        <f t="shared" si="29"/>
        <v>6.6250433576135972</v>
      </c>
    </row>
    <row r="269" spans="1:19" hidden="1">
      <c r="A269" t="s">
        <v>320</v>
      </c>
      <c r="B269" t="s">
        <v>30</v>
      </c>
      <c r="C269">
        <v>120</v>
      </c>
      <c r="D269">
        <v>4060</v>
      </c>
      <c r="E269" s="2">
        <v>210.95</v>
      </c>
      <c r="F269">
        <v>24</v>
      </c>
      <c r="G269">
        <v>9</v>
      </c>
      <c r="H269">
        <v>7.4999999999999997E-2</v>
      </c>
      <c r="I269" s="3">
        <v>1376</v>
      </c>
      <c r="J269" s="1">
        <v>45601</v>
      </c>
      <c r="K269" t="s">
        <v>31</v>
      </c>
      <c r="L269" t="s">
        <v>9</v>
      </c>
      <c r="M269" t="s">
        <v>37</v>
      </c>
      <c r="N269" s="1">
        <f t="shared" si="24"/>
        <v>45601</v>
      </c>
      <c r="O269" s="4">
        <f t="shared" si="25"/>
        <v>2.9556650246305417E-2</v>
      </c>
      <c r="P269">
        <f t="shared" si="26"/>
        <v>1.7579166666666666</v>
      </c>
      <c r="Q269" s="2">
        <f t="shared" si="27"/>
        <v>8.7895833333333329</v>
      </c>
      <c r="R269" s="2">
        <f t="shared" si="28"/>
        <v>23.438888888888886</v>
      </c>
      <c r="S269" s="2">
        <f t="shared" si="29"/>
        <v>6.5228727186537094</v>
      </c>
    </row>
    <row r="270" spans="1:19" hidden="1">
      <c r="A270" t="s">
        <v>321</v>
      </c>
      <c r="B270" t="s">
        <v>30</v>
      </c>
      <c r="C270">
        <v>130</v>
      </c>
      <c r="D270">
        <v>5688</v>
      </c>
      <c r="E270" s="2">
        <v>212.05</v>
      </c>
      <c r="F270">
        <v>21</v>
      </c>
      <c r="G270">
        <v>5</v>
      </c>
      <c r="H270">
        <v>3.7999999999999999E-2</v>
      </c>
      <c r="I270" s="3">
        <v>1454</v>
      </c>
      <c r="J270" s="1" t="s">
        <v>132</v>
      </c>
      <c r="K270" t="s">
        <v>31</v>
      </c>
      <c r="L270" t="s">
        <v>7</v>
      </c>
      <c r="M270" t="s">
        <v>32</v>
      </c>
      <c r="N270" s="1">
        <f t="shared" si="24"/>
        <v>45613</v>
      </c>
      <c r="O270" s="4">
        <f t="shared" si="25"/>
        <v>2.2855133614627286E-2</v>
      </c>
      <c r="P270">
        <f t="shared" si="26"/>
        <v>1.6311538461538462</v>
      </c>
      <c r="Q270" s="2">
        <f t="shared" si="27"/>
        <v>10.097619047619048</v>
      </c>
      <c r="R270" s="2">
        <f t="shared" si="28"/>
        <v>42.410000000000004</v>
      </c>
      <c r="S270" s="2">
        <f t="shared" si="29"/>
        <v>6.8568733789200653</v>
      </c>
    </row>
    <row r="271" spans="1:19" hidden="1">
      <c r="A271" t="s">
        <v>322</v>
      </c>
      <c r="B271" t="s">
        <v>30</v>
      </c>
      <c r="C271">
        <v>178</v>
      </c>
      <c r="D271">
        <v>5029</v>
      </c>
      <c r="E271" s="2">
        <v>189.79</v>
      </c>
      <c r="F271">
        <v>25</v>
      </c>
      <c r="G271">
        <v>8</v>
      </c>
      <c r="H271">
        <v>4.4999999999999998E-2</v>
      </c>
      <c r="I271" s="3">
        <v>1510</v>
      </c>
      <c r="J271" s="1">
        <v>45546</v>
      </c>
      <c r="K271" t="s">
        <v>31</v>
      </c>
      <c r="L271" t="s">
        <v>7</v>
      </c>
      <c r="M271" t="s">
        <v>39</v>
      </c>
      <c r="N271" s="1">
        <f t="shared" si="24"/>
        <v>45546</v>
      </c>
      <c r="O271" s="4">
        <f t="shared" si="25"/>
        <v>3.5394710678067209E-2</v>
      </c>
      <c r="P271">
        <f t="shared" si="26"/>
        <v>1.0662359550561797</v>
      </c>
      <c r="Q271" s="2">
        <f t="shared" si="27"/>
        <v>7.5915999999999997</v>
      </c>
      <c r="R271" s="2">
        <f t="shared" si="28"/>
        <v>23.723749999999999</v>
      </c>
      <c r="S271" s="2">
        <f t="shared" si="29"/>
        <v>7.9561620738711207</v>
      </c>
    </row>
    <row r="272" spans="1:19" hidden="1">
      <c r="A272" t="s">
        <v>323</v>
      </c>
      <c r="B272" t="s">
        <v>30</v>
      </c>
      <c r="C272">
        <v>196</v>
      </c>
      <c r="D272">
        <v>5476</v>
      </c>
      <c r="E272" s="2">
        <v>204.63</v>
      </c>
      <c r="F272">
        <v>19</v>
      </c>
      <c r="G272">
        <v>4</v>
      </c>
      <c r="H272">
        <v>0.02</v>
      </c>
      <c r="I272" s="3">
        <v>1288</v>
      </c>
      <c r="J272" s="1" t="s">
        <v>100</v>
      </c>
      <c r="K272" t="s">
        <v>31</v>
      </c>
      <c r="L272" t="s">
        <v>7</v>
      </c>
      <c r="M272" t="s">
        <v>39</v>
      </c>
      <c r="N272" s="1">
        <f t="shared" si="24"/>
        <v>45622</v>
      </c>
      <c r="O272" s="4">
        <f t="shared" si="25"/>
        <v>3.5792549306062821E-2</v>
      </c>
      <c r="P272">
        <f t="shared" si="26"/>
        <v>1.0440306122448979</v>
      </c>
      <c r="Q272" s="2">
        <f t="shared" si="27"/>
        <v>10.77</v>
      </c>
      <c r="R272" s="2">
        <f t="shared" si="28"/>
        <v>51.157499999999999</v>
      </c>
      <c r="S272" s="2">
        <f t="shared" si="29"/>
        <v>6.2942872501588232</v>
      </c>
    </row>
    <row r="273" spans="1:19" hidden="1">
      <c r="A273" t="s">
        <v>324</v>
      </c>
      <c r="B273" t="s">
        <v>30</v>
      </c>
      <c r="C273">
        <v>110</v>
      </c>
      <c r="D273">
        <v>5000</v>
      </c>
      <c r="E273" s="2">
        <v>197.89</v>
      </c>
      <c r="F273">
        <v>18</v>
      </c>
      <c r="G273">
        <v>3</v>
      </c>
      <c r="H273">
        <v>2.7E-2</v>
      </c>
      <c r="I273" s="3">
        <v>1110</v>
      </c>
      <c r="J273" s="1">
        <v>45608</v>
      </c>
      <c r="K273" t="s">
        <v>31</v>
      </c>
      <c r="L273" t="s">
        <v>7</v>
      </c>
      <c r="M273" t="s">
        <v>41</v>
      </c>
      <c r="N273" s="1">
        <f t="shared" si="24"/>
        <v>45608</v>
      </c>
      <c r="O273" s="4">
        <f t="shared" si="25"/>
        <v>2.1999999999999999E-2</v>
      </c>
      <c r="P273">
        <f t="shared" si="26"/>
        <v>1.7989999999999999</v>
      </c>
      <c r="Q273" s="2">
        <f t="shared" si="27"/>
        <v>10.993888888888888</v>
      </c>
      <c r="R273" s="2">
        <f t="shared" si="28"/>
        <v>65.963333333333324</v>
      </c>
      <c r="S273" s="2">
        <f t="shared" si="29"/>
        <v>5.6091768154024964</v>
      </c>
    </row>
    <row r="274" spans="1:19" hidden="1">
      <c r="A274" t="s">
        <v>325</v>
      </c>
      <c r="B274" t="s">
        <v>30</v>
      </c>
      <c r="C274">
        <v>95</v>
      </c>
      <c r="D274">
        <v>4141</v>
      </c>
      <c r="E274" s="2">
        <v>207.14</v>
      </c>
      <c r="F274">
        <v>22</v>
      </c>
      <c r="G274">
        <v>3</v>
      </c>
      <c r="H274">
        <v>5.3999999999999999E-2</v>
      </c>
      <c r="I274" s="3">
        <v>1929</v>
      </c>
      <c r="J274" s="1">
        <v>45607</v>
      </c>
      <c r="K274" t="s">
        <v>31</v>
      </c>
      <c r="L274" t="s">
        <v>9</v>
      </c>
      <c r="M274" t="s">
        <v>32</v>
      </c>
      <c r="N274" s="1">
        <f t="shared" si="24"/>
        <v>45607</v>
      </c>
      <c r="O274" s="4">
        <f t="shared" si="25"/>
        <v>2.2941318522096112E-2</v>
      </c>
      <c r="P274">
        <f t="shared" si="26"/>
        <v>2.1804210526315786</v>
      </c>
      <c r="Q274" s="2">
        <f t="shared" si="27"/>
        <v>9.4154545454545442</v>
      </c>
      <c r="R274" s="2">
        <f t="shared" si="28"/>
        <v>69.046666666666667</v>
      </c>
      <c r="S274" s="2">
        <f t="shared" si="29"/>
        <v>9.3125422419619586</v>
      </c>
    </row>
    <row r="275" spans="1:19">
      <c r="A275" t="s">
        <v>326</v>
      </c>
      <c r="B275" t="s">
        <v>30</v>
      </c>
      <c r="C275">
        <v>183</v>
      </c>
      <c r="D275">
        <v>4791</v>
      </c>
      <c r="E275" s="2">
        <v>232.97</v>
      </c>
      <c r="F275">
        <v>27</v>
      </c>
      <c r="G275">
        <v>5</v>
      </c>
      <c r="H275">
        <v>4.5999999999999999E-2</v>
      </c>
      <c r="I275" s="3">
        <v>1476</v>
      </c>
      <c r="J275" s="1">
        <v>45617</v>
      </c>
      <c r="K275" t="s">
        <v>31</v>
      </c>
      <c r="L275" t="s">
        <v>7</v>
      </c>
      <c r="M275" t="s">
        <v>37</v>
      </c>
      <c r="N275" s="1">
        <f t="shared" si="24"/>
        <v>45617</v>
      </c>
      <c r="O275" s="4">
        <f t="shared" si="25"/>
        <v>3.8196618659987476E-2</v>
      </c>
      <c r="P275">
        <f t="shared" si="26"/>
        <v>1.2730601092896174</v>
      </c>
      <c r="Q275" s="2">
        <f t="shared" si="27"/>
        <v>8.6285185185185185</v>
      </c>
      <c r="R275" s="2">
        <f t="shared" si="28"/>
        <v>46.594000000000001</v>
      </c>
      <c r="S275" s="2">
        <f t="shared" si="29"/>
        <v>6.3355796883718938</v>
      </c>
    </row>
    <row r="276" spans="1:19" hidden="1">
      <c r="A276" t="s">
        <v>327</v>
      </c>
      <c r="B276" t="s">
        <v>30</v>
      </c>
      <c r="C276">
        <v>100</v>
      </c>
      <c r="D276">
        <v>4168</v>
      </c>
      <c r="E276" s="2">
        <v>193.6</v>
      </c>
      <c r="F276">
        <v>30</v>
      </c>
      <c r="G276">
        <v>3</v>
      </c>
      <c r="H276">
        <v>0.03</v>
      </c>
      <c r="I276" s="3">
        <v>1692</v>
      </c>
      <c r="J276" s="1">
        <v>45621</v>
      </c>
      <c r="K276" t="s">
        <v>31</v>
      </c>
      <c r="L276" t="s">
        <v>7</v>
      </c>
      <c r="M276" t="s">
        <v>41</v>
      </c>
      <c r="N276" s="1">
        <f t="shared" si="24"/>
        <v>45621</v>
      </c>
      <c r="O276" s="4">
        <f t="shared" si="25"/>
        <v>2.3992322456813819E-2</v>
      </c>
      <c r="P276">
        <f t="shared" si="26"/>
        <v>1.9359999999999999</v>
      </c>
      <c r="Q276" s="2">
        <f t="shared" si="27"/>
        <v>6.4533333333333331</v>
      </c>
      <c r="R276" s="2">
        <f t="shared" si="28"/>
        <v>64.533333333333331</v>
      </c>
      <c r="S276" s="2">
        <f t="shared" si="29"/>
        <v>8.7396694214876032</v>
      </c>
    </row>
    <row r="277" spans="1:19" hidden="1">
      <c r="A277" t="s">
        <v>328</v>
      </c>
      <c r="B277" t="s">
        <v>30</v>
      </c>
      <c r="C277">
        <v>187</v>
      </c>
      <c r="D277">
        <v>3741</v>
      </c>
      <c r="E277" s="2">
        <v>226.11</v>
      </c>
      <c r="F277">
        <v>27</v>
      </c>
      <c r="G277">
        <v>10</v>
      </c>
      <c r="H277">
        <v>5.2999999999999999E-2</v>
      </c>
      <c r="I277" s="3">
        <v>1342</v>
      </c>
      <c r="J277" s="1" t="s">
        <v>50</v>
      </c>
      <c r="K277" t="s">
        <v>31</v>
      </c>
      <c r="L277" t="s">
        <v>9</v>
      </c>
      <c r="M277" t="s">
        <v>32</v>
      </c>
      <c r="N277" s="1">
        <f t="shared" si="24"/>
        <v>45610</v>
      </c>
      <c r="O277" s="4">
        <f t="shared" si="25"/>
        <v>4.9986634589681903E-2</v>
      </c>
      <c r="P277">
        <f t="shared" si="26"/>
        <v>1.209144385026738</v>
      </c>
      <c r="Q277" s="2">
        <f t="shared" si="27"/>
        <v>8.3744444444444444</v>
      </c>
      <c r="R277" s="2">
        <f t="shared" si="28"/>
        <v>22.611000000000001</v>
      </c>
      <c r="S277" s="2">
        <f t="shared" si="29"/>
        <v>5.9351643005616728</v>
      </c>
    </row>
    <row r="278" spans="1:19" hidden="1">
      <c r="A278" t="s">
        <v>329</v>
      </c>
      <c r="B278" t="s">
        <v>30</v>
      </c>
      <c r="C278">
        <v>90</v>
      </c>
      <c r="D278">
        <v>3577</v>
      </c>
      <c r="E278" s="2">
        <v>233.54</v>
      </c>
      <c r="F278">
        <v>24</v>
      </c>
      <c r="G278">
        <v>5</v>
      </c>
      <c r="H278">
        <v>5.1999999999999998E-2</v>
      </c>
      <c r="I278" s="3">
        <v>1175</v>
      </c>
      <c r="J278" s="1">
        <v>45610</v>
      </c>
      <c r="K278" t="s">
        <v>31</v>
      </c>
      <c r="L278" t="s">
        <v>9</v>
      </c>
      <c r="M278" t="s">
        <v>46</v>
      </c>
      <c r="N278" s="1">
        <f t="shared" si="24"/>
        <v>45610</v>
      </c>
      <c r="O278" s="4">
        <f t="shared" si="25"/>
        <v>2.516074923119933E-2</v>
      </c>
      <c r="P278">
        <f t="shared" si="26"/>
        <v>2.5948888888888888</v>
      </c>
      <c r="Q278" s="2">
        <f t="shared" si="27"/>
        <v>9.730833333333333</v>
      </c>
      <c r="R278" s="2">
        <f t="shared" si="28"/>
        <v>46.707999999999998</v>
      </c>
      <c r="S278" s="2">
        <f t="shared" si="29"/>
        <v>5.0312580286032373</v>
      </c>
    </row>
    <row r="279" spans="1:19" hidden="1">
      <c r="A279" t="s">
        <v>330</v>
      </c>
      <c r="B279" t="s">
        <v>30</v>
      </c>
      <c r="C279">
        <v>148</v>
      </c>
      <c r="D279">
        <v>4469</v>
      </c>
      <c r="E279" s="2">
        <v>209.76</v>
      </c>
      <c r="F279">
        <v>25</v>
      </c>
      <c r="G279">
        <v>8</v>
      </c>
      <c r="H279">
        <v>5.3999999999999999E-2</v>
      </c>
      <c r="I279" s="3">
        <v>1505</v>
      </c>
      <c r="J279" s="1">
        <v>45621</v>
      </c>
      <c r="K279" t="s">
        <v>31</v>
      </c>
      <c r="L279" t="s">
        <v>9</v>
      </c>
      <c r="M279" t="s">
        <v>35</v>
      </c>
      <c r="N279" s="1">
        <f t="shared" si="24"/>
        <v>45621</v>
      </c>
      <c r="O279" s="4">
        <f t="shared" si="25"/>
        <v>3.31170284179906E-2</v>
      </c>
      <c r="P279">
        <f t="shared" si="26"/>
        <v>1.4172972972972973</v>
      </c>
      <c r="Q279" s="2">
        <f t="shared" si="27"/>
        <v>8.3903999999999996</v>
      </c>
      <c r="R279" s="2">
        <f t="shared" si="28"/>
        <v>26.22</v>
      </c>
      <c r="S279" s="2">
        <f t="shared" si="29"/>
        <v>7.1748665141113657</v>
      </c>
    </row>
    <row r="280" spans="1:19" hidden="1">
      <c r="A280" t="s">
        <v>331</v>
      </c>
      <c r="B280" t="s">
        <v>30</v>
      </c>
      <c r="C280">
        <v>129</v>
      </c>
      <c r="D280">
        <v>3611</v>
      </c>
      <c r="E280" s="2">
        <v>227.82</v>
      </c>
      <c r="F280">
        <v>11</v>
      </c>
      <c r="G280">
        <v>7</v>
      </c>
      <c r="H280">
        <v>5.3999999999999999E-2</v>
      </c>
      <c r="I280" s="3">
        <v>1250</v>
      </c>
      <c r="J280" s="1">
        <v>45618</v>
      </c>
      <c r="K280" t="s">
        <v>31</v>
      </c>
      <c r="L280" t="s">
        <v>9</v>
      </c>
      <c r="M280" t="s">
        <v>39</v>
      </c>
      <c r="N280" s="1">
        <f t="shared" si="24"/>
        <v>45618</v>
      </c>
      <c r="O280" s="4">
        <f t="shared" si="25"/>
        <v>3.5724176128496259E-2</v>
      </c>
      <c r="P280">
        <f t="shared" si="26"/>
        <v>1.7660465116279069</v>
      </c>
      <c r="Q280" s="2">
        <f t="shared" si="27"/>
        <v>20.710909090909091</v>
      </c>
      <c r="R280" s="2">
        <f t="shared" si="28"/>
        <v>32.545714285714283</v>
      </c>
      <c r="S280" s="2">
        <f t="shared" si="29"/>
        <v>5.4867878149416205</v>
      </c>
    </row>
    <row r="281" spans="1:19" hidden="1">
      <c r="A281" t="s">
        <v>332</v>
      </c>
      <c r="B281" t="s">
        <v>30</v>
      </c>
      <c r="C281">
        <v>120</v>
      </c>
      <c r="D281">
        <v>3947</v>
      </c>
      <c r="E281" s="2">
        <v>193.49</v>
      </c>
      <c r="F281">
        <v>15</v>
      </c>
      <c r="G281">
        <v>6</v>
      </c>
      <c r="H281">
        <v>0.05</v>
      </c>
      <c r="I281" s="3">
        <v>1305</v>
      </c>
      <c r="J281" s="1">
        <v>45608</v>
      </c>
      <c r="K281" t="s">
        <v>31</v>
      </c>
      <c r="L281" t="s">
        <v>8</v>
      </c>
      <c r="M281" t="s">
        <v>39</v>
      </c>
      <c r="N281" s="1">
        <f t="shared" si="24"/>
        <v>45608</v>
      </c>
      <c r="O281" s="4">
        <f t="shared" si="25"/>
        <v>3.040283759817583E-2</v>
      </c>
      <c r="P281">
        <f t="shared" si="26"/>
        <v>1.6124166666666668</v>
      </c>
      <c r="Q281" s="2">
        <f t="shared" si="27"/>
        <v>12.899333333333335</v>
      </c>
      <c r="R281" s="2">
        <f t="shared" si="28"/>
        <v>32.248333333333335</v>
      </c>
      <c r="S281" s="2">
        <f t="shared" si="29"/>
        <v>6.7445346012713836</v>
      </c>
    </row>
    <row r="282" spans="1:19">
      <c r="A282" t="s">
        <v>333</v>
      </c>
      <c r="B282" t="s">
        <v>30</v>
      </c>
      <c r="C282">
        <v>82</v>
      </c>
      <c r="D282">
        <v>4239</v>
      </c>
      <c r="E282" s="2">
        <v>191.75</v>
      </c>
      <c r="F282">
        <v>23</v>
      </c>
      <c r="G282">
        <v>8</v>
      </c>
      <c r="H282">
        <v>4.5999999999999999E-2</v>
      </c>
      <c r="I282" s="3">
        <v>1062</v>
      </c>
      <c r="J282" s="1">
        <v>45618</v>
      </c>
      <c r="K282" t="s">
        <v>31</v>
      </c>
      <c r="L282" t="s">
        <v>8</v>
      </c>
      <c r="M282" t="s">
        <v>32</v>
      </c>
      <c r="N282" s="1">
        <f t="shared" si="24"/>
        <v>45618</v>
      </c>
      <c r="O282" s="4">
        <f t="shared" si="25"/>
        <v>1.9344184949280491E-2</v>
      </c>
      <c r="P282">
        <f t="shared" si="26"/>
        <v>2.3384146341463414</v>
      </c>
      <c r="Q282" s="2">
        <f t="shared" si="27"/>
        <v>8.3369565217391308</v>
      </c>
      <c r="R282" s="2">
        <f t="shared" si="28"/>
        <v>23.96875</v>
      </c>
      <c r="S282" s="2">
        <f t="shared" si="29"/>
        <v>5.5384615384615383</v>
      </c>
    </row>
    <row r="283" spans="1:19" hidden="1">
      <c r="A283" t="s">
        <v>334</v>
      </c>
      <c r="B283" t="s">
        <v>30</v>
      </c>
      <c r="C283">
        <v>145</v>
      </c>
      <c r="D283">
        <v>5973</v>
      </c>
      <c r="E283" s="2">
        <v>242.16</v>
      </c>
      <c r="F283">
        <v>12</v>
      </c>
      <c r="G283">
        <v>7</v>
      </c>
      <c r="H283">
        <v>4.8000000000000001E-2</v>
      </c>
      <c r="I283" s="3">
        <v>1508</v>
      </c>
      <c r="J283" s="1">
        <v>45610</v>
      </c>
      <c r="K283" t="s">
        <v>31</v>
      </c>
      <c r="L283" t="s">
        <v>9</v>
      </c>
      <c r="M283" t="s">
        <v>41</v>
      </c>
      <c r="N283" s="1">
        <f t="shared" si="24"/>
        <v>45610</v>
      </c>
      <c r="O283" s="4">
        <f t="shared" si="25"/>
        <v>2.4275908253808806E-2</v>
      </c>
      <c r="P283">
        <f t="shared" si="26"/>
        <v>1.6700689655172414</v>
      </c>
      <c r="Q283" s="2">
        <f t="shared" si="27"/>
        <v>20.18</v>
      </c>
      <c r="R283" s="2">
        <f t="shared" si="28"/>
        <v>34.594285714285711</v>
      </c>
      <c r="S283" s="2">
        <f t="shared" si="29"/>
        <v>6.2272877436405683</v>
      </c>
    </row>
    <row r="284" spans="1:19" hidden="1">
      <c r="A284" t="s">
        <v>335</v>
      </c>
      <c r="B284" t="s">
        <v>30</v>
      </c>
      <c r="C284">
        <v>190</v>
      </c>
      <c r="D284">
        <v>4525</v>
      </c>
      <c r="E284" s="2">
        <v>188.85</v>
      </c>
      <c r="F284">
        <v>10</v>
      </c>
      <c r="G284">
        <v>5</v>
      </c>
      <c r="H284">
        <v>2.5999999999999999E-2</v>
      </c>
      <c r="I284" s="3">
        <v>1875</v>
      </c>
      <c r="J284" s="1">
        <v>45597</v>
      </c>
      <c r="K284" t="s">
        <v>31</v>
      </c>
      <c r="L284" t="s">
        <v>9</v>
      </c>
      <c r="M284" t="s">
        <v>39</v>
      </c>
      <c r="N284" s="1">
        <f t="shared" si="24"/>
        <v>45597</v>
      </c>
      <c r="O284" s="4">
        <f t="shared" si="25"/>
        <v>4.1988950276243095E-2</v>
      </c>
      <c r="P284">
        <f t="shared" si="26"/>
        <v>0.99394736842105258</v>
      </c>
      <c r="Q284" s="2">
        <f t="shared" si="27"/>
        <v>18.884999999999998</v>
      </c>
      <c r="R284" s="2">
        <f t="shared" si="28"/>
        <v>37.769999999999996</v>
      </c>
      <c r="S284" s="2">
        <f t="shared" si="29"/>
        <v>9.9285146942017484</v>
      </c>
    </row>
    <row r="285" spans="1:19" hidden="1">
      <c r="A285" t="s">
        <v>336</v>
      </c>
      <c r="B285" t="s">
        <v>30</v>
      </c>
      <c r="C285">
        <v>137</v>
      </c>
      <c r="D285">
        <v>4395</v>
      </c>
      <c r="E285" s="2">
        <v>241.58</v>
      </c>
      <c r="F285">
        <v>24</v>
      </c>
      <c r="G285">
        <v>4</v>
      </c>
      <c r="H285">
        <v>4.2999999999999997E-2</v>
      </c>
      <c r="I285" s="3">
        <v>1512</v>
      </c>
      <c r="J285" s="1">
        <v>45602</v>
      </c>
      <c r="K285" t="s">
        <v>31</v>
      </c>
      <c r="L285" t="s">
        <v>7</v>
      </c>
      <c r="M285" t="s">
        <v>41</v>
      </c>
      <c r="N285" s="1">
        <f t="shared" si="24"/>
        <v>45602</v>
      </c>
      <c r="O285" s="4">
        <f t="shared" si="25"/>
        <v>3.1171786120591582E-2</v>
      </c>
      <c r="P285">
        <f t="shared" si="26"/>
        <v>1.7633576642335766</v>
      </c>
      <c r="Q285" s="2">
        <f t="shared" si="27"/>
        <v>10.065833333333334</v>
      </c>
      <c r="R285" s="2">
        <f t="shared" si="28"/>
        <v>60.395000000000003</v>
      </c>
      <c r="S285" s="2">
        <f t="shared" si="29"/>
        <v>6.2587962579683749</v>
      </c>
    </row>
    <row r="286" spans="1:19" hidden="1">
      <c r="A286" t="s">
        <v>337</v>
      </c>
      <c r="B286" t="s">
        <v>30</v>
      </c>
      <c r="C286">
        <v>157</v>
      </c>
      <c r="D286">
        <v>3047</v>
      </c>
      <c r="E286" s="2">
        <v>222.66</v>
      </c>
      <c r="F286">
        <v>19</v>
      </c>
      <c r="G286">
        <v>3</v>
      </c>
      <c r="H286">
        <v>1.9E-2</v>
      </c>
      <c r="I286" s="3">
        <v>1964</v>
      </c>
      <c r="J286" s="1">
        <v>45302</v>
      </c>
      <c r="K286" t="s">
        <v>31</v>
      </c>
      <c r="L286" t="s">
        <v>8</v>
      </c>
      <c r="M286" t="s">
        <v>37</v>
      </c>
      <c r="N286" s="1">
        <f t="shared" si="24"/>
        <v>45302</v>
      </c>
      <c r="O286" s="4">
        <f t="shared" si="25"/>
        <v>5.1526091237282572E-2</v>
      </c>
      <c r="P286">
        <f t="shared" si="26"/>
        <v>1.418216560509554</v>
      </c>
      <c r="Q286" s="2">
        <f t="shared" si="27"/>
        <v>11.718947368421052</v>
      </c>
      <c r="R286" s="2">
        <f t="shared" si="28"/>
        <v>74.22</v>
      </c>
      <c r="S286" s="2">
        <f t="shared" si="29"/>
        <v>8.8206233719572449</v>
      </c>
    </row>
    <row r="287" spans="1:19" hidden="1">
      <c r="A287" t="s">
        <v>338</v>
      </c>
      <c r="B287" t="s">
        <v>30</v>
      </c>
      <c r="C287">
        <v>105</v>
      </c>
      <c r="D287">
        <v>5348</v>
      </c>
      <c r="E287" s="2">
        <v>226.1</v>
      </c>
      <c r="F287">
        <v>27</v>
      </c>
      <c r="G287">
        <v>5</v>
      </c>
      <c r="H287">
        <v>4.8000000000000001E-2</v>
      </c>
      <c r="I287" s="3">
        <v>1003</v>
      </c>
      <c r="J287" s="1">
        <v>45637</v>
      </c>
      <c r="K287" t="s">
        <v>31</v>
      </c>
      <c r="L287" t="s">
        <v>9</v>
      </c>
      <c r="M287" t="s">
        <v>32</v>
      </c>
      <c r="N287" s="1">
        <f t="shared" si="24"/>
        <v>45637</v>
      </c>
      <c r="O287" s="4">
        <f t="shared" si="25"/>
        <v>1.9633507853403141E-2</v>
      </c>
      <c r="P287">
        <f t="shared" si="26"/>
        <v>2.1533333333333333</v>
      </c>
      <c r="Q287" s="2">
        <f t="shared" si="27"/>
        <v>8.3740740740740733</v>
      </c>
      <c r="R287" s="2">
        <f t="shared" si="28"/>
        <v>45.22</v>
      </c>
      <c r="S287" s="2">
        <f t="shared" si="29"/>
        <v>4.4360902255639099</v>
      </c>
    </row>
    <row r="288" spans="1:19" hidden="1">
      <c r="A288" t="s">
        <v>339</v>
      </c>
      <c r="B288" t="s">
        <v>30</v>
      </c>
      <c r="C288">
        <v>149</v>
      </c>
      <c r="D288">
        <v>3101</v>
      </c>
      <c r="E288" s="2">
        <v>231.44</v>
      </c>
      <c r="F288">
        <v>15</v>
      </c>
      <c r="G288">
        <v>9</v>
      </c>
      <c r="H288">
        <v>0.06</v>
      </c>
      <c r="I288" s="3">
        <v>1126</v>
      </c>
      <c r="J288" s="1">
        <v>45602</v>
      </c>
      <c r="K288" t="s">
        <v>31</v>
      </c>
      <c r="L288" t="s">
        <v>9</v>
      </c>
      <c r="M288" t="s">
        <v>39</v>
      </c>
      <c r="N288" s="1">
        <f t="shared" si="24"/>
        <v>45602</v>
      </c>
      <c r="O288" s="4">
        <f t="shared" si="25"/>
        <v>4.8049016446307644E-2</v>
      </c>
      <c r="P288">
        <f t="shared" si="26"/>
        <v>1.5532885906040268</v>
      </c>
      <c r="Q288" s="2">
        <f t="shared" si="27"/>
        <v>15.429333333333334</v>
      </c>
      <c r="R288" s="2">
        <f t="shared" si="28"/>
        <v>25.715555555555554</v>
      </c>
      <c r="S288" s="2">
        <f t="shared" si="29"/>
        <v>4.8651918423781542</v>
      </c>
    </row>
    <row r="289" spans="1:19" hidden="1">
      <c r="A289" t="s">
        <v>340</v>
      </c>
      <c r="B289" t="s">
        <v>30</v>
      </c>
      <c r="C289">
        <v>159</v>
      </c>
      <c r="D289">
        <v>3693</v>
      </c>
      <c r="E289" s="2">
        <v>187.09</v>
      </c>
      <c r="F289">
        <v>24</v>
      </c>
      <c r="G289">
        <v>6</v>
      </c>
      <c r="H289">
        <v>3.7999999999999999E-2</v>
      </c>
      <c r="I289" s="3">
        <v>1256</v>
      </c>
      <c r="J289" s="1" t="s">
        <v>167</v>
      </c>
      <c r="K289" t="s">
        <v>31</v>
      </c>
      <c r="L289" t="s">
        <v>7</v>
      </c>
      <c r="M289" t="s">
        <v>32</v>
      </c>
      <c r="N289" s="1">
        <f t="shared" si="24"/>
        <v>45620</v>
      </c>
      <c r="O289" s="4">
        <f t="shared" si="25"/>
        <v>4.3054427294882208E-2</v>
      </c>
      <c r="P289">
        <f t="shared" si="26"/>
        <v>1.1766666666666667</v>
      </c>
      <c r="Q289" s="2">
        <f t="shared" si="27"/>
        <v>7.7954166666666671</v>
      </c>
      <c r="R289" s="2">
        <f t="shared" si="28"/>
        <v>31.181666666666668</v>
      </c>
      <c r="S289" s="2">
        <f t="shared" si="29"/>
        <v>6.7133465177187448</v>
      </c>
    </row>
    <row r="290" spans="1:19">
      <c r="A290" t="s">
        <v>341</v>
      </c>
      <c r="B290" t="s">
        <v>30</v>
      </c>
      <c r="C290">
        <v>150</v>
      </c>
      <c r="D290">
        <v>5590</v>
      </c>
      <c r="E290" s="2">
        <v>215.57</v>
      </c>
      <c r="F290">
        <v>20</v>
      </c>
      <c r="G290">
        <v>8</v>
      </c>
      <c r="H290">
        <v>4.5999999999999999E-2</v>
      </c>
      <c r="I290" s="3">
        <v>1286</v>
      </c>
      <c r="J290" s="1">
        <v>45333</v>
      </c>
      <c r="K290" t="s">
        <v>31</v>
      </c>
      <c r="L290" t="s">
        <v>8</v>
      </c>
      <c r="M290" t="s">
        <v>35</v>
      </c>
      <c r="N290" s="1">
        <f t="shared" si="24"/>
        <v>45333</v>
      </c>
      <c r="O290" s="4">
        <f t="shared" si="25"/>
        <v>2.6833631484794274E-2</v>
      </c>
      <c r="P290">
        <f t="shared" si="26"/>
        <v>1.4371333333333334</v>
      </c>
      <c r="Q290" s="2">
        <f t="shared" si="27"/>
        <v>10.778499999999999</v>
      </c>
      <c r="R290" s="2">
        <f t="shared" si="28"/>
        <v>26.946249999999999</v>
      </c>
      <c r="S290" s="2">
        <f t="shared" si="29"/>
        <v>5.9655796261075293</v>
      </c>
    </row>
    <row r="291" spans="1:19">
      <c r="A291" t="s">
        <v>342</v>
      </c>
      <c r="B291" t="s">
        <v>30</v>
      </c>
      <c r="C291">
        <v>139</v>
      </c>
      <c r="D291">
        <v>5277</v>
      </c>
      <c r="E291" s="2">
        <v>227.46</v>
      </c>
      <c r="F291">
        <v>10</v>
      </c>
      <c r="G291">
        <v>5</v>
      </c>
      <c r="H291">
        <v>4.5999999999999999E-2</v>
      </c>
      <c r="I291" s="3">
        <v>1541</v>
      </c>
      <c r="J291" s="1">
        <v>45611</v>
      </c>
      <c r="K291" t="s">
        <v>31</v>
      </c>
      <c r="L291" t="s">
        <v>9</v>
      </c>
      <c r="M291" t="s">
        <v>37</v>
      </c>
      <c r="N291" s="1">
        <f t="shared" si="24"/>
        <v>45611</v>
      </c>
      <c r="O291" s="4">
        <f t="shared" si="25"/>
        <v>2.6340723896153117E-2</v>
      </c>
      <c r="P291">
        <f t="shared" si="26"/>
        <v>1.6364028776978419</v>
      </c>
      <c r="Q291" s="2">
        <f t="shared" si="27"/>
        <v>22.746000000000002</v>
      </c>
      <c r="R291" s="2">
        <f t="shared" si="28"/>
        <v>45.492000000000004</v>
      </c>
      <c r="S291" s="2">
        <f t="shared" si="29"/>
        <v>6.7748175503385211</v>
      </c>
    </row>
    <row r="292" spans="1:19" hidden="1">
      <c r="A292" t="s">
        <v>343</v>
      </c>
      <c r="B292" t="s">
        <v>30</v>
      </c>
      <c r="C292">
        <v>98</v>
      </c>
      <c r="D292">
        <v>4653</v>
      </c>
      <c r="E292" s="2">
        <v>205.84</v>
      </c>
      <c r="F292">
        <v>29</v>
      </c>
      <c r="G292">
        <v>5</v>
      </c>
      <c r="H292">
        <v>5.0999999999999997E-2</v>
      </c>
      <c r="I292" s="3">
        <v>1866</v>
      </c>
      <c r="J292" s="1">
        <v>45333</v>
      </c>
      <c r="K292" t="s">
        <v>31</v>
      </c>
      <c r="L292" t="s">
        <v>8</v>
      </c>
      <c r="M292" t="s">
        <v>37</v>
      </c>
      <c r="N292" s="1">
        <f t="shared" si="24"/>
        <v>45333</v>
      </c>
      <c r="O292" s="4">
        <f t="shared" si="25"/>
        <v>2.106168063614872E-2</v>
      </c>
      <c r="P292">
        <f t="shared" si="26"/>
        <v>2.100408163265306</v>
      </c>
      <c r="Q292" s="2">
        <f t="shared" si="27"/>
        <v>7.0979310344827589</v>
      </c>
      <c r="R292" s="2">
        <f t="shared" si="28"/>
        <v>41.167999999999999</v>
      </c>
      <c r="S292" s="2">
        <f t="shared" si="29"/>
        <v>9.065293431791682</v>
      </c>
    </row>
    <row r="293" spans="1:19">
      <c r="A293" t="s">
        <v>344</v>
      </c>
      <c r="B293" t="s">
        <v>30</v>
      </c>
      <c r="C293">
        <v>86</v>
      </c>
      <c r="D293">
        <v>3513</v>
      </c>
      <c r="E293" s="2">
        <v>211.16</v>
      </c>
      <c r="F293">
        <v>22</v>
      </c>
      <c r="G293">
        <v>7</v>
      </c>
      <c r="H293">
        <v>4.5999999999999999E-2</v>
      </c>
      <c r="I293" s="3">
        <v>1917</v>
      </c>
      <c r="J293" s="1">
        <v>45576</v>
      </c>
      <c r="K293" t="s">
        <v>31</v>
      </c>
      <c r="L293" t="s">
        <v>7</v>
      </c>
      <c r="M293" t="s">
        <v>35</v>
      </c>
      <c r="N293" s="1">
        <f t="shared" si="24"/>
        <v>45576</v>
      </c>
      <c r="O293" s="4">
        <f t="shared" si="25"/>
        <v>2.4480500996299458E-2</v>
      </c>
      <c r="P293">
        <f t="shared" si="26"/>
        <v>2.4553488372093022</v>
      </c>
      <c r="Q293" s="2">
        <f t="shared" si="27"/>
        <v>9.5981818181818177</v>
      </c>
      <c r="R293" s="2">
        <f t="shared" si="28"/>
        <v>30.165714285714284</v>
      </c>
      <c r="S293" s="2">
        <f t="shared" si="29"/>
        <v>9.0784239439287742</v>
      </c>
    </row>
    <row r="294" spans="1:19" hidden="1">
      <c r="A294" t="s">
        <v>345</v>
      </c>
      <c r="B294" t="s">
        <v>30</v>
      </c>
      <c r="C294">
        <v>128</v>
      </c>
      <c r="D294">
        <v>5772</v>
      </c>
      <c r="E294" s="2">
        <v>235.54</v>
      </c>
      <c r="F294">
        <v>20</v>
      </c>
      <c r="G294">
        <v>10</v>
      </c>
      <c r="H294">
        <v>7.8E-2</v>
      </c>
      <c r="I294" s="3">
        <v>1215</v>
      </c>
      <c r="J294" s="1">
        <v>45393</v>
      </c>
      <c r="K294" t="s">
        <v>31</v>
      </c>
      <c r="L294" t="s">
        <v>7</v>
      </c>
      <c r="M294" t="s">
        <v>39</v>
      </c>
      <c r="N294" s="1">
        <f t="shared" si="24"/>
        <v>45393</v>
      </c>
      <c r="O294" s="4">
        <f t="shared" si="25"/>
        <v>2.2176022176022176E-2</v>
      </c>
      <c r="P294">
        <f t="shared" si="26"/>
        <v>1.8401562499999999</v>
      </c>
      <c r="Q294" s="2">
        <f t="shared" si="27"/>
        <v>11.776999999999999</v>
      </c>
      <c r="R294" s="2">
        <f t="shared" si="28"/>
        <v>23.553999999999998</v>
      </c>
      <c r="S294" s="2">
        <f t="shared" si="29"/>
        <v>5.1583595143075485</v>
      </c>
    </row>
    <row r="295" spans="1:19" hidden="1">
      <c r="A295" t="s">
        <v>346</v>
      </c>
      <c r="B295" t="s">
        <v>30</v>
      </c>
      <c r="C295">
        <v>105</v>
      </c>
      <c r="D295">
        <v>5840</v>
      </c>
      <c r="E295" s="2">
        <v>236.56</v>
      </c>
      <c r="F295">
        <v>22</v>
      </c>
      <c r="G295">
        <v>8</v>
      </c>
      <c r="H295">
        <v>4.7E-2</v>
      </c>
      <c r="I295" s="3">
        <v>1811</v>
      </c>
      <c r="J295" s="1" t="s">
        <v>167</v>
      </c>
      <c r="K295" t="s">
        <v>31</v>
      </c>
      <c r="L295" t="s">
        <v>9</v>
      </c>
      <c r="M295" t="s">
        <v>35</v>
      </c>
      <c r="N295" s="1">
        <f t="shared" si="24"/>
        <v>45620</v>
      </c>
      <c r="O295" s="4">
        <f t="shared" si="25"/>
        <v>1.797945205479452E-2</v>
      </c>
      <c r="P295">
        <f t="shared" si="26"/>
        <v>2.2529523809523808</v>
      </c>
      <c r="Q295" s="2">
        <f t="shared" si="27"/>
        <v>10.752727272727272</v>
      </c>
      <c r="R295" s="2">
        <f t="shared" si="28"/>
        <v>29.57</v>
      </c>
      <c r="S295" s="2">
        <f t="shared" si="29"/>
        <v>7.6555630706797428</v>
      </c>
    </row>
    <row r="296" spans="1:19">
      <c r="A296" t="s">
        <v>347</v>
      </c>
      <c r="B296" t="s">
        <v>30</v>
      </c>
      <c r="C296">
        <v>90</v>
      </c>
      <c r="D296">
        <v>4518.5</v>
      </c>
      <c r="E296" s="2">
        <v>249</v>
      </c>
      <c r="F296">
        <v>21</v>
      </c>
      <c r="G296">
        <v>10</v>
      </c>
      <c r="H296">
        <v>4.5999999999999999E-2</v>
      </c>
      <c r="I296" s="3">
        <v>1245</v>
      </c>
      <c r="J296" s="1" t="s">
        <v>348</v>
      </c>
      <c r="K296" t="s">
        <v>31</v>
      </c>
      <c r="L296" t="s">
        <v>8</v>
      </c>
      <c r="M296" t="s">
        <v>35</v>
      </c>
      <c r="N296" s="1">
        <f t="shared" si="24"/>
        <v>45615</v>
      </c>
      <c r="O296" s="4">
        <f t="shared" si="25"/>
        <v>1.9918114418501717E-2</v>
      </c>
      <c r="P296">
        <f t="shared" si="26"/>
        <v>2.7666666666666666</v>
      </c>
      <c r="Q296" s="2">
        <f t="shared" si="27"/>
        <v>11.857142857142858</v>
      </c>
      <c r="R296" s="2">
        <f t="shared" si="28"/>
        <v>24.9</v>
      </c>
      <c r="S296" s="2">
        <f t="shared" si="29"/>
        <v>5</v>
      </c>
    </row>
    <row r="297" spans="1:19" hidden="1">
      <c r="A297" t="s">
        <v>349</v>
      </c>
      <c r="B297" t="s">
        <v>30</v>
      </c>
      <c r="C297">
        <v>89</v>
      </c>
      <c r="D297">
        <v>5158</v>
      </c>
      <c r="E297" s="2">
        <v>211.76</v>
      </c>
      <c r="F297">
        <v>20</v>
      </c>
      <c r="G297">
        <v>5</v>
      </c>
      <c r="H297">
        <v>5.6000000000000001E-2</v>
      </c>
      <c r="I297" s="3">
        <v>1119</v>
      </c>
      <c r="J297" s="1">
        <v>45617</v>
      </c>
      <c r="K297" t="s">
        <v>31</v>
      </c>
      <c r="L297" t="s">
        <v>7</v>
      </c>
      <c r="M297" t="s">
        <v>41</v>
      </c>
      <c r="N297" s="1">
        <f t="shared" si="24"/>
        <v>45617</v>
      </c>
      <c r="O297" s="4">
        <f t="shared" si="25"/>
        <v>1.7254749903063204E-2</v>
      </c>
      <c r="P297">
        <f t="shared" si="26"/>
        <v>2.3793258426966291</v>
      </c>
      <c r="Q297" s="2">
        <f t="shared" si="27"/>
        <v>10.587999999999999</v>
      </c>
      <c r="R297" s="2">
        <f t="shared" si="28"/>
        <v>42.351999999999997</v>
      </c>
      <c r="S297" s="2">
        <f t="shared" si="29"/>
        <v>5.2842840952021159</v>
      </c>
    </row>
    <row r="298" spans="1:19" hidden="1">
      <c r="A298" t="s">
        <v>350</v>
      </c>
      <c r="B298" t="s">
        <v>30</v>
      </c>
      <c r="C298">
        <v>119</v>
      </c>
      <c r="D298">
        <v>3489</v>
      </c>
      <c r="E298" s="2">
        <v>194.36</v>
      </c>
      <c r="F298">
        <v>14</v>
      </c>
      <c r="G298">
        <v>3</v>
      </c>
      <c r="H298">
        <v>5.5E-2</v>
      </c>
      <c r="I298" s="3">
        <v>1633</v>
      </c>
      <c r="J298" s="1">
        <v>45606</v>
      </c>
      <c r="K298" t="s">
        <v>31</v>
      </c>
      <c r="L298" t="s">
        <v>8</v>
      </c>
      <c r="M298" t="s">
        <v>35</v>
      </c>
      <c r="N298" s="1">
        <f t="shared" si="24"/>
        <v>45606</v>
      </c>
      <c r="O298" s="4">
        <f t="shared" si="25"/>
        <v>3.4107194038406417E-2</v>
      </c>
      <c r="P298">
        <f t="shared" si="26"/>
        <v>1.6332773109243699</v>
      </c>
      <c r="Q298" s="2">
        <f t="shared" si="27"/>
        <v>13.882857142857144</v>
      </c>
      <c r="R298" s="2">
        <f t="shared" si="28"/>
        <v>64.786666666666676</v>
      </c>
      <c r="S298" s="2">
        <f t="shared" si="29"/>
        <v>8.4019345544350692</v>
      </c>
    </row>
    <row r="299" spans="1:19" hidden="1">
      <c r="A299" t="s">
        <v>351</v>
      </c>
      <c r="B299" t="s">
        <v>30</v>
      </c>
      <c r="C299">
        <v>173</v>
      </c>
      <c r="D299">
        <v>3977</v>
      </c>
      <c r="E299" s="2">
        <v>229.82</v>
      </c>
      <c r="F299">
        <v>30</v>
      </c>
      <c r="G299">
        <v>5</v>
      </c>
      <c r="H299">
        <v>3.6999999999999998E-2</v>
      </c>
      <c r="I299" s="3">
        <v>1584</v>
      </c>
      <c r="J299" s="1">
        <v>45618</v>
      </c>
      <c r="K299" t="s">
        <v>31</v>
      </c>
      <c r="L299" t="s">
        <v>7</v>
      </c>
      <c r="M299" t="s">
        <v>32</v>
      </c>
      <c r="N299" s="1">
        <f t="shared" si="24"/>
        <v>45618</v>
      </c>
      <c r="O299" s="4">
        <f t="shared" si="25"/>
        <v>4.3500125722906714E-2</v>
      </c>
      <c r="P299">
        <f t="shared" si="26"/>
        <v>1.3284393063583815</v>
      </c>
      <c r="Q299" s="2">
        <f t="shared" si="27"/>
        <v>7.6606666666666667</v>
      </c>
      <c r="R299" s="2">
        <f t="shared" si="28"/>
        <v>45.963999999999999</v>
      </c>
      <c r="S299" s="2">
        <f t="shared" si="29"/>
        <v>6.8923505352014622</v>
      </c>
    </row>
    <row r="300" spans="1:19" hidden="1">
      <c r="A300" t="s">
        <v>352</v>
      </c>
      <c r="B300" t="s">
        <v>30</v>
      </c>
      <c r="C300">
        <v>95</v>
      </c>
      <c r="D300">
        <v>3397</v>
      </c>
      <c r="E300" s="2">
        <v>181.89</v>
      </c>
      <c r="F300">
        <v>20</v>
      </c>
      <c r="G300">
        <v>7</v>
      </c>
      <c r="H300">
        <v>7.3999999999999996E-2</v>
      </c>
      <c r="I300" s="3">
        <v>1560</v>
      </c>
      <c r="J300" s="1">
        <v>45623</v>
      </c>
      <c r="K300" t="s">
        <v>31</v>
      </c>
      <c r="L300" t="s">
        <v>9</v>
      </c>
      <c r="M300" t="s">
        <v>35</v>
      </c>
      <c r="N300" s="1">
        <f t="shared" si="24"/>
        <v>45623</v>
      </c>
      <c r="O300" s="4">
        <f t="shared" si="25"/>
        <v>2.7965852222549308E-2</v>
      </c>
      <c r="P300">
        <f t="shared" si="26"/>
        <v>1.9146315789473682</v>
      </c>
      <c r="Q300" s="2">
        <f t="shared" si="27"/>
        <v>9.0945</v>
      </c>
      <c r="R300" s="2">
        <f t="shared" si="28"/>
        <v>25.984285714285711</v>
      </c>
      <c r="S300" s="2">
        <f t="shared" si="29"/>
        <v>8.5766122381659251</v>
      </c>
    </row>
    <row r="301" spans="1:19" hidden="1">
      <c r="A301" t="s">
        <v>353</v>
      </c>
      <c r="B301" t="s">
        <v>30</v>
      </c>
      <c r="C301">
        <v>112</v>
      </c>
      <c r="D301">
        <v>5194</v>
      </c>
      <c r="E301" s="2">
        <v>245.97</v>
      </c>
      <c r="F301">
        <v>10</v>
      </c>
      <c r="G301">
        <v>5</v>
      </c>
      <c r="H301">
        <v>4.4999999999999998E-2</v>
      </c>
      <c r="I301" s="3">
        <v>1016</v>
      </c>
      <c r="J301" s="1" t="s">
        <v>94</v>
      </c>
      <c r="K301" t="s">
        <v>31</v>
      </c>
      <c r="L301" t="s">
        <v>9</v>
      </c>
      <c r="M301" t="s">
        <v>39</v>
      </c>
      <c r="N301" s="1">
        <f t="shared" si="24"/>
        <v>45617</v>
      </c>
      <c r="O301" s="4">
        <f t="shared" si="25"/>
        <v>2.15633423180593E-2</v>
      </c>
      <c r="P301">
        <f t="shared" si="26"/>
        <v>2.1961607142857145</v>
      </c>
      <c r="Q301" s="2">
        <f t="shared" si="27"/>
        <v>24.597000000000001</v>
      </c>
      <c r="R301" s="2">
        <f t="shared" si="28"/>
        <v>49.194000000000003</v>
      </c>
      <c r="S301" s="2">
        <f t="shared" si="29"/>
        <v>4.1305850306948004</v>
      </c>
    </row>
    <row r="302" spans="1:19" hidden="1">
      <c r="A302" t="s">
        <v>354</v>
      </c>
      <c r="B302" t="s">
        <v>30</v>
      </c>
      <c r="C302">
        <v>134</v>
      </c>
      <c r="D302">
        <v>3007</v>
      </c>
      <c r="E302" s="2">
        <v>217.53</v>
      </c>
      <c r="F302">
        <v>10</v>
      </c>
      <c r="G302">
        <v>5</v>
      </c>
      <c r="H302">
        <v>3.6999999999999998E-2</v>
      </c>
      <c r="I302" s="3">
        <v>1371</v>
      </c>
      <c r="J302" s="1" t="s">
        <v>64</v>
      </c>
      <c r="K302" t="s">
        <v>31</v>
      </c>
      <c r="L302" t="s">
        <v>8</v>
      </c>
      <c r="M302" t="s">
        <v>39</v>
      </c>
      <c r="N302" s="1">
        <f t="shared" si="24"/>
        <v>45626</v>
      </c>
      <c r="O302" s="4">
        <f t="shared" si="25"/>
        <v>4.4562687063518458E-2</v>
      </c>
      <c r="P302">
        <f t="shared" si="26"/>
        <v>1.6233582089552239</v>
      </c>
      <c r="Q302" s="2">
        <f t="shared" si="27"/>
        <v>21.753</v>
      </c>
      <c r="R302" s="2">
        <f t="shared" si="28"/>
        <v>43.506</v>
      </c>
      <c r="S302" s="2">
        <f t="shared" si="29"/>
        <v>6.3025789546269477</v>
      </c>
    </row>
    <row r="303" spans="1:19" hidden="1">
      <c r="A303" t="s">
        <v>355</v>
      </c>
      <c r="B303" t="s">
        <v>30</v>
      </c>
      <c r="C303">
        <v>113</v>
      </c>
      <c r="D303">
        <v>5721</v>
      </c>
      <c r="E303" s="2">
        <v>216.7</v>
      </c>
      <c r="F303">
        <v>11</v>
      </c>
      <c r="G303">
        <v>6</v>
      </c>
      <c r="H303">
        <v>5.2999999999999999E-2</v>
      </c>
      <c r="I303" s="3">
        <v>1743</v>
      </c>
      <c r="J303" s="1">
        <v>45613</v>
      </c>
      <c r="K303" t="s">
        <v>31</v>
      </c>
      <c r="L303" t="s">
        <v>7</v>
      </c>
      <c r="M303" t="s">
        <v>39</v>
      </c>
      <c r="N303" s="1">
        <f t="shared" si="24"/>
        <v>45613</v>
      </c>
      <c r="O303" s="4">
        <f t="shared" si="25"/>
        <v>1.975179164481734E-2</v>
      </c>
      <c r="P303">
        <f t="shared" si="26"/>
        <v>1.9176991150442477</v>
      </c>
      <c r="Q303" s="2">
        <f t="shared" si="27"/>
        <v>19.7</v>
      </c>
      <c r="R303" s="2">
        <f t="shared" si="28"/>
        <v>36.116666666666667</v>
      </c>
      <c r="S303" s="2">
        <f t="shared" si="29"/>
        <v>8.0433779418551001</v>
      </c>
    </row>
    <row r="304" spans="1:19" hidden="1">
      <c r="A304" t="s">
        <v>356</v>
      </c>
      <c r="B304" t="s">
        <v>30</v>
      </c>
      <c r="C304">
        <v>157</v>
      </c>
      <c r="D304">
        <v>3546</v>
      </c>
      <c r="E304" s="2">
        <v>189.11</v>
      </c>
      <c r="F304">
        <v>16</v>
      </c>
      <c r="G304">
        <v>5</v>
      </c>
      <c r="H304">
        <v>3.2000000000000001E-2</v>
      </c>
      <c r="I304" s="3">
        <v>1333</v>
      </c>
      <c r="J304" s="1" t="s">
        <v>357</v>
      </c>
      <c r="K304" t="s">
        <v>31</v>
      </c>
      <c r="L304" t="s">
        <v>8</v>
      </c>
      <c r="M304" t="s">
        <v>37</v>
      </c>
      <c r="N304" s="1">
        <f t="shared" si="24"/>
        <v>45624</v>
      </c>
      <c r="O304" s="4">
        <f t="shared" si="25"/>
        <v>4.4275239706711787E-2</v>
      </c>
      <c r="P304">
        <f t="shared" si="26"/>
        <v>1.2045222929936306</v>
      </c>
      <c r="Q304" s="2">
        <f t="shared" si="27"/>
        <v>11.819375000000001</v>
      </c>
      <c r="R304" s="2">
        <f t="shared" si="28"/>
        <v>37.822000000000003</v>
      </c>
      <c r="S304" s="2">
        <f t="shared" si="29"/>
        <v>7.04880757231241</v>
      </c>
    </row>
    <row r="305" spans="1:19">
      <c r="A305" t="s">
        <v>358</v>
      </c>
      <c r="B305" t="s">
        <v>30</v>
      </c>
      <c r="C305">
        <v>105</v>
      </c>
      <c r="D305">
        <v>3670</v>
      </c>
      <c r="E305" s="2">
        <v>245.85</v>
      </c>
      <c r="F305">
        <v>24</v>
      </c>
      <c r="G305">
        <v>9</v>
      </c>
      <c r="H305">
        <v>4.5999999999999999E-2</v>
      </c>
      <c r="I305" s="3">
        <v>1653</v>
      </c>
      <c r="J305" s="1">
        <v>45620</v>
      </c>
      <c r="K305" t="s">
        <v>31</v>
      </c>
      <c r="L305" t="s">
        <v>9</v>
      </c>
      <c r="M305" t="s">
        <v>35</v>
      </c>
      <c r="N305" s="1">
        <f t="shared" si="24"/>
        <v>45620</v>
      </c>
      <c r="O305" s="4">
        <f t="shared" si="25"/>
        <v>2.8610354223433242E-2</v>
      </c>
      <c r="P305">
        <f t="shared" si="26"/>
        <v>2.3414285714285712</v>
      </c>
      <c r="Q305" s="2">
        <f t="shared" si="27"/>
        <v>10.24375</v>
      </c>
      <c r="R305" s="2">
        <f t="shared" si="28"/>
        <v>27.316666666666666</v>
      </c>
      <c r="S305" s="2">
        <f t="shared" si="29"/>
        <v>6.7236119585112872</v>
      </c>
    </row>
    <row r="306" spans="1:19">
      <c r="A306" t="s">
        <v>359</v>
      </c>
      <c r="B306" t="s">
        <v>30</v>
      </c>
      <c r="C306">
        <v>162</v>
      </c>
      <c r="D306">
        <v>5915</v>
      </c>
      <c r="E306" s="2">
        <v>211.96</v>
      </c>
      <c r="F306">
        <v>11</v>
      </c>
      <c r="G306">
        <v>7</v>
      </c>
      <c r="H306">
        <v>4.5999999999999999E-2</v>
      </c>
      <c r="I306" s="3">
        <v>1394</v>
      </c>
      <c r="J306" s="1">
        <v>45616</v>
      </c>
      <c r="K306" t="s">
        <v>31</v>
      </c>
      <c r="L306" t="s">
        <v>9</v>
      </c>
      <c r="M306" t="s">
        <v>46</v>
      </c>
      <c r="N306" s="1">
        <f t="shared" si="24"/>
        <v>45616</v>
      </c>
      <c r="O306" s="4">
        <f t="shared" si="25"/>
        <v>2.7387996618765849E-2</v>
      </c>
      <c r="P306">
        <f t="shared" si="26"/>
        <v>1.308395061728395</v>
      </c>
      <c r="Q306" s="2">
        <f t="shared" si="27"/>
        <v>19.269090909090909</v>
      </c>
      <c r="R306" s="2">
        <f t="shared" si="28"/>
        <v>30.28</v>
      </c>
      <c r="S306" s="2">
        <f t="shared" si="29"/>
        <v>6.5767125872806185</v>
      </c>
    </row>
    <row r="307" spans="1:19" hidden="1">
      <c r="A307" t="s">
        <v>360</v>
      </c>
      <c r="B307" t="s">
        <v>30</v>
      </c>
      <c r="C307">
        <v>139</v>
      </c>
      <c r="D307">
        <v>4450</v>
      </c>
      <c r="E307" s="2">
        <v>219.21</v>
      </c>
      <c r="F307">
        <v>16</v>
      </c>
      <c r="G307">
        <v>10</v>
      </c>
      <c r="H307">
        <v>5.6000000000000001E-2</v>
      </c>
      <c r="I307" s="3">
        <v>1917</v>
      </c>
      <c r="J307" s="1">
        <v>45606</v>
      </c>
      <c r="K307" t="s">
        <v>31</v>
      </c>
      <c r="L307" t="s">
        <v>8</v>
      </c>
      <c r="M307" t="s">
        <v>32</v>
      </c>
      <c r="N307" s="1">
        <f t="shared" si="24"/>
        <v>45606</v>
      </c>
      <c r="O307" s="4">
        <f t="shared" si="25"/>
        <v>3.1235955056179775E-2</v>
      </c>
      <c r="P307">
        <f t="shared" si="26"/>
        <v>1.5770503597122303</v>
      </c>
      <c r="Q307" s="2">
        <f t="shared" si="27"/>
        <v>13.700625</v>
      </c>
      <c r="R307" s="2">
        <f t="shared" si="28"/>
        <v>21.920999999999999</v>
      </c>
      <c r="S307" s="2">
        <f t="shared" si="29"/>
        <v>8.7450390036950871</v>
      </c>
    </row>
    <row r="308" spans="1:19" hidden="1">
      <c r="A308" t="s">
        <v>361</v>
      </c>
      <c r="B308" t="s">
        <v>30</v>
      </c>
      <c r="C308">
        <v>136</v>
      </c>
      <c r="D308">
        <v>5782</v>
      </c>
      <c r="E308" s="2">
        <v>189.65</v>
      </c>
      <c r="F308">
        <v>23</v>
      </c>
      <c r="G308">
        <v>6</v>
      </c>
      <c r="H308">
        <v>4.3999999999999997E-2</v>
      </c>
      <c r="I308" s="3">
        <v>1951</v>
      </c>
      <c r="J308" s="1">
        <v>45607</v>
      </c>
      <c r="K308" t="s">
        <v>31</v>
      </c>
      <c r="L308" t="s">
        <v>9</v>
      </c>
      <c r="M308" t="s">
        <v>39</v>
      </c>
      <c r="N308" s="1">
        <f t="shared" si="24"/>
        <v>45607</v>
      </c>
      <c r="O308" s="4">
        <f t="shared" si="25"/>
        <v>2.3521272915946041E-2</v>
      </c>
      <c r="P308">
        <f t="shared" si="26"/>
        <v>1.3944852941176471</v>
      </c>
      <c r="Q308" s="2">
        <f t="shared" si="27"/>
        <v>8.2456521739130437</v>
      </c>
      <c r="R308" s="2">
        <f t="shared" si="28"/>
        <v>31.608333333333334</v>
      </c>
      <c r="S308" s="2">
        <f t="shared" si="29"/>
        <v>10.287371473767466</v>
      </c>
    </row>
    <row r="309" spans="1:19" hidden="1">
      <c r="A309" t="s">
        <v>362</v>
      </c>
      <c r="B309" t="s">
        <v>30</v>
      </c>
      <c r="C309">
        <v>192</v>
      </c>
      <c r="D309">
        <v>4339</v>
      </c>
      <c r="E309" s="2">
        <v>245.57</v>
      </c>
      <c r="F309">
        <v>24</v>
      </c>
      <c r="G309">
        <v>8</v>
      </c>
      <c r="H309">
        <v>4.7E-2</v>
      </c>
      <c r="I309" s="3">
        <v>1284</v>
      </c>
      <c r="J309" s="1">
        <v>45614</v>
      </c>
      <c r="K309" t="s">
        <v>31</v>
      </c>
      <c r="L309" t="s">
        <v>8</v>
      </c>
      <c r="M309" t="s">
        <v>32</v>
      </c>
      <c r="N309" s="1">
        <f t="shared" si="24"/>
        <v>45614</v>
      </c>
      <c r="O309" s="4">
        <f t="shared" si="25"/>
        <v>4.42498271491127E-2</v>
      </c>
      <c r="P309">
        <f t="shared" si="26"/>
        <v>1.2790104166666667</v>
      </c>
      <c r="Q309" s="2">
        <f t="shared" si="27"/>
        <v>10.232083333333334</v>
      </c>
      <c r="R309" s="2">
        <f t="shared" si="28"/>
        <v>30.696249999999999</v>
      </c>
      <c r="S309" s="2">
        <f t="shared" si="29"/>
        <v>5.2286517082705544</v>
      </c>
    </row>
    <row r="310" spans="1:19" hidden="1">
      <c r="A310" t="s">
        <v>363</v>
      </c>
      <c r="B310" t="s">
        <v>30</v>
      </c>
      <c r="C310">
        <v>147</v>
      </c>
      <c r="D310">
        <v>5870</v>
      </c>
      <c r="E310" s="2">
        <v>215.57</v>
      </c>
      <c r="F310">
        <v>14</v>
      </c>
      <c r="G310">
        <v>8</v>
      </c>
      <c r="H310">
        <v>5.3999999999999999E-2</v>
      </c>
      <c r="I310" s="3">
        <v>1748</v>
      </c>
      <c r="J310" s="1">
        <v>45598</v>
      </c>
      <c r="K310" t="s">
        <v>31</v>
      </c>
      <c r="L310" t="s">
        <v>8</v>
      </c>
      <c r="M310" t="s">
        <v>39</v>
      </c>
      <c r="N310" s="1">
        <f t="shared" si="24"/>
        <v>45598</v>
      </c>
      <c r="O310" s="4">
        <f t="shared" si="25"/>
        <v>2.504258943781942E-2</v>
      </c>
      <c r="P310">
        <f t="shared" si="26"/>
        <v>1.4664625850340136</v>
      </c>
      <c r="Q310" s="2">
        <f t="shared" si="27"/>
        <v>15.397857142857143</v>
      </c>
      <c r="R310" s="2">
        <f t="shared" si="28"/>
        <v>26.946249999999999</v>
      </c>
      <c r="S310" s="2">
        <f t="shared" si="29"/>
        <v>8.108734981676486</v>
      </c>
    </row>
    <row r="311" spans="1:19" hidden="1">
      <c r="A311" t="s">
        <v>364</v>
      </c>
      <c r="B311" t="s">
        <v>30</v>
      </c>
      <c r="C311">
        <v>164</v>
      </c>
      <c r="D311">
        <v>5662</v>
      </c>
      <c r="E311" s="2">
        <v>186.41</v>
      </c>
      <c r="F311">
        <v>11</v>
      </c>
      <c r="G311">
        <v>9</v>
      </c>
      <c r="H311">
        <v>5.5E-2</v>
      </c>
      <c r="I311" s="3">
        <v>1020</v>
      </c>
      <c r="J311" s="1" t="s">
        <v>132</v>
      </c>
      <c r="K311" t="s">
        <v>31</v>
      </c>
      <c r="L311" t="s">
        <v>9</v>
      </c>
      <c r="M311" t="s">
        <v>35</v>
      </c>
      <c r="N311" s="1">
        <f t="shared" si="24"/>
        <v>45613</v>
      </c>
      <c r="O311" s="4">
        <f t="shared" si="25"/>
        <v>2.8965030024726245E-2</v>
      </c>
      <c r="P311">
        <f t="shared" si="26"/>
        <v>1.1366463414634147</v>
      </c>
      <c r="Q311" s="2">
        <f t="shared" si="27"/>
        <v>16.946363636363635</v>
      </c>
      <c r="R311" s="2">
        <f t="shared" si="28"/>
        <v>20.712222222222223</v>
      </c>
      <c r="S311" s="2">
        <f t="shared" si="29"/>
        <v>5.4718094522826028</v>
      </c>
    </row>
    <row r="312" spans="1:19">
      <c r="A312" t="s">
        <v>365</v>
      </c>
      <c r="B312" t="s">
        <v>30</v>
      </c>
      <c r="C312">
        <v>192</v>
      </c>
      <c r="D312">
        <v>5130</v>
      </c>
      <c r="E312" s="2">
        <v>184.63</v>
      </c>
      <c r="F312">
        <v>19</v>
      </c>
      <c r="G312">
        <v>4</v>
      </c>
      <c r="H312">
        <v>4.5999999999999999E-2</v>
      </c>
      <c r="I312" s="3">
        <v>1087</v>
      </c>
      <c r="J312" s="1">
        <v>45603</v>
      </c>
      <c r="K312" t="s">
        <v>31</v>
      </c>
      <c r="L312" t="s">
        <v>7</v>
      </c>
      <c r="M312" t="s">
        <v>35</v>
      </c>
      <c r="N312" s="1">
        <f t="shared" si="24"/>
        <v>45603</v>
      </c>
      <c r="O312" s="4">
        <f t="shared" si="25"/>
        <v>3.7426900584795322E-2</v>
      </c>
      <c r="P312">
        <f t="shared" si="26"/>
        <v>0.96161458333333327</v>
      </c>
      <c r="Q312" s="2">
        <f t="shared" si="27"/>
        <v>9.7173684210526314</v>
      </c>
      <c r="R312" s="2">
        <f t="shared" si="28"/>
        <v>46.157499999999999</v>
      </c>
      <c r="S312" s="2">
        <f t="shared" si="29"/>
        <v>5.8874505768293348</v>
      </c>
    </row>
    <row r="313" spans="1:19">
      <c r="A313" t="s">
        <v>366</v>
      </c>
      <c r="B313" t="s">
        <v>30</v>
      </c>
      <c r="C313">
        <v>139</v>
      </c>
      <c r="D313">
        <v>4608</v>
      </c>
      <c r="E313" s="2">
        <v>224.99</v>
      </c>
      <c r="F313">
        <v>12</v>
      </c>
      <c r="G313">
        <v>8</v>
      </c>
      <c r="H313">
        <v>4.5999999999999999E-2</v>
      </c>
      <c r="I313" s="3">
        <v>1095</v>
      </c>
      <c r="J313" s="1">
        <v>45608</v>
      </c>
      <c r="K313" t="s">
        <v>31</v>
      </c>
      <c r="L313" t="s">
        <v>7</v>
      </c>
      <c r="M313" t="s">
        <v>39</v>
      </c>
      <c r="N313" s="1">
        <f t="shared" si="24"/>
        <v>45608</v>
      </c>
      <c r="O313" s="4">
        <f t="shared" si="25"/>
        <v>3.0164930555555556E-2</v>
      </c>
      <c r="P313">
        <f t="shared" si="26"/>
        <v>1.6186330935251798</v>
      </c>
      <c r="Q313" s="2">
        <f t="shared" si="27"/>
        <v>18.749166666666667</v>
      </c>
      <c r="R313" s="2">
        <f t="shared" si="28"/>
        <v>28.123750000000001</v>
      </c>
      <c r="S313" s="2">
        <f t="shared" si="29"/>
        <v>4.8668829725765583</v>
      </c>
    </row>
    <row r="314" spans="1:19" hidden="1">
      <c r="A314" t="s">
        <v>367</v>
      </c>
      <c r="B314" t="s">
        <v>30</v>
      </c>
      <c r="C314">
        <v>199</v>
      </c>
      <c r="D314">
        <v>5290</v>
      </c>
      <c r="E314" s="2">
        <v>218.55</v>
      </c>
      <c r="F314">
        <v>20</v>
      </c>
      <c r="G314">
        <v>7</v>
      </c>
      <c r="H314">
        <v>3.5000000000000003E-2</v>
      </c>
      <c r="I314" s="3">
        <v>1234</v>
      </c>
      <c r="J314" s="1">
        <v>45626</v>
      </c>
      <c r="K314" t="s">
        <v>31</v>
      </c>
      <c r="L314" t="s">
        <v>9</v>
      </c>
      <c r="M314" t="s">
        <v>32</v>
      </c>
      <c r="N314" s="1">
        <f t="shared" si="24"/>
        <v>45626</v>
      </c>
      <c r="O314" s="4">
        <f t="shared" si="25"/>
        <v>3.7618147448015123E-2</v>
      </c>
      <c r="P314">
        <f t="shared" si="26"/>
        <v>1.0982412060301507</v>
      </c>
      <c r="Q314" s="2">
        <f t="shared" si="27"/>
        <v>10.9275</v>
      </c>
      <c r="R314" s="2">
        <f t="shared" si="28"/>
        <v>31.221428571428572</v>
      </c>
      <c r="S314" s="2">
        <f t="shared" si="29"/>
        <v>5.6463051933196065</v>
      </c>
    </row>
    <row r="315" spans="1:19" hidden="1">
      <c r="A315" t="s">
        <v>368</v>
      </c>
      <c r="B315" t="s">
        <v>30</v>
      </c>
      <c r="C315">
        <v>82</v>
      </c>
      <c r="D315">
        <v>4961</v>
      </c>
      <c r="E315" s="2">
        <v>220.29</v>
      </c>
      <c r="F315">
        <v>27</v>
      </c>
      <c r="G315">
        <v>7</v>
      </c>
      <c r="H315">
        <v>5.8999999999999997E-2</v>
      </c>
      <c r="I315" s="3">
        <v>1149</v>
      </c>
      <c r="J315" s="1">
        <v>45333</v>
      </c>
      <c r="K315" t="s">
        <v>31</v>
      </c>
      <c r="L315" t="s">
        <v>9</v>
      </c>
      <c r="M315" t="s">
        <v>35</v>
      </c>
      <c r="N315" s="1">
        <f t="shared" si="24"/>
        <v>45333</v>
      </c>
      <c r="O315" s="4">
        <f t="shared" si="25"/>
        <v>1.6528925619834711E-2</v>
      </c>
      <c r="P315">
        <f t="shared" si="26"/>
        <v>2.6864634146341464</v>
      </c>
      <c r="Q315" s="2">
        <f t="shared" si="27"/>
        <v>8.1588888888888889</v>
      </c>
      <c r="R315" s="2">
        <f t="shared" si="28"/>
        <v>31.47</v>
      </c>
      <c r="S315" s="2">
        <f t="shared" si="29"/>
        <v>5.2158518316764271</v>
      </c>
    </row>
    <row r="316" spans="1:19" hidden="1">
      <c r="A316" t="s">
        <v>369</v>
      </c>
      <c r="B316" t="s">
        <v>30</v>
      </c>
      <c r="C316">
        <v>175</v>
      </c>
      <c r="D316">
        <v>4347</v>
      </c>
      <c r="E316" s="2">
        <v>242.06</v>
      </c>
      <c r="F316">
        <v>17</v>
      </c>
      <c r="G316">
        <v>3</v>
      </c>
      <c r="H316">
        <v>1.7000000000000001E-2</v>
      </c>
      <c r="I316" s="3">
        <v>1617</v>
      </c>
      <c r="J316" s="1">
        <v>45618</v>
      </c>
      <c r="K316" t="s">
        <v>31</v>
      </c>
      <c r="L316" t="s">
        <v>7</v>
      </c>
      <c r="M316" t="s">
        <v>39</v>
      </c>
      <c r="N316" s="1">
        <f t="shared" si="24"/>
        <v>45618</v>
      </c>
      <c r="O316" s="4">
        <f t="shared" si="25"/>
        <v>4.0257648953301126E-2</v>
      </c>
      <c r="P316">
        <f t="shared" si="26"/>
        <v>1.3832</v>
      </c>
      <c r="Q316" s="2">
        <f t="shared" si="27"/>
        <v>14.238823529411764</v>
      </c>
      <c r="R316" s="2">
        <f t="shared" si="28"/>
        <v>80.686666666666667</v>
      </c>
      <c r="S316" s="2">
        <f t="shared" si="29"/>
        <v>6.6801619433198383</v>
      </c>
    </row>
    <row r="317" spans="1:19" hidden="1">
      <c r="A317" t="s">
        <v>370</v>
      </c>
      <c r="B317" t="s">
        <v>30</v>
      </c>
      <c r="C317">
        <v>181</v>
      </c>
      <c r="D317">
        <v>5664</v>
      </c>
      <c r="E317" s="2">
        <v>204.74</v>
      </c>
      <c r="F317">
        <v>22</v>
      </c>
      <c r="G317">
        <v>5</v>
      </c>
      <c r="H317">
        <v>2.8000000000000001E-2</v>
      </c>
      <c r="I317" s="3">
        <v>1719</v>
      </c>
      <c r="J317" s="1" t="s">
        <v>73</v>
      </c>
      <c r="K317" t="s">
        <v>31</v>
      </c>
      <c r="L317" t="s">
        <v>7</v>
      </c>
      <c r="M317" t="s">
        <v>35</v>
      </c>
      <c r="N317" s="1">
        <f t="shared" si="24"/>
        <v>45618</v>
      </c>
      <c r="O317" s="4">
        <f t="shared" si="25"/>
        <v>3.1956214689265537E-2</v>
      </c>
      <c r="P317">
        <f t="shared" si="26"/>
        <v>1.1311602209944751</v>
      </c>
      <c r="Q317" s="2">
        <f t="shared" si="27"/>
        <v>9.3063636363636366</v>
      </c>
      <c r="R317" s="2">
        <f t="shared" si="28"/>
        <v>40.948</v>
      </c>
      <c r="S317" s="2">
        <f t="shared" si="29"/>
        <v>8.396014457360554</v>
      </c>
    </row>
    <row r="318" spans="1:19">
      <c r="A318" t="s">
        <v>371</v>
      </c>
      <c r="B318" t="s">
        <v>30</v>
      </c>
      <c r="C318">
        <v>146</v>
      </c>
      <c r="D318">
        <v>3757</v>
      </c>
      <c r="E318" s="2">
        <v>192.59</v>
      </c>
      <c r="F318">
        <v>25</v>
      </c>
      <c r="G318">
        <v>9</v>
      </c>
      <c r="H318">
        <v>4.5999999999999999E-2</v>
      </c>
      <c r="I318" s="3">
        <v>1169</v>
      </c>
      <c r="J318" s="1">
        <v>45605</v>
      </c>
      <c r="K318" t="s">
        <v>31</v>
      </c>
      <c r="L318" t="s">
        <v>7</v>
      </c>
      <c r="M318" t="s">
        <v>41</v>
      </c>
      <c r="N318" s="1">
        <f t="shared" si="24"/>
        <v>45605</v>
      </c>
      <c r="O318" s="4">
        <f t="shared" si="25"/>
        <v>3.8860793186052699E-2</v>
      </c>
      <c r="P318">
        <f t="shared" si="26"/>
        <v>1.319109589041096</v>
      </c>
      <c r="Q318" s="2">
        <f t="shared" si="27"/>
        <v>7.7035999999999998</v>
      </c>
      <c r="R318" s="2">
        <f t="shared" si="28"/>
        <v>21.398888888888891</v>
      </c>
      <c r="S318" s="2">
        <f t="shared" si="29"/>
        <v>6.0698894023573393</v>
      </c>
    </row>
    <row r="319" spans="1:19" hidden="1">
      <c r="A319" t="s">
        <v>372</v>
      </c>
      <c r="B319" t="s">
        <v>30</v>
      </c>
      <c r="C319">
        <v>192</v>
      </c>
      <c r="D319">
        <v>4225</v>
      </c>
      <c r="E319" s="2">
        <v>242</v>
      </c>
      <c r="F319">
        <v>24</v>
      </c>
      <c r="G319">
        <v>6</v>
      </c>
      <c r="H319">
        <v>3.1E-2</v>
      </c>
      <c r="I319" s="3">
        <v>1032</v>
      </c>
      <c r="J319" s="1">
        <v>45597</v>
      </c>
      <c r="K319" t="s">
        <v>31</v>
      </c>
      <c r="L319" t="s">
        <v>8</v>
      </c>
      <c r="M319" t="s">
        <v>37</v>
      </c>
      <c r="N319" s="1">
        <f t="shared" si="24"/>
        <v>45597</v>
      </c>
      <c r="O319" s="4">
        <f t="shared" si="25"/>
        <v>4.5443786982248519E-2</v>
      </c>
      <c r="P319">
        <f t="shared" si="26"/>
        <v>1.2604166666666667</v>
      </c>
      <c r="Q319" s="2">
        <f t="shared" si="27"/>
        <v>10.083333333333334</v>
      </c>
      <c r="R319" s="2">
        <f t="shared" si="28"/>
        <v>40.333333333333336</v>
      </c>
      <c r="S319" s="2">
        <f t="shared" si="29"/>
        <v>4.2644628099173554</v>
      </c>
    </row>
    <row r="320" spans="1:19" hidden="1">
      <c r="A320" t="s">
        <v>373</v>
      </c>
      <c r="B320" t="s">
        <v>30</v>
      </c>
      <c r="C320">
        <v>149</v>
      </c>
      <c r="D320">
        <v>3410</v>
      </c>
      <c r="E320" s="2">
        <v>181.12</v>
      </c>
      <c r="F320">
        <v>20</v>
      </c>
      <c r="G320">
        <v>4</v>
      </c>
      <c r="H320">
        <v>3.3000000000000002E-2</v>
      </c>
      <c r="I320" s="3">
        <v>1806</v>
      </c>
      <c r="J320" s="1">
        <v>45613</v>
      </c>
      <c r="K320" t="s">
        <v>31</v>
      </c>
      <c r="L320" t="s">
        <v>7</v>
      </c>
      <c r="M320" t="s">
        <v>32</v>
      </c>
      <c r="N320" s="1">
        <f t="shared" si="24"/>
        <v>45613</v>
      </c>
      <c r="O320" s="4">
        <f t="shared" si="25"/>
        <v>4.3695014662756597E-2</v>
      </c>
      <c r="P320">
        <f t="shared" si="26"/>
        <v>1.2155704697986578</v>
      </c>
      <c r="Q320" s="2">
        <f t="shared" si="27"/>
        <v>9.0560000000000009</v>
      </c>
      <c r="R320" s="2">
        <f t="shared" si="28"/>
        <v>45.28</v>
      </c>
      <c r="S320" s="2">
        <f t="shared" si="29"/>
        <v>9.9712897526501756</v>
      </c>
    </row>
    <row r="321" spans="1:19" hidden="1">
      <c r="A321" t="s">
        <v>374</v>
      </c>
      <c r="B321" t="s">
        <v>30</v>
      </c>
      <c r="C321">
        <v>93</v>
      </c>
      <c r="D321">
        <v>3934</v>
      </c>
      <c r="E321" s="2">
        <v>226.84</v>
      </c>
      <c r="F321">
        <v>20</v>
      </c>
      <c r="G321">
        <v>6</v>
      </c>
      <c r="H321">
        <v>6.5000000000000002E-2</v>
      </c>
      <c r="I321" s="3">
        <v>1964</v>
      </c>
      <c r="J321" s="1">
        <v>45614</v>
      </c>
      <c r="K321" t="s">
        <v>31</v>
      </c>
      <c r="L321" t="s">
        <v>8</v>
      </c>
      <c r="M321" t="s">
        <v>37</v>
      </c>
      <c r="N321" s="1">
        <f t="shared" si="24"/>
        <v>45614</v>
      </c>
      <c r="O321" s="4">
        <f t="shared" si="25"/>
        <v>2.3640061006609051E-2</v>
      </c>
      <c r="P321">
        <f t="shared" si="26"/>
        <v>2.4391397849462364</v>
      </c>
      <c r="Q321" s="2">
        <f t="shared" si="27"/>
        <v>11.342000000000001</v>
      </c>
      <c r="R321" s="2">
        <f t="shared" si="28"/>
        <v>37.806666666666665</v>
      </c>
      <c r="S321" s="2">
        <f t="shared" si="29"/>
        <v>8.6580849938282487</v>
      </c>
    </row>
    <row r="322" spans="1:19" hidden="1">
      <c r="A322" t="s">
        <v>375</v>
      </c>
      <c r="B322" t="s">
        <v>30</v>
      </c>
      <c r="C322">
        <v>182</v>
      </c>
      <c r="D322">
        <v>3384</v>
      </c>
      <c r="E322" s="2">
        <v>187.67</v>
      </c>
      <c r="F322">
        <v>18</v>
      </c>
      <c r="G322">
        <v>8</v>
      </c>
      <c r="H322">
        <v>4.3999999999999997E-2</v>
      </c>
      <c r="I322" s="3">
        <v>1769</v>
      </c>
      <c r="J322" s="1">
        <v>45597</v>
      </c>
      <c r="K322" t="s">
        <v>31</v>
      </c>
      <c r="L322" t="s">
        <v>7</v>
      </c>
      <c r="M322" t="s">
        <v>46</v>
      </c>
      <c r="N322" s="1">
        <f t="shared" ref="N322:N385" si="30">IF(A322="","",IF(ISNUMBER(J322),J322,IF(MID(J322,5,1)="-",DATE(LEFT(J322,4),MID(J322,6,2),RIGHT(J322,2)),IF(MID(J322,5,1)="/",DATE(LEFT(J322,4),MID(J322,6,2),RIGHT(J322,2)),DATE(RIGHT(J322,4),MID(J322,4,2),LEFT(J322,2))))))</f>
        <v>45597</v>
      </c>
      <c r="O322" s="4">
        <f t="shared" ref="O322:O385" si="31">IFERROR(C322/D322,0)</f>
        <v>5.3782505910165486E-2</v>
      </c>
      <c r="P322">
        <f t="shared" ref="P322:P385" si="32">IFERROR(E322/C322,0)</f>
        <v>1.0311538461538461</v>
      </c>
      <c r="Q322" s="2">
        <f t="shared" ref="Q322:Q385" si="33">IFERROR(E322/F322,0)</f>
        <v>10.42611111111111</v>
      </c>
      <c r="R322" s="2">
        <f t="shared" ref="R322:R385" si="34">IFERROR(E322/G322,0)</f>
        <v>23.458749999999998</v>
      </c>
      <c r="S322" s="2">
        <f t="shared" ref="S322:S385" si="35">IFERROR(I322/E322,0)</f>
        <v>9.4261203175787287</v>
      </c>
    </row>
    <row r="323" spans="1:19" hidden="1">
      <c r="A323" t="s">
        <v>376</v>
      </c>
      <c r="B323" t="s">
        <v>30</v>
      </c>
      <c r="C323">
        <v>99</v>
      </c>
      <c r="D323">
        <v>3842</v>
      </c>
      <c r="E323" s="2">
        <v>246.3</v>
      </c>
      <c r="F323">
        <v>23</v>
      </c>
      <c r="G323">
        <v>8</v>
      </c>
      <c r="H323">
        <v>8.1000000000000003E-2</v>
      </c>
      <c r="I323" s="3">
        <v>1452</v>
      </c>
      <c r="J323" s="1">
        <v>45576</v>
      </c>
      <c r="K323" t="s">
        <v>31</v>
      </c>
      <c r="L323" t="s">
        <v>9</v>
      </c>
      <c r="M323" t="s">
        <v>41</v>
      </c>
      <c r="N323" s="1">
        <f t="shared" si="30"/>
        <v>45576</v>
      </c>
      <c r="O323" s="4">
        <f t="shared" si="31"/>
        <v>2.5767829255596043E-2</v>
      </c>
      <c r="P323">
        <f t="shared" si="32"/>
        <v>2.4878787878787878</v>
      </c>
      <c r="Q323" s="2">
        <f t="shared" si="33"/>
        <v>10.708695652173914</v>
      </c>
      <c r="R323" s="2">
        <f t="shared" si="34"/>
        <v>30.787500000000001</v>
      </c>
      <c r="S323" s="2">
        <f t="shared" si="35"/>
        <v>5.8952496954933009</v>
      </c>
    </row>
    <row r="324" spans="1:19" hidden="1">
      <c r="A324" t="s">
        <v>377</v>
      </c>
      <c r="B324" t="s">
        <v>30</v>
      </c>
      <c r="C324">
        <v>188</v>
      </c>
      <c r="D324">
        <v>4022</v>
      </c>
      <c r="E324" s="2">
        <v>238.61</v>
      </c>
      <c r="F324">
        <v>20</v>
      </c>
      <c r="G324">
        <v>8</v>
      </c>
      <c r="H324">
        <v>4.2999999999999997E-2</v>
      </c>
      <c r="I324" s="3">
        <v>1505</v>
      </c>
      <c r="J324" s="1">
        <v>45602</v>
      </c>
      <c r="K324" t="s">
        <v>31</v>
      </c>
      <c r="L324" t="s">
        <v>8</v>
      </c>
      <c r="M324" t="s">
        <v>37</v>
      </c>
      <c r="N324" s="1">
        <f t="shared" si="30"/>
        <v>45602</v>
      </c>
      <c r="O324" s="4">
        <f t="shared" si="31"/>
        <v>4.6742913973147684E-2</v>
      </c>
      <c r="P324">
        <f t="shared" si="32"/>
        <v>1.2692021276595746</v>
      </c>
      <c r="Q324" s="2">
        <f t="shared" si="33"/>
        <v>11.9305</v>
      </c>
      <c r="R324" s="2">
        <f t="shared" si="34"/>
        <v>29.826250000000002</v>
      </c>
      <c r="S324" s="2">
        <f t="shared" si="35"/>
        <v>6.3073634801559022</v>
      </c>
    </row>
    <row r="325" spans="1:19" hidden="1">
      <c r="A325" t="s">
        <v>378</v>
      </c>
      <c r="B325" t="s">
        <v>30</v>
      </c>
      <c r="C325">
        <v>193</v>
      </c>
      <c r="D325">
        <v>5786</v>
      </c>
      <c r="E325" s="2">
        <v>201.51</v>
      </c>
      <c r="F325">
        <v>16</v>
      </c>
      <c r="G325">
        <v>10</v>
      </c>
      <c r="H325">
        <v>5.1999999999999998E-2</v>
      </c>
      <c r="I325" s="3">
        <v>1617</v>
      </c>
      <c r="J325" s="1">
        <v>45601</v>
      </c>
      <c r="K325" t="s">
        <v>31</v>
      </c>
      <c r="L325" t="s">
        <v>9</v>
      </c>
      <c r="M325" t="s">
        <v>39</v>
      </c>
      <c r="N325" s="1">
        <f t="shared" si="30"/>
        <v>45601</v>
      </c>
      <c r="O325" s="4">
        <f t="shared" si="31"/>
        <v>3.3356377462841341E-2</v>
      </c>
      <c r="P325">
        <f t="shared" si="32"/>
        <v>1.0440932642487046</v>
      </c>
      <c r="Q325" s="2">
        <f t="shared" si="33"/>
        <v>12.594374999999999</v>
      </c>
      <c r="R325" s="2">
        <f t="shared" si="34"/>
        <v>20.151</v>
      </c>
      <c r="S325" s="2">
        <f t="shared" si="35"/>
        <v>8.0244156617537588</v>
      </c>
    </row>
    <row r="326" spans="1:19" hidden="1">
      <c r="A326" t="s">
        <v>379</v>
      </c>
      <c r="B326" t="s">
        <v>30</v>
      </c>
      <c r="C326">
        <v>107</v>
      </c>
      <c r="D326">
        <v>4423</v>
      </c>
      <c r="E326" s="2">
        <v>239.47</v>
      </c>
      <c r="F326">
        <v>25</v>
      </c>
      <c r="G326">
        <v>9</v>
      </c>
      <c r="H326">
        <v>8.4000000000000005E-2</v>
      </c>
      <c r="I326" s="3">
        <v>1370</v>
      </c>
      <c r="J326" s="1">
        <v>45619</v>
      </c>
      <c r="K326" t="s">
        <v>31</v>
      </c>
      <c r="L326" t="s">
        <v>7</v>
      </c>
      <c r="M326" t="s">
        <v>46</v>
      </c>
      <c r="N326" s="1">
        <f t="shared" si="30"/>
        <v>45619</v>
      </c>
      <c r="O326" s="4">
        <f t="shared" si="31"/>
        <v>2.4191725073479539E-2</v>
      </c>
      <c r="P326">
        <f t="shared" si="32"/>
        <v>2.23803738317757</v>
      </c>
      <c r="Q326" s="2">
        <f t="shared" si="33"/>
        <v>9.5787999999999993</v>
      </c>
      <c r="R326" s="2">
        <f t="shared" si="34"/>
        <v>26.607777777777777</v>
      </c>
      <c r="S326" s="2">
        <f t="shared" si="35"/>
        <v>5.7209671357581326</v>
      </c>
    </row>
    <row r="327" spans="1:19" hidden="1">
      <c r="A327" t="s">
        <v>380</v>
      </c>
      <c r="B327" t="s">
        <v>30</v>
      </c>
      <c r="C327">
        <v>131</v>
      </c>
      <c r="D327">
        <v>4228</v>
      </c>
      <c r="E327" s="2">
        <v>230.18</v>
      </c>
      <c r="F327">
        <v>16</v>
      </c>
      <c r="G327">
        <v>9</v>
      </c>
      <c r="H327">
        <v>6.9000000000000006E-2</v>
      </c>
      <c r="I327" s="3">
        <v>1393</v>
      </c>
      <c r="J327" s="1">
        <v>45603</v>
      </c>
      <c r="K327" t="s">
        <v>31</v>
      </c>
      <c r="L327" t="s">
        <v>7</v>
      </c>
      <c r="M327" t="s">
        <v>39</v>
      </c>
      <c r="N327" s="1">
        <f t="shared" si="30"/>
        <v>45603</v>
      </c>
      <c r="O327" s="4">
        <f t="shared" si="31"/>
        <v>3.098391674550615E-2</v>
      </c>
      <c r="P327">
        <f t="shared" si="32"/>
        <v>1.7570992366412215</v>
      </c>
      <c r="Q327" s="2">
        <f t="shared" si="33"/>
        <v>14.38625</v>
      </c>
      <c r="R327" s="2">
        <f t="shared" si="34"/>
        <v>25.575555555555557</v>
      </c>
      <c r="S327" s="2">
        <f t="shared" si="35"/>
        <v>6.051785559127639</v>
      </c>
    </row>
    <row r="328" spans="1:19" hidden="1">
      <c r="A328" t="s">
        <v>381</v>
      </c>
      <c r="B328" t="s">
        <v>30</v>
      </c>
      <c r="C328">
        <v>139</v>
      </c>
      <c r="D328">
        <v>5120</v>
      </c>
      <c r="E328" s="2">
        <v>199.3</v>
      </c>
      <c r="F328">
        <v>24</v>
      </c>
      <c r="G328">
        <v>5</v>
      </c>
      <c r="H328">
        <v>3.5999999999999997E-2</v>
      </c>
      <c r="I328" s="3">
        <v>1835</v>
      </c>
      <c r="J328" s="1">
        <v>45619</v>
      </c>
      <c r="K328" t="s">
        <v>31</v>
      </c>
      <c r="L328" t="s">
        <v>8</v>
      </c>
      <c r="M328" t="s">
        <v>35</v>
      </c>
      <c r="N328" s="1">
        <f t="shared" si="30"/>
        <v>45619</v>
      </c>
      <c r="O328" s="4">
        <f t="shared" si="31"/>
        <v>2.7148437500000001E-2</v>
      </c>
      <c r="P328">
        <f t="shared" si="32"/>
        <v>1.4338129496402878</v>
      </c>
      <c r="Q328" s="2">
        <f t="shared" si="33"/>
        <v>8.3041666666666671</v>
      </c>
      <c r="R328" s="2">
        <f t="shared" si="34"/>
        <v>39.86</v>
      </c>
      <c r="S328" s="2">
        <f t="shared" si="35"/>
        <v>9.2072252885097843</v>
      </c>
    </row>
    <row r="329" spans="1:19" hidden="1">
      <c r="A329" t="s">
        <v>382</v>
      </c>
      <c r="B329" t="s">
        <v>30</v>
      </c>
      <c r="C329">
        <v>141</v>
      </c>
      <c r="D329">
        <v>3600</v>
      </c>
      <c r="E329" s="2">
        <v>227.54</v>
      </c>
      <c r="F329">
        <v>20</v>
      </c>
      <c r="G329">
        <v>6</v>
      </c>
      <c r="H329">
        <v>4.2999999999999997E-2</v>
      </c>
      <c r="I329" s="3">
        <v>1367</v>
      </c>
      <c r="J329" s="1">
        <v>45603</v>
      </c>
      <c r="K329" t="s">
        <v>31</v>
      </c>
      <c r="L329" t="s">
        <v>7</v>
      </c>
      <c r="M329" t="s">
        <v>32</v>
      </c>
      <c r="N329" s="1">
        <f t="shared" si="30"/>
        <v>45603</v>
      </c>
      <c r="O329" s="4">
        <f t="shared" si="31"/>
        <v>3.9166666666666669E-2</v>
      </c>
      <c r="P329">
        <f t="shared" si="32"/>
        <v>1.6137588652482269</v>
      </c>
      <c r="Q329" s="2">
        <f t="shared" si="33"/>
        <v>11.376999999999999</v>
      </c>
      <c r="R329" s="2">
        <f t="shared" si="34"/>
        <v>37.923333333333332</v>
      </c>
      <c r="S329" s="2">
        <f t="shared" si="35"/>
        <v>6.0077349037531862</v>
      </c>
    </row>
    <row r="330" spans="1:19" hidden="1">
      <c r="A330" t="s">
        <v>383</v>
      </c>
      <c r="B330" t="s">
        <v>30</v>
      </c>
      <c r="C330">
        <v>175</v>
      </c>
      <c r="D330">
        <v>5016</v>
      </c>
      <c r="E330" s="2">
        <v>215.57</v>
      </c>
      <c r="F330">
        <v>16</v>
      </c>
      <c r="G330">
        <v>3</v>
      </c>
      <c r="H330">
        <v>1.7000000000000001E-2</v>
      </c>
      <c r="I330" s="3">
        <v>1836</v>
      </c>
      <c r="J330" s="1">
        <v>45603</v>
      </c>
      <c r="K330" t="s">
        <v>31</v>
      </c>
      <c r="L330" t="s">
        <v>9</v>
      </c>
      <c r="M330" t="s">
        <v>32</v>
      </c>
      <c r="N330" s="1">
        <f t="shared" si="30"/>
        <v>45603</v>
      </c>
      <c r="O330" s="4">
        <f t="shared" si="31"/>
        <v>3.4888357256778309E-2</v>
      </c>
      <c r="P330">
        <f t="shared" si="32"/>
        <v>1.2318285714285715</v>
      </c>
      <c r="Q330" s="2">
        <f t="shared" si="33"/>
        <v>13.473125</v>
      </c>
      <c r="R330" s="2">
        <f t="shared" si="34"/>
        <v>71.856666666666669</v>
      </c>
      <c r="S330" s="2">
        <f t="shared" si="35"/>
        <v>8.5169550494039061</v>
      </c>
    </row>
    <row r="331" spans="1:19" hidden="1">
      <c r="A331" t="s">
        <v>384</v>
      </c>
      <c r="B331" t="s">
        <v>30</v>
      </c>
      <c r="C331">
        <v>96</v>
      </c>
      <c r="D331">
        <v>5771</v>
      </c>
      <c r="E331" s="2">
        <v>213.98</v>
      </c>
      <c r="F331">
        <v>30</v>
      </c>
      <c r="G331">
        <v>3</v>
      </c>
      <c r="H331">
        <v>3.1E-2</v>
      </c>
      <c r="I331" s="3">
        <v>1130</v>
      </c>
      <c r="J331" s="1" t="s">
        <v>64</v>
      </c>
      <c r="K331" t="s">
        <v>31</v>
      </c>
      <c r="L331" t="s">
        <v>8</v>
      </c>
      <c r="M331" t="s">
        <v>46</v>
      </c>
      <c r="N331" s="1">
        <f t="shared" si="30"/>
        <v>45626</v>
      </c>
      <c r="O331" s="4">
        <f t="shared" si="31"/>
        <v>1.6634898631086466E-2</v>
      </c>
      <c r="P331">
        <f t="shared" si="32"/>
        <v>2.2289583333333334</v>
      </c>
      <c r="Q331" s="2">
        <f t="shared" si="33"/>
        <v>7.1326666666666663</v>
      </c>
      <c r="R331" s="2">
        <f t="shared" si="34"/>
        <v>71.326666666666668</v>
      </c>
      <c r="S331" s="2">
        <f t="shared" si="35"/>
        <v>5.2808673707823166</v>
      </c>
    </row>
    <row r="332" spans="1:19">
      <c r="A332" t="s">
        <v>385</v>
      </c>
      <c r="B332" t="s">
        <v>30</v>
      </c>
      <c r="C332">
        <v>139</v>
      </c>
      <c r="D332">
        <v>4615</v>
      </c>
      <c r="E332" s="2">
        <v>194.89</v>
      </c>
      <c r="F332">
        <v>12</v>
      </c>
      <c r="G332">
        <v>6</v>
      </c>
      <c r="H332">
        <v>4.5999999999999999E-2</v>
      </c>
      <c r="I332" s="3">
        <v>1923</v>
      </c>
      <c r="J332" s="1">
        <v>45621</v>
      </c>
      <c r="K332" t="s">
        <v>31</v>
      </c>
      <c r="L332" t="s">
        <v>9</v>
      </c>
      <c r="M332" t="s">
        <v>39</v>
      </c>
      <c r="N332" s="1">
        <f t="shared" si="30"/>
        <v>45621</v>
      </c>
      <c r="O332" s="4">
        <f t="shared" si="31"/>
        <v>3.0119176598049836E-2</v>
      </c>
      <c r="P332">
        <f t="shared" si="32"/>
        <v>1.4020863309352516</v>
      </c>
      <c r="Q332" s="2">
        <f t="shared" si="33"/>
        <v>16.240833333333331</v>
      </c>
      <c r="R332" s="2">
        <f t="shared" si="34"/>
        <v>32.481666666666662</v>
      </c>
      <c r="S332" s="2">
        <f t="shared" si="35"/>
        <v>9.867104520498744</v>
      </c>
    </row>
    <row r="333" spans="1:19" hidden="1">
      <c r="A333" t="s">
        <v>386</v>
      </c>
      <c r="B333" t="s">
        <v>30</v>
      </c>
      <c r="C333">
        <v>187</v>
      </c>
      <c r="D333">
        <v>3115</v>
      </c>
      <c r="E333" s="2">
        <v>184.61</v>
      </c>
      <c r="F333">
        <v>12</v>
      </c>
      <c r="G333">
        <v>3</v>
      </c>
      <c r="H333">
        <v>1.6E-2</v>
      </c>
      <c r="I333" s="3">
        <v>1324</v>
      </c>
      <c r="J333" s="1">
        <v>45626</v>
      </c>
      <c r="K333" t="s">
        <v>31</v>
      </c>
      <c r="L333" t="s">
        <v>8</v>
      </c>
      <c r="M333" t="s">
        <v>32</v>
      </c>
      <c r="N333" s="1">
        <f t="shared" si="30"/>
        <v>45626</v>
      </c>
      <c r="O333" s="4">
        <f t="shared" si="31"/>
        <v>6.003210272873194E-2</v>
      </c>
      <c r="P333">
        <f t="shared" si="32"/>
        <v>0.98721925133689847</v>
      </c>
      <c r="Q333" s="2">
        <f t="shared" si="33"/>
        <v>15.384166666666667</v>
      </c>
      <c r="R333" s="2">
        <f t="shared" si="34"/>
        <v>61.536666666666669</v>
      </c>
      <c r="S333" s="2">
        <f t="shared" si="35"/>
        <v>7.1718758463788523</v>
      </c>
    </row>
    <row r="334" spans="1:19" hidden="1">
      <c r="A334" t="s">
        <v>387</v>
      </c>
      <c r="B334" t="s">
        <v>30</v>
      </c>
      <c r="C334">
        <v>153</v>
      </c>
      <c r="D334">
        <v>5886</v>
      </c>
      <c r="E334" s="2">
        <v>218.33</v>
      </c>
      <c r="F334">
        <v>29</v>
      </c>
      <c r="G334">
        <v>3</v>
      </c>
      <c r="H334">
        <v>0.02</v>
      </c>
      <c r="I334" s="3">
        <v>1424</v>
      </c>
      <c r="J334" s="1">
        <v>45616</v>
      </c>
      <c r="K334" t="s">
        <v>31</v>
      </c>
      <c r="L334" t="s">
        <v>8</v>
      </c>
      <c r="M334" t="s">
        <v>46</v>
      </c>
      <c r="N334" s="1">
        <f t="shared" si="30"/>
        <v>45616</v>
      </c>
      <c r="O334" s="4">
        <f t="shared" si="31"/>
        <v>2.5993883792048929E-2</v>
      </c>
      <c r="P334">
        <f t="shared" si="32"/>
        <v>1.4269934640522877</v>
      </c>
      <c r="Q334" s="2">
        <f t="shared" si="33"/>
        <v>7.5286206896551731</v>
      </c>
      <c r="R334" s="2">
        <f t="shared" si="34"/>
        <v>72.776666666666671</v>
      </c>
      <c r="S334" s="2">
        <f t="shared" si="35"/>
        <v>6.5222369807172624</v>
      </c>
    </row>
    <row r="335" spans="1:19" hidden="1">
      <c r="A335" t="s">
        <v>388</v>
      </c>
      <c r="B335" t="s">
        <v>30</v>
      </c>
      <c r="C335">
        <v>122</v>
      </c>
      <c r="D335">
        <v>4929</v>
      </c>
      <c r="E335" s="2">
        <v>192.72</v>
      </c>
      <c r="F335">
        <v>10</v>
      </c>
      <c r="G335">
        <v>10</v>
      </c>
      <c r="H335">
        <v>8.2000000000000003E-2</v>
      </c>
      <c r="I335" s="3">
        <v>1505</v>
      </c>
      <c r="J335" s="1">
        <v>45608</v>
      </c>
      <c r="K335" t="s">
        <v>31</v>
      </c>
      <c r="L335" t="s">
        <v>7</v>
      </c>
      <c r="M335" t="s">
        <v>39</v>
      </c>
      <c r="N335" s="1">
        <f t="shared" si="30"/>
        <v>45608</v>
      </c>
      <c r="O335" s="4">
        <f t="shared" si="31"/>
        <v>2.475147088658957E-2</v>
      </c>
      <c r="P335">
        <f t="shared" si="32"/>
        <v>1.579672131147541</v>
      </c>
      <c r="Q335" s="2">
        <f t="shared" si="33"/>
        <v>19.271999999999998</v>
      </c>
      <c r="R335" s="2">
        <f t="shared" si="34"/>
        <v>19.271999999999998</v>
      </c>
      <c r="S335" s="2">
        <f t="shared" si="35"/>
        <v>7.8092569530925697</v>
      </c>
    </row>
    <row r="336" spans="1:19" hidden="1">
      <c r="A336" t="s">
        <v>389</v>
      </c>
      <c r="B336" t="s">
        <v>30</v>
      </c>
      <c r="C336">
        <v>151</v>
      </c>
      <c r="D336">
        <v>4357</v>
      </c>
      <c r="E336" s="2">
        <v>238.69</v>
      </c>
      <c r="F336">
        <v>28</v>
      </c>
      <c r="G336">
        <v>9</v>
      </c>
      <c r="H336">
        <v>0.06</v>
      </c>
      <c r="I336" s="3">
        <v>1447</v>
      </c>
      <c r="J336" s="1">
        <v>45609</v>
      </c>
      <c r="K336" t="s">
        <v>31</v>
      </c>
      <c r="L336" t="s">
        <v>9</v>
      </c>
      <c r="M336" t="s">
        <v>46</v>
      </c>
      <c r="N336" s="1">
        <f t="shared" si="30"/>
        <v>45609</v>
      </c>
      <c r="O336" s="4">
        <f t="shared" si="31"/>
        <v>3.4656873995868719E-2</v>
      </c>
      <c r="P336">
        <f t="shared" si="32"/>
        <v>1.580728476821192</v>
      </c>
      <c r="Q336" s="2">
        <f t="shared" si="33"/>
        <v>8.5246428571428563</v>
      </c>
      <c r="R336" s="2">
        <f t="shared" si="34"/>
        <v>26.521111111111111</v>
      </c>
      <c r="S336" s="2">
        <f t="shared" si="35"/>
        <v>6.0622564833047052</v>
      </c>
    </row>
    <row r="337" spans="1:19">
      <c r="A337" t="s">
        <v>390</v>
      </c>
      <c r="B337" t="s">
        <v>30</v>
      </c>
      <c r="C337">
        <v>116</v>
      </c>
      <c r="D337">
        <v>4519</v>
      </c>
      <c r="E337" s="2">
        <v>184.29</v>
      </c>
      <c r="F337">
        <v>23</v>
      </c>
      <c r="G337">
        <v>7</v>
      </c>
      <c r="H337">
        <v>4.5999999999999999E-2</v>
      </c>
      <c r="I337" s="3">
        <v>1070</v>
      </c>
      <c r="J337" s="1">
        <v>45608</v>
      </c>
      <c r="K337" t="s">
        <v>31</v>
      </c>
      <c r="L337" t="s">
        <v>7</v>
      </c>
      <c r="M337" t="s">
        <v>39</v>
      </c>
      <c r="N337" s="1">
        <f t="shared" si="30"/>
        <v>45608</v>
      </c>
      <c r="O337" s="4">
        <f t="shared" si="31"/>
        <v>2.5669395884045144E-2</v>
      </c>
      <c r="P337">
        <f t="shared" si="32"/>
        <v>1.5887068965517241</v>
      </c>
      <c r="Q337" s="2">
        <f t="shared" si="33"/>
        <v>8.0126086956521743</v>
      </c>
      <c r="R337" s="2">
        <f t="shared" si="34"/>
        <v>26.327142857142857</v>
      </c>
      <c r="S337" s="2">
        <f t="shared" si="35"/>
        <v>5.8060665255846766</v>
      </c>
    </row>
    <row r="338" spans="1:19" hidden="1">
      <c r="A338" t="s">
        <v>391</v>
      </c>
      <c r="B338" t="s">
        <v>30</v>
      </c>
      <c r="C338">
        <v>145</v>
      </c>
      <c r="D338">
        <v>5612</v>
      </c>
      <c r="E338" s="2">
        <v>207.34</v>
      </c>
      <c r="F338">
        <v>22</v>
      </c>
      <c r="G338">
        <v>4</v>
      </c>
      <c r="H338">
        <v>2.8000000000000001E-2</v>
      </c>
      <c r="I338" s="3">
        <v>1689</v>
      </c>
      <c r="J338" s="1">
        <v>45637</v>
      </c>
      <c r="K338" t="s">
        <v>31</v>
      </c>
      <c r="L338" t="s">
        <v>7</v>
      </c>
      <c r="M338" t="s">
        <v>32</v>
      </c>
      <c r="N338" s="1">
        <f t="shared" si="30"/>
        <v>45637</v>
      </c>
      <c r="O338" s="4">
        <f t="shared" si="31"/>
        <v>2.5837491090520314E-2</v>
      </c>
      <c r="P338">
        <f t="shared" si="32"/>
        <v>1.4299310344827587</v>
      </c>
      <c r="Q338" s="2">
        <f t="shared" si="33"/>
        <v>9.4245454545454539</v>
      </c>
      <c r="R338" s="2">
        <f t="shared" si="34"/>
        <v>51.835000000000001</v>
      </c>
      <c r="S338" s="2">
        <f t="shared" si="35"/>
        <v>8.1460403202469376</v>
      </c>
    </row>
    <row r="339" spans="1:19" hidden="1">
      <c r="A339" t="s">
        <v>392</v>
      </c>
      <c r="B339" t="s">
        <v>30</v>
      </c>
      <c r="C339">
        <v>90</v>
      </c>
      <c r="D339">
        <v>3251</v>
      </c>
      <c r="E339" s="2">
        <v>198.69</v>
      </c>
      <c r="F339">
        <v>12</v>
      </c>
      <c r="G339">
        <v>7</v>
      </c>
      <c r="H339">
        <v>7.8E-2</v>
      </c>
      <c r="I339" s="3">
        <v>1044</v>
      </c>
      <c r="J339" s="1" t="s">
        <v>64</v>
      </c>
      <c r="K339" t="s">
        <v>31</v>
      </c>
      <c r="L339" t="s">
        <v>8</v>
      </c>
      <c r="M339" t="s">
        <v>32</v>
      </c>
      <c r="N339" s="1">
        <f t="shared" si="30"/>
        <v>45626</v>
      </c>
      <c r="O339" s="4">
        <f t="shared" si="31"/>
        <v>2.7683789603199015E-2</v>
      </c>
      <c r="P339">
        <f t="shared" si="32"/>
        <v>2.2076666666666664</v>
      </c>
      <c r="Q339" s="2">
        <f t="shared" si="33"/>
        <v>16.557500000000001</v>
      </c>
      <c r="R339" s="2">
        <f t="shared" si="34"/>
        <v>28.384285714285713</v>
      </c>
      <c r="S339" s="2">
        <f t="shared" si="35"/>
        <v>5.254416427600785</v>
      </c>
    </row>
    <row r="340" spans="1:19" hidden="1">
      <c r="A340" t="s">
        <v>393</v>
      </c>
      <c r="B340" t="s">
        <v>30</v>
      </c>
      <c r="C340">
        <v>133</v>
      </c>
      <c r="D340">
        <v>3360</v>
      </c>
      <c r="E340" s="2">
        <v>203.78</v>
      </c>
      <c r="F340">
        <v>13</v>
      </c>
      <c r="G340">
        <v>9</v>
      </c>
      <c r="H340">
        <v>6.8000000000000005E-2</v>
      </c>
      <c r="I340" s="3">
        <v>1654</v>
      </c>
      <c r="J340" s="1">
        <v>45610</v>
      </c>
      <c r="K340" t="s">
        <v>31</v>
      </c>
      <c r="L340" t="s">
        <v>8</v>
      </c>
      <c r="M340" t="s">
        <v>41</v>
      </c>
      <c r="N340" s="1">
        <f t="shared" si="30"/>
        <v>45610</v>
      </c>
      <c r="O340" s="4">
        <f t="shared" si="31"/>
        <v>3.9583333333333331E-2</v>
      </c>
      <c r="P340">
        <f t="shared" si="32"/>
        <v>1.5321804511278196</v>
      </c>
      <c r="Q340" s="2">
        <f t="shared" si="33"/>
        <v>15.675384615384615</v>
      </c>
      <c r="R340" s="2">
        <f t="shared" si="34"/>
        <v>22.642222222222223</v>
      </c>
      <c r="S340" s="2">
        <f t="shared" si="35"/>
        <v>8.1165963293748167</v>
      </c>
    </row>
    <row r="341" spans="1:19" hidden="1">
      <c r="A341" t="s">
        <v>394</v>
      </c>
      <c r="B341" t="s">
        <v>30</v>
      </c>
      <c r="C341">
        <v>135</v>
      </c>
      <c r="D341">
        <v>5891</v>
      </c>
      <c r="E341" s="2">
        <v>245.69</v>
      </c>
      <c r="F341">
        <v>21</v>
      </c>
      <c r="G341">
        <v>6</v>
      </c>
      <c r="H341">
        <v>4.3999999999999997E-2</v>
      </c>
      <c r="I341" s="3">
        <v>1947</v>
      </c>
      <c r="J341" s="1">
        <v>45601</v>
      </c>
      <c r="K341" t="s">
        <v>31</v>
      </c>
      <c r="L341" t="s">
        <v>8</v>
      </c>
      <c r="M341" t="s">
        <v>32</v>
      </c>
      <c r="N341" s="1">
        <f t="shared" si="30"/>
        <v>45601</v>
      </c>
      <c r="O341" s="4">
        <f t="shared" si="31"/>
        <v>2.2916313019860805E-2</v>
      </c>
      <c r="P341">
        <f t="shared" si="32"/>
        <v>1.8199259259259259</v>
      </c>
      <c r="Q341" s="2">
        <f t="shared" si="33"/>
        <v>11.699523809523809</v>
      </c>
      <c r="R341" s="2">
        <f t="shared" si="34"/>
        <v>40.948333333333331</v>
      </c>
      <c r="S341" s="2">
        <f t="shared" si="35"/>
        <v>7.9246204566730434</v>
      </c>
    </row>
    <row r="342" spans="1:19" hidden="1">
      <c r="A342" t="s">
        <v>395</v>
      </c>
      <c r="B342" t="s">
        <v>30</v>
      </c>
      <c r="C342">
        <v>155</v>
      </c>
      <c r="D342">
        <v>5835</v>
      </c>
      <c r="E342" s="2">
        <v>239.52</v>
      </c>
      <c r="F342">
        <v>10</v>
      </c>
      <c r="G342">
        <v>4</v>
      </c>
      <c r="H342">
        <v>4.1000000000000002E-2</v>
      </c>
      <c r="I342" s="3">
        <v>1505</v>
      </c>
      <c r="J342" s="1">
        <v>45609</v>
      </c>
      <c r="K342" t="s">
        <v>31</v>
      </c>
      <c r="L342" t="s">
        <v>8</v>
      </c>
      <c r="M342" t="s">
        <v>46</v>
      </c>
      <c r="N342" s="1">
        <f t="shared" si="30"/>
        <v>45609</v>
      </c>
      <c r="O342" s="4">
        <f t="shared" si="31"/>
        <v>2.6563838903170524E-2</v>
      </c>
      <c r="P342">
        <f t="shared" si="32"/>
        <v>1.5452903225806451</v>
      </c>
      <c r="Q342" s="2">
        <f t="shared" si="33"/>
        <v>23.952000000000002</v>
      </c>
      <c r="R342" s="2">
        <f t="shared" si="34"/>
        <v>59.88</v>
      </c>
      <c r="S342" s="2">
        <f t="shared" si="35"/>
        <v>6.2834001336005345</v>
      </c>
    </row>
    <row r="343" spans="1:19" hidden="1">
      <c r="A343" t="s">
        <v>396</v>
      </c>
      <c r="B343" t="s">
        <v>30</v>
      </c>
      <c r="C343">
        <v>100</v>
      </c>
      <c r="D343">
        <v>4928</v>
      </c>
      <c r="E343" s="2">
        <v>186.68</v>
      </c>
      <c r="F343">
        <v>22</v>
      </c>
      <c r="G343">
        <v>10</v>
      </c>
      <c r="H343">
        <v>0.1</v>
      </c>
      <c r="I343" s="3">
        <v>1071</v>
      </c>
      <c r="J343" s="1">
        <v>45619</v>
      </c>
      <c r="K343" t="s">
        <v>31</v>
      </c>
      <c r="L343" t="s">
        <v>8</v>
      </c>
      <c r="M343" t="s">
        <v>46</v>
      </c>
      <c r="N343" s="1">
        <f t="shared" si="30"/>
        <v>45619</v>
      </c>
      <c r="O343" s="4">
        <f t="shared" si="31"/>
        <v>2.0292207792207792E-2</v>
      </c>
      <c r="P343">
        <f t="shared" si="32"/>
        <v>1.8668</v>
      </c>
      <c r="Q343" s="2">
        <f t="shared" si="33"/>
        <v>8.4854545454545462</v>
      </c>
      <c r="R343" s="2">
        <f t="shared" si="34"/>
        <v>18.667999999999999</v>
      </c>
      <c r="S343" s="2">
        <f t="shared" si="35"/>
        <v>5.7370902078422965</v>
      </c>
    </row>
    <row r="344" spans="1:19" hidden="1">
      <c r="A344" t="s">
        <v>397</v>
      </c>
      <c r="B344" t="s">
        <v>30</v>
      </c>
      <c r="C344">
        <v>138</v>
      </c>
      <c r="D344">
        <v>4049</v>
      </c>
      <c r="E344" s="2">
        <v>182.66</v>
      </c>
      <c r="F344">
        <v>20</v>
      </c>
      <c r="G344">
        <v>7</v>
      </c>
      <c r="H344">
        <v>5.0999999999999997E-2</v>
      </c>
      <c r="I344" s="3">
        <v>1292</v>
      </c>
      <c r="J344" s="1">
        <v>45616</v>
      </c>
      <c r="K344" t="s">
        <v>31</v>
      </c>
      <c r="L344" t="s">
        <v>8</v>
      </c>
      <c r="M344" t="s">
        <v>41</v>
      </c>
      <c r="N344" s="1">
        <f t="shared" si="30"/>
        <v>45616</v>
      </c>
      <c r="O344" s="4">
        <f t="shared" si="31"/>
        <v>3.4082489503581129E-2</v>
      </c>
      <c r="P344">
        <f t="shared" si="32"/>
        <v>1.3236231884057972</v>
      </c>
      <c r="Q344" s="2">
        <f t="shared" si="33"/>
        <v>9.1329999999999991</v>
      </c>
      <c r="R344" s="2">
        <f t="shared" si="34"/>
        <v>26.094285714285714</v>
      </c>
      <c r="S344" s="2">
        <f t="shared" si="35"/>
        <v>7.0732508485711163</v>
      </c>
    </row>
    <row r="345" spans="1:19" hidden="1">
      <c r="A345" t="s">
        <v>398</v>
      </c>
      <c r="B345" t="s">
        <v>30</v>
      </c>
      <c r="C345">
        <v>109</v>
      </c>
      <c r="D345">
        <v>4114</v>
      </c>
      <c r="E345" s="2">
        <v>243.33</v>
      </c>
      <c r="F345">
        <v>18</v>
      </c>
      <c r="G345">
        <v>6</v>
      </c>
      <c r="H345">
        <v>4.3999999999999997E-2</v>
      </c>
      <c r="I345" s="3">
        <v>1456</v>
      </c>
      <c r="J345" s="1">
        <v>45621</v>
      </c>
      <c r="K345" t="s">
        <v>31</v>
      </c>
      <c r="L345" t="s">
        <v>9</v>
      </c>
      <c r="M345" t="s">
        <v>32</v>
      </c>
      <c r="N345" s="1">
        <f t="shared" si="30"/>
        <v>45621</v>
      </c>
      <c r="O345" s="4">
        <f t="shared" si="31"/>
        <v>2.6494895478852698E-2</v>
      </c>
      <c r="P345">
        <f t="shared" si="32"/>
        <v>2.2323853211009177</v>
      </c>
      <c r="Q345" s="2">
        <f t="shared" si="33"/>
        <v>13.518333333333334</v>
      </c>
      <c r="R345" s="2">
        <f t="shared" si="34"/>
        <v>40.555</v>
      </c>
      <c r="S345" s="2">
        <f t="shared" si="35"/>
        <v>5.9836436115563227</v>
      </c>
    </row>
    <row r="346" spans="1:19" hidden="1">
      <c r="A346" t="s">
        <v>399</v>
      </c>
      <c r="B346" t="s">
        <v>30</v>
      </c>
      <c r="C346">
        <v>124</v>
      </c>
      <c r="D346">
        <v>3947</v>
      </c>
      <c r="E346" s="2">
        <v>198.11</v>
      </c>
      <c r="F346">
        <v>11</v>
      </c>
      <c r="G346">
        <v>4</v>
      </c>
      <c r="H346">
        <v>3.2000000000000001E-2</v>
      </c>
      <c r="I346" s="3">
        <v>1308</v>
      </c>
      <c r="J346" s="1" t="s">
        <v>100</v>
      </c>
      <c r="K346" t="s">
        <v>31</v>
      </c>
      <c r="L346" t="s">
        <v>8</v>
      </c>
      <c r="M346" t="s">
        <v>35</v>
      </c>
      <c r="N346" s="1">
        <f t="shared" si="30"/>
        <v>45622</v>
      </c>
      <c r="O346" s="4">
        <f t="shared" si="31"/>
        <v>3.1416265518115022E-2</v>
      </c>
      <c r="P346">
        <f t="shared" si="32"/>
        <v>1.5976612903225809</v>
      </c>
      <c r="Q346" s="2">
        <f t="shared" si="33"/>
        <v>18.010000000000002</v>
      </c>
      <c r="R346" s="2">
        <f t="shared" si="34"/>
        <v>49.527500000000003</v>
      </c>
      <c r="S346" s="2">
        <f t="shared" si="35"/>
        <v>6.6023926101660688</v>
      </c>
    </row>
    <row r="347" spans="1:19">
      <c r="A347" t="s">
        <v>400</v>
      </c>
      <c r="B347" t="s">
        <v>30</v>
      </c>
      <c r="C347">
        <v>139</v>
      </c>
      <c r="D347">
        <v>3705</v>
      </c>
      <c r="E347" s="2">
        <v>239.26</v>
      </c>
      <c r="F347">
        <v>25</v>
      </c>
      <c r="G347">
        <v>7</v>
      </c>
      <c r="H347">
        <v>4.5999999999999999E-2</v>
      </c>
      <c r="I347" s="3">
        <v>1506</v>
      </c>
      <c r="J347" s="1">
        <v>45333</v>
      </c>
      <c r="K347" t="s">
        <v>31</v>
      </c>
      <c r="L347" t="s">
        <v>9</v>
      </c>
      <c r="M347" t="s">
        <v>41</v>
      </c>
      <c r="N347" s="1">
        <f t="shared" si="30"/>
        <v>45333</v>
      </c>
      <c r="O347" s="4">
        <f t="shared" si="31"/>
        <v>3.7516869095816467E-2</v>
      </c>
      <c r="P347">
        <f t="shared" si="32"/>
        <v>1.7212949640287769</v>
      </c>
      <c r="Q347" s="2">
        <f t="shared" si="33"/>
        <v>9.5703999999999994</v>
      </c>
      <c r="R347" s="2">
        <f t="shared" si="34"/>
        <v>34.18</v>
      </c>
      <c r="S347" s="2">
        <f t="shared" si="35"/>
        <v>6.294407757251526</v>
      </c>
    </row>
    <row r="348" spans="1:19" hidden="1">
      <c r="A348" t="s">
        <v>401</v>
      </c>
      <c r="B348" t="s">
        <v>30</v>
      </c>
      <c r="C348">
        <v>197</v>
      </c>
      <c r="D348">
        <v>5365</v>
      </c>
      <c r="E348" s="2">
        <v>208.86</v>
      </c>
      <c r="F348">
        <v>14</v>
      </c>
      <c r="G348">
        <v>4</v>
      </c>
      <c r="H348">
        <v>3.1E-2</v>
      </c>
      <c r="I348" s="3">
        <v>1106</v>
      </c>
      <c r="J348" s="1">
        <v>45597</v>
      </c>
      <c r="K348" t="s">
        <v>31</v>
      </c>
      <c r="L348" t="s">
        <v>9</v>
      </c>
      <c r="M348" t="s">
        <v>39</v>
      </c>
      <c r="N348" s="1">
        <f t="shared" si="30"/>
        <v>45597</v>
      </c>
      <c r="O348" s="4">
        <f t="shared" si="31"/>
        <v>3.6719478098788443E-2</v>
      </c>
      <c r="P348">
        <f t="shared" si="32"/>
        <v>1.0602030456852793</v>
      </c>
      <c r="Q348" s="2">
        <f t="shared" si="33"/>
        <v>14.918571428571429</v>
      </c>
      <c r="R348" s="2">
        <f t="shared" si="34"/>
        <v>52.215000000000003</v>
      </c>
      <c r="S348" s="2">
        <f t="shared" si="35"/>
        <v>5.2954131954419221</v>
      </c>
    </row>
    <row r="349" spans="1:19" hidden="1">
      <c r="A349" t="s">
        <v>402</v>
      </c>
      <c r="B349" t="s">
        <v>30</v>
      </c>
      <c r="C349">
        <v>114</v>
      </c>
      <c r="D349">
        <v>5213</v>
      </c>
      <c r="E349" s="2">
        <v>224.65</v>
      </c>
      <c r="F349">
        <v>26</v>
      </c>
      <c r="G349">
        <v>4</v>
      </c>
      <c r="H349">
        <v>3.5000000000000003E-2</v>
      </c>
      <c r="I349" s="3">
        <v>1218</v>
      </c>
      <c r="J349" s="1">
        <v>45625</v>
      </c>
      <c r="K349" t="s">
        <v>31</v>
      </c>
      <c r="L349" t="s">
        <v>9</v>
      </c>
      <c r="M349" t="s">
        <v>41</v>
      </c>
      <c r="N349" s="1">
        <f t="shared" si="30"/>
        <v>45625</v>
      </c>
      <c r="O349" s="4">
        <f t="shared" si="31"/>
        <v>2.1868405908306156E-2</v>
      </c>
      <c r="P349">
        <f t="shared" si="32"/>
        <v>1.9706140350877193</v>
      </c>
      <c r="Q349" s="2">
        <f t="shared" si="33"/>
        <v>8.6403846153846153</v>
      </c>
      <c r="R349" s="2">
        <f t="shared" si="34"/>
        <v>56.162500000000001</v>
      </c>
      <c r="S349" s="2">
        <f t="shared" si="35"/>
        <v>5.4217671934119744</v>
      </c>
    </row>
    <row r="350" spans="1:19" hidden="1">
      <c r="A350" t="s">
        <v>403</v>
      </c>
      <c r="B350" t="s">
        <v>30</v>
      </c>
      <c r="C350">
        <v>117</v>
      </c>
      <c r="D350">
        <v>3951</v>
      </c>
      <c r="E350" s="2">
        <v>212.02</v>
      </c>
      <c r="F350">
        <v>16</v>
      </c>
      <c r="G350">
        <v>5</v>
      </c>
      <c r="H350">
        <v>5.1999999999999998E-2</v>
      </c>
      <c r="I350" s="3">
        <v>1949</v>
      </c>
      <c r="J350" s="1">
        <v>45606</v>
      </c>
      <c r="K350" t="s">
        <v>31</v>
      </c>
      <c r="L350" t="s">
        <v>7</v>
      </c>
      <c r="M350" t="s">
        <v>39</v>
      </c>
      <c r="N350" s="1">
        <f t="shared" si="30"/>
        <v>45606</v>
      </c>
      <c r="O350" s="4">
        <f t="shared" si="31"/>
        <v>2.9612756264236904E-2</v>
      </c>
      <c r="P350">
        <f t="shared" si="32"/>
        <v>1.8121367521367522</v>
      </c>
      <c r="Q350" s="2">
        <f t="shared" si="33"/>
        <v>13.251250000000001</v>
      </c>
      <c r="R350" s="2">
        <f t="shared" si="34"/>
        <v>42.404000000000003</v>
      </c>
      <c r="S350" s="2">
        <f t="shared" si="35"/>
        <v>9.1925290066974803</v>
      </c>
    </row>
    <row r="351" spans="1:19" hidden="1">
      <c r="A351" t="s">
        <v>404</v>
      </c>
      <c r="B351" t="s">
        <v>30</v>
      </c>
      <c r="C351">
        <v>198</v>
      </c>
      <c r="D351">
        <v>3405</v>
      </c>
      <c r="E351" s="2">
        <v>224.9</v>
      </c>
      <c r="F351">
        <v>13</v>
      </c>
      <c r="G351">
        <v>10</v>
      </c>
      <c r="H351">
        <v>5.0999999999999997E-2</v>
      </c>
      <c r="I351" s="3">
        <v>1631</v>
      </c>
      <c r="J351" s="1">
        <v>45610</v>
      </c>
      <c r="K351" t="s">
        <v>31</v>
      </c>
      <c r="L351" t="s">
        <v>9</v>
      </c>
      <c r="M351" t="s">
        <v>41</v>
      </c>
      <c r="N351" s="1">
        <f t="shared" si="30"/>
        <v>45610</v>
      </c>
      <c r="O351" s="4">
        <f t="shared" si="31"/>
        <v>5.8149779735682819E-2</v>
      </c>
      <c r="P351">
        <f t="shared" si="32"/>
        <v>1.1358585858585859</v>
      </c>
      <c r="Q351" s="2">
        <f t="shared" si="33"/>
        <v>17.3</v>
      </c>
      <c r="R351" s="2">
        <f t="shared" si="34"/>
        <v>22.490000000000002</v>
      </c>
      <c r="S351" s="2">
        <f t="shared" si="35"/>
        <v>7.2521120497999112</v>
      </c>
    </row>
    <row r="352" spans="1:19">
      <c r="A352" t="s">
        <v>405</v>
      </c>
      <c r="B352" t="s">
        <v>30</v>
      </c>
      <c r="C352">
        <v>160</v>
      </c>
      <c r="D352">
        <v>5367</v>
      </c>
      <c r="E352" s="2">
        <v>208.47</v>
      </c>
      <c r="F352">
        <v>20</v>
      </c>
      <c r="G352">
        <v>8</v>
      </c>
      <c r="H352">
        <v>4.5999999999999999E-2</v>
      </c>
      <c r="I352" s="3">
        <v>1853</v>
      </c>
      <c r="J352" s="1" t="s">
        <v>89</v>
      </c>
      <c r="K352" t="s">
        <v>31</v>
      </c>
      <c r="L352" t="s">
        <v>9</v>
      </c>
      <c r="M352" t="s">
        <v>35</v>
      </c>
      <c r="N352" s="1">
        <f t="shared" si="30"/>
        <v>45611</v>
      </c>
      <c r="O352" s="4">
        <f t="shared" si="31"/>
        <v>2.9811812930873857E-2</v>
      </c>
      <c r="P352">
        <f t="shared" si="32"/>
        <v>1.3029375000000001</v>
      </c>
      <c r="Q352" s="2">
        <f t="shared" si="33"/>
        <v>10.423500000000001</v>
      </c>
      <c r="R352" s="2">
        <f t="shared" si="34"/>
        <v>26.05875</v>
      </c>
      <c r="S352" s="2">
        <f t="shared" si="35"/>
        <v>8.8885690986712724</v>
      </c>
    </row>
    <row r="353" spans="1:19" hidden="1">
      <c r="A353" t="s">
        <v>406</v>
      </c>
      <c r="B353" t="s">
        <v>30</v>
      </c>
      <c r="C353">
        <v>137</v>
      </c>
      <c r="D353">
        <v>3602</v>
      </c>
      <c r="E353" s="2">
        <v>194.55</v>
      </c>
      <c r="F353">
        <v>23</v>
      </c>
      <c r="G353">
        <v>5</v>
      </c>
      <c r="H353">
        <v>3.5999999999999997E-2</v>
      </c>
      <c r="I353" s="3">
        <v>1580</v>
      </c>
      <c r="J353" s="1">
        <v>45598</v>
      </c>
      <c r="K353" t="s">
        <v>31</v>
      </c>
      <c r="L353" t="s">
        <v>9</v>
      </c>
      <c r="M353" t="s">
        <v>35</v>
      </c>
      <c r="N353" s="1">
        <f t="shared" si="30"/>
        <v>45598</v>
      </c>
      <c r="O353" s="4">
        <f t="shared" si="31"/>
        <v>3.8034425319267075E-2</v>
      </c>
      <c r="P353">
        <f t="shared" si="32"/>
        <v>1.4200729927007301</v>
      </c>
      <c r="Q353" s="2">
        <f t="shared" si="33"/>
        <v>8.4586956521739136</v>
      </c>
      <c r="R353" s="2">
        <f t="shared" si="34"/>
        <v>38.910000000000004</v>
      </c>
      <c r="S353" s="2">
        <f t="shared" si="35"/>
        <v>8.1213055769724996</v>
      </c>
    </row>
    <row r="354" spans="1:19">
      <c r="A354" t="s">
        <v>407</v>
      </c>
      <c r="B354" t="s">
        <v>30</v>
      </c>
      <c r="C354">
        <v>163</v>
      </c>
      <c r="D354">
        <v>3917</v>
      </c>
      <c r="E354" s="2">
        <v>209.01</v>
      </c>
      <c r="F354">
        <v>10</v>
      </c>
      <c r="G354">
        <v>3</v>
      </c>
      <c r="H354">
        <v>4.5999999999999999E-2</v>
      </c>
      <c r="I354" s="3">
        <v>1823</v>
      </c>
      <c r="J354" s="1">
        <v>45613</v>
      </c>
      <c r="K354" t="s">
        <v>31</v>
      </c>
      <c r="L354" t="s">
        <v>9</v>
      </c>
      <c r="M354" t="s">
        <v>39</v>
      </c>
      <c r="N354" s="1">
        <f t="shared" si="30"/>
        <v>45613</v>
      </c>
      <c r="O354" s="4">
        <f t="shared" si="31"/>
        <v>4.161347970385499E-2</v>
      </c>
      <c r="P354">
        <f t="shared" si="32"/>
        <v>1.2822699386503067</v>
      </c>
      <c r="Q354" s="2">
        <f t="shared" si="33"/>
        <v>20.901</v>
      </c>
      <c r="R354" s="2">
        <f t="shared" si="34"/>
        <v>69.67</v>
      </c>
      <c r="S354" s="2">
        <f t="shared" si="35"/>
        <v>8.722070714319889</v>
      </c>
    </row>
    <row r="355" spans="1:19">
      <c r="A355" t="s">
        <v>408</v>
      </c>
      <c r="B355" t="s">
        <v>30</v>
      </c>
      <c r="C355">
        <v>138</v>
      </c>
      <c r="D355">
        <v>5671</v>
      </c>
      <c r="E355" s="2">
        <v>244.12</v>
      </c>
      <c r="F355">
        <v>26</v>
      </c>
      <c r="G355">
        <v>3</v>
      </c>
      <c r="H355">
        <v>4.5999999999999999E-2</v>
      </c>
      <c r="I355" s="3">
        <v>1505</v>
      </c>
      <c r="J355" s="1" t="s">
        <v>217</v>
      </c>
      <c r="K355" t="s">
        <v>31</v>
      </c>
      <c r="L355" t="s">
        <v>9</v>
      </c>
      <c r="M355" t="s">
        <v>46</v>
      </c>
      <c r="N355" s="1">
        <f t="shared" si="30"/>
        <v>45609</v>
      </c>
      <c r="O355" s="4">
        <f t="shared" si="31"/>
        <v>2.4334332569211779E-2</v>
      </c>
      <c r="P355">
        <f t="shared" si="32"/>
        <v>1.7689855072463769</v>
      </c>
      <c r="Q355" s="2">
        <f t="shared" si="33"/>
        <v>9.3892307692307693</v>
      </c>
      <c r="R355" s="2">
        <f t="shared" si="34"/>
        <v>81.373333333333335</v>
      </c>
      <c r="S355" s="2">
        <f t="shared" si="35"/>
        <v>6.1650008192692116</v>
      </c>
    </row>
    <row r="356" spans="1:19" hidden="1">
      <c r="A356" t="s">
        <v>409</v>
      </c>
      <c r="B356" t="s">
        <v>30</v>
      </c>
      <c r="C356">
        <v>194</v>
      </c>
      <c r="D356">
        <v>5019</v>
      </c>
      <c r="E356" s="2">
        <v>227.67</v>
      </c>
      <c r="F356">
        <v>28</v>
      </c>
      <c r="G356">
        <v>7</v>
      </c>
      <c r="H356">
        <v>3.5999999999999997E-2</v>
      </c>
      <c r="I356" s="3">
        <v>1019</v>
      </c>
      <c r="J356" s="1" t="s">
        <v>73</v>
      </c>
      <c r="K356" t="s">
        <v>31</v>
      </c>
      <c r="L356" t="s">
        <v>8</v>
      </c>
      <c r="M356" t="s">
        <v>32</v>
      </c>
      <c r="N356" s="1">
        <f t="shared" si="30"/>
        <v>45618</v>
      </c>
      <c r="O356" s="4">
        <f t="shared" si="31"/>
        <v>3.8653118151026102E-2</v>
      </c>
      <c r="P356">
        <f t="shared" si="32"/>
        <v>1.1735567010309278</v>
      </c>
      <c r="Q356" s="2">
        <f t="shared" si="33"/>
        <v>8.1310714285714276</v>
      </c>
      <c r="R356" s="2">
        <f t="shared" si="34"/>
        <v>32.52428571428571</v>
      </c>
      <c r="S356" s="2">
        <f t="shared" si="35"/>
        <v>4.4757763429525195</v>
      </c>
    </row>
    <row r="357" spans="1:19" hidden="1">
      <c r="A357" t="s">
        <v>410</v>
      </c>
      <c r="B357" t="s">
        <v>30</v>
      </c>
      <c r="C357">
        <v>177</v>
      </c>
      <c r="D357">
        <v>3569</v>
      </c>
      <c r="E357" s="2">
        <v>190.31</v>
      </c>
      <c r="F357">
        <v>13</v>
      </c>
      <c r="G357">
        <v>8</v>
      </c>
      <c r="H357">
        <v>3.5000000000000003E-2</v>
      </c>
      <c r="I357" s="3">
        <v>1403</v>
      </c>
      <c r="J357" s="1">
        <v>45621</v>
      </c>
      <c r="K357" t="s">
        <v>31</v>
      </c>
      <c r="L357" t="s">
        <v>8</v>
      </c>
      <c r="M357" t="s">
        <v>41</v>
      </c>
      <c r="N357" s="1">
        <f t="shared" si="30"/>
        <v>45621</v>
      </c>
      <c r="O357" s="4">
        <f t="shared" si="31"/>
        <v>4.9593723732137857E-2</v>
      </c>
      <c r="P357">
        <f t="shared" si="32"/>
        <v>1.0751977401129944</v>
      </c>
      <c r="Q357" s="2">
        <f t="shared" si="33"/>
        <v>14.639230769230769</v>
      </c>
      <c r="R357" s="2">
        <f t="shared" si="34"/>
        <v>23.78875</v>
      </c>
      <c r="S357" s="2">
        <f t="shared" si="35"/>
        <v>7.3721822289947978</v>
      </c>
    </row>
    <row r="358" spans="1:19" hidden="1">
      <c r="A358" t="s">
        <v>411</v>
      </c>
      <c r="B358" t="s">
        <v>30</v>
      </c>
      <c r="C358">
        <v>113</v>
      </c>
      <c r="D358">
        <v>3420</v>
      </c>
      <c r="E358" s="2">
        <v>223.48</v>
      </c>
      <c r="F358">
        <v>22</v>
      </c>
      <c r="G358">
        <v>10</v>
      </c>
      <c r="H358">
        <v>5.8000000000000003E-2</v>
      </c>
      <c r="I358" s="3">
        <v>1138</v>
      </c>
      <c r="J358" s="1">
        <v>45619</v>
      </c>
      <c r="K358" t="s">
        <v>31</v>
      </c>
      <c r="L358" t="s">
        <v>8</v>
      </c>
      <c r="M358" t="s">
        <v>41</v>
      </c>
      <c r="N358" s="1">
        <f t="shared" si="30"/>
        <v>45619</v>
      </c>
      <c r="O358" s="4">
        <f t="shared" si="31"/>
        <v>3.3040935672514621E-2</v>
      </c>
      <c r="P358">
        <f t="shared" si="32"/>
        <v>1.9776991150442478</v>
      </c>
      <c r="Q358" s="2">
        <f t="shared" si="33"/>
        <v>10.158181818181818</v>
      </c>
      <c r="R358" s="2">
        <f t="shared" si="34"/>
        <v>22.347999999999999</v>
      </c>
      <c r="S358" s="2">
        <f t="shared" si="35"/>
        <v>5.092178270986218</v>
      </c>
    </row>
    <row r="359" spans="1:19" hidden="1">
      <c r="A359" t="s">
        <v>412</v>
      </c>
      <c r="B359" t="s">
        <v>30</v>
      </c>
      <c r="C359">
        <v>133</v>
      </c>
      <c r="D359">
        <v>3064</v>
      </c>
      <c r="E359" s="2">
        <v>221.8</v>
      </c>
      <c r="F359">
        <v>22</v>
      </c>
      <c r="G359">
        <v>5</v>
      </c>
      <c r="H359">
        <v>3.7999999999999999E-2</v>
      </c>
      <c r="I359" s="3">
        <v>1538</v>
      </c>
      <c r="J359" s="1">
        <v>45607</v>
      </c>
      <c r="K359" t="s">
        <v>31</v>
      </c>
      <c r="L359" t="s">
        <v>8</v>
      </c>
      <c r="M359" t="s">
        <v>32</v>
      </c>
      <c r="N359" s="1">
        <f t="shared" si="30"/>
        <v>45607</v>
      </c>
      <c r="O359" s="4">
        <f t="shared" si="31"/>
        <v>4.3407310704960837E-2</v>
      </c>
      <c r="P359">
        <f t="shared" si="32"/>
        <v>1.667669172932331</v>
      </c>
      <c r="Q359" s="2">
        <f t="shared" si="33"/>
        <v>10.081818181818182</v>
      </c>
      <c r="R359" s="2">
        <f t="shared" si="34"/>
        <v>44.36</v>
      </c>
      <c r="S359" s="2">
        <f t="shared" si="35"/>
        <v>6.9341749323715058</v>
      </c>
    </row>
    <row r="360" spans="1:19" hidden="1">
      <c r="A360" t="s">
        <v>413</v>
      </c>
      <c r="B360" t="s">
        <v>30</v>
      </c>
      <c r="C360">
        <v>118</v>
      </c>
      <c r="D360">
        <v>3730</v>
      </c>
      <c r="E360" s="2">
        <v>207.5</v>
      </c>
      <c r="F360">
        <v>25</v>
      </c>
      <c r="G360">
        <v>8</v>
      </c>
      <c r="H360">
        <v>3.9E-2</v>
      </c>
      <c r="I360" s="3">
        <v>1011</v>
      </c>
      <c r="J360" s="1">
        <v>45608</v>
      </c>
      <c r="K360" t="s">
        <v>31</v>
      </c>
      <c r="L360" t="s">
        <v>8</v>
      </c>
      <c r="M360" t="s">
        <v>39</v>
      </c>
      <c r="N360" s="1">
        <f t="shared" si="30"/>
        <v>45608</v>
      </c>
      <c r="O360" s="4">
        <f t="shared" si="31"/>
        <v>3.1635388739946382E-2</v>
      </c>
      <c r="P360">
        <f t="shared" si="32"/>
        <v>1.7584745762711864</v>
      </c>
      <c r="Q360" s="2">
        <f t="shared" si="33"/>
        <v>8.3000000000000007</v>
      </c>
      <c r="R360" s="2">
        <f t="shared" si="34"/>
        <v>25.9375</v>
      </c>
      <c r="S360" s="2">
        <f t="shared" si="35"/>
        <v>4.8722891566265059</v>
      </c>
    </row>
    <row r="361" spans="1:19" hidden="1">
      <c r="A361" t="s">
        <v>414</v>
      </c>
      <c r="B361" t="s">
        <v>30</v>
      </c>
      <c r="C361">
        <v>109</v>
      </c>
      <c r="D361">
        <v>5852</v>
      </c>
      <c r="E361" s="2">
        <v>235.44</v>
      </c>
      <c r="F361">
        <v>20</v>
      </c>
      <c r="G361">
        <v>5</v>
      </c>
      <c r="H361">
        <v>4.5999999999999999E-2</v>
      </c>
      <c r="I361" s="3">
        <v>1946</v>
      </c>
      <c r="J361" s="1" t="s">
        <v>50</v>
      </c>
      <c r="K361" t="s">
        <v>31</v>
      </c>
      <c r="L361" t="s">
        <v>7</v>
      </c>
      <c r="M361" t="s">
        <v>46</v>
      </c>
      <c r="N361" s="1">
        <f t="shared" si="30"/>
        <v>45610</v>
      </c>
      <c r="O361" s="4">
        <f t="shared" si="31"/>
        <v>1.862611073137389E-2</v>
      </c>
      <c r="P361">
        <f t="shared" si="32"/>
        <v>2.16</v>
      </c>
      <c r="Q361" s="2">
        <f t="shared" si="33"/>
        <v>11.772</v>
      </c>
      <c r="R361" s="2">
        <f t="shared" si="34"/>
        <v>47.088000000000001</v>
      </c>
      <c r="S361" s="2">
        <f t="shared" si="35"/>
        <v>8.2653754672103297</v>
      </c>
    </row>
    <row r="362" spans="1:19" hidden="1">
      <c r="A362" t="s">
        <v>415</v>
      </c>
      <c r="B362" t="s">
        <v>30</v>
      </c>
      <c r="C362">
        <v>109</v>
      </c>
      <c r="D362">
        <v>4011</v>
      </c>
      <c r="E362" s="2">
        <v>184.51</v>
      </c>
      <c r="F362">
        <v>13</v>
      </c>
      <c r="G362">
        <v>6</v>
      </c>
      <c r="H362">
        <v>5.2999999999999999E-2</v>
      </c>
      <c r="I362" s="3">
        <v>1375</v>
      </c>
      <c r="J362" s="1">
        <v>45619</v>
      </c>
      <c r="K362" t="s">
        <v>31</v>
      </c>
      <c r="L362" t="s">
        <v>7</v>
      </c>
      <c r="M362" t="s">
        <v>37</v>
      </c>
      <c r="N362" s="1">
        <f t="shared" si="30"/>
        <v>45619</v>
      </c>
      <c r="O362" s="4">
        <f t="shared" si="31"/>
        <v>2.7175268012964347E-2</v>
      </c>
      <c r="P362">
        <f t="shared" si="32"/>
        <v>1.6927522935779815</v>
      </c>
      <c r="Q362" s="2">
        <f t="shared" si="33"/>
        <v>14.193076923076923</v>
      </c>
      <c r="R362" s="2">
        <f t="shared" si="34"/>
        <v>30.751666666666665</v>
      </c>
      <c r="S362" s="2">
        <f t="shared" si="35"/>
        <v>7.4521706140588586</v>
      </c>
    </row>
    <row r="363" spans="1:19" hidden="1">
      <c r="A363" t="s">
        <v>416</v>
      </c>
      <c r="B363" t="s">
        <v>30</v>
      </c>
      <c r="C363">
        <v>128</v>
      </c>
      <c r="D363">
        <v>4636</v>
      </c>
      <c r="E363" s="2">
        <v>243.83</v>
      </c>
      <c r="F363">
        <v>20</v>
      </c>
      <c r="G363">
        <v>10</v>
      </c>
      <c r="H363">
        <v>5.8999999999999997E-2</v>
      </c>
      <c r="I363" s="3">
        <v>1941</v>
      </c>
      <c r="J363" s="1">
        <v>45333</v>
      </c>
      <c r="K363" t="s">
        <v>31</v>
      </c>
      <c r="L363" t="s">
        <v>8</v>
      </c>
      <c r="M363" t="s">
        <v>39</v>
      </c>
      <c r="N363" s="1">
        <f t="shared" si="30"/>
        <v>45333</v>
      </c>
      <c r="O363" s="4">
        <f t="shared" si="31"/>
        <v>2.7610008628127698E-2</v>
      </c>
      <c r="P363">
        <f t="shared" si="32"/>
        <v>1.9049218750000001</v>
      </c>
      <c r="Q363" s="2">
        <f t="shared" si="33"/>
        <v>12.191500000000001</v>
      </c>
      <c r="R363" s="2">
        <f t="shared" si="34"/>
        <v>24.383000000000003</v>
      </c>
      <c r="S363" s="2">
        <f t="shared" si="35"/>
        <v>7.960464257884591</v>
      </c>
    </row>
    <row r="364" spans="1:19">
      <c r="A364" t="s">
        <v>417</v>
      </c>
      <c r="B364" t="s">
        <v>30</v>
      </c>
      <c r="C364">
        <v>181</v>
      </c>
      <c r="D364">
        <v>3087</v>
      </c>
      <c r="E364" s="2">
        <v>201.29</v>
      </c>
      <c r="F364">
        <v>19</v>
      </c>
      <c r="G364">
        <v>10</v>
      </c>
      <c r="H364">
        <v>4.5999999999999999E-2</v>
      </c>
      <c r="I364" s="3">
        <v>1505</v>
      </c>
      <c r="J364" s="1" t="s">
        <v>34</v>
      </c>
      <c r="K364" t="s">
        <v>31</v>
      </c>
      <c r="L364" t="s">
        <v>8</v>
      </c>
      <c r="M364" t="s">
        <v>37</v>
      </c>
      <c r="N364" s="1">
        <f t="shared" si="30"/>
        <v>45616</v>
      </c>
      <c r="O364" s="4">
        <f t="shared" si="31"/>
        <v>5.8632977000323938E-2</v>
      </c>
      <c r="P364">
        <f t="shared" si="32"/>
        <v>1.1120994475138122</v>
      </c>
      <c r="Q364" s="2">
        <f t="shared" si="33"/>
        <v>10.59421052631579</v>
      </c>
      <c r="R364" s="2">
        <f t="shared" si="34"/>
        <v>20.128999999999998</v>
      </c>
      <c r="S364" s="2">
        <f t="shared" si="35"/>
        <v>7.476774802523722</v>
      </c>
    </row>
    <row r="365" spans="1:19" hidden="1">
      <c r="A365" t="s">
        <v>418</v>
      </c>
      <c r="B365" t="s">
        <v>30</v>
      </c>
      <c r="C365">
        <v>89</v>
      </c>
      <c r="D365">
        <v>5872</v>
      </c>
      <c r="E365" s="2">
        <v>198.32</v>
      </c>
      <c r="F365">
        <v>14</v>
      </c>
      <c r="G365">
        <v>6</v>
      </c>
      <c r="H365">
        <v>6.7000000000000004E-2</v>
      </c>
      <c r="I365" s="3">
        <v>1553</v>
      </c>
      <c r="J365" s="1">
        <v>45616</v>
      </c>
      <c r="K365" t="s">
        <v>31</v>
      </c>
      <c r="L365" t="s">
        <v>8</v>
      </c>
      <c r="M365" t="s">
        <v>41</v>
      </c>
      <c r="N365" s="1">
        <f t="shared" si="30"/>
        <v>45616</v>
      </c>
      <c r="O365" s="4">
        <f t="shared" si="31"/>
        <v>1.5156675749318801E-2</v>
      </c>
      <c r="P365">
        <f t="shared" si="32"/>
        <v>2.2283146067415731</v>
      </c>
      <c r="Q365" s="2">
        <f t="shared" si="33"/>
        <v>14.165714285714285</v>
      </c>
      <c r="R365" s="2">
        <f t="shared" si="34"/>
        <v>33.053333333333335</v>
      </c>
      <c r="S365" s="2">
        <f t="shared" si="35"/>
        <v>7.8307785397337639</v>
      </c>
    </row>
    <row r="366" spans="1:19" hidden="1">
      <c r="A366" t="s">
        <v>419</v>
      </c>
      <c r="B366" t="s">
        <v>30</v>
      </c>
      <c r="C366">
        <v>157</v>
      </c>
      <c r="D366">
        <v>5762</v>
      </c>
      <c r="E366" s="2">
        <v>248.1</v>
      </c>
      <c r="F366">
        <v>26</v>
      </c>
      <c r="G366">
        <v>4</v>
      </c>
      <c r="H366">
        <v>2.5000000000000001E-2</v>
      </c>
      <c r="I366" s="3">
        <v>1999</v>
      </c>
      <c r="J366" s="1">
        <v>45601</v>
      </c>
      <c r="K366" t="s">
        <v>31</v>
      </c>
      <c r="L366" t="s">
        <v>9</v>
      </c>
      <c r="M366" t="s">
        <v>37</v>
      </c>
      <c r="N366" s="1">
        <f t="shared" si="30"/>
        <v>45601</v>
      </c>
      <c r="O366" s="4">
        <f t="shared" si="31"/>
        <v>2.7247483512669212E-2</v>
      </c>
      <c r="P366">
        <f t="shared" si="32"/>
        <v>1.5802547770700637</v>
      </c>
      <c r="Q366" s="2">
        <f t="shared" si="33"/>
        <v>9.5423076923076913</v>
      </c>
      <c r="R366" s="2">
        <f t="shared" si="34"/>
        <v>62.024999999999999</v>
      </c>
      <c r="S366" s="2">
        <f t="shared" si="35"/>
        <v>8.0572349858927854</v>
      </c>
    </row>
    <row r="367" spans="1:19" hidden="1">
      <c r="A367" t="s">
        <v>420</v>
      </c>
      <c r="B367" t="s">
        <v>30</v>
      </c>
      <c r="C367">
        <v>88</v>
      </c>
      <c r="D367">
        <v>3396</v>
      </c>
      <c r="E367" s="2">
        <v>193.79</v>
      </c>
      <c r="F367">
        <v>19</v>
      </c>
      <c r="G367">
        <v>5</v>
      </c>
      <c r="H367">
        <v>5.7000000000000002E-2</v>
      </c>
      <c r="I367" s="3">
        <v>1860</v>
      </c>
      <c r="J367" s="1">
        <v>45614</v>
      </c>
      <c r="K367" t="s">
        <v>31</v>
      </c>
      <c r="L367" t="s">
        <v>8</v>
      </c>
      <c r="M367" t="s">
        <v>41</v>
      </c>
      <c r="N367" s="1">
        <f t="shared" si="30"/>
        <v>45614</v>
      </c>
      <c r="O367" s="4">
        <f t="shared" si="31"/>
        <v>2.591283863368669E-2</v>
      </c>
      <c r="P367">
        <f t="shared" si="32"/>
        <v>2.2021590909090909</v>
      </c>
      <c r="Q367" s="2">
        <f t="shared" si="33"/>
        <v>10.199473684210526</v>
      </c>
      <c r="R367" s="2">
        <f t="shared" si="34"/>
        <v>38.757999999999996</v>
      </c>
      <c r="S367" s="2">
        <f t="shared" si="35"/>
        <v>9.5980184736054497</v>
      </c>
    </row>
    <row r="368" spans="1:19" hidden="1">
      <c r="A368" t="s">
        <v>421</v>
      </c>
      <c r="B368" t="s">
        <v>30</v>
      </c>
      <c r="C368">
        <v>130</v>
      </c>
      <c r="D368">
        <v>3092</v>
      </c>
      <c r="E368" s="2">
        <v>211.39</v>
      </c>
      <c r="F368">
        <v>28</v>
      </c>
      <c r="G368">
        <v>7</v>
      </c>
      <c r="H368">
        <v>5.3999999999999999E-2</v>
      </c>
      <c r="I368" s="3">
        <v>1031</v>
      </c>
      <c r="J368" s="1">
        <v>45620</v>
      </c>
      <c r="K368" t="s">
        <v>31</v>
      </c>
      <c r="L368" t="s">
        <v>9</v>
      </c>
      <c r="M368" t="s">
        <v>35</v>
      </c>
      <c r="N368" s="1">
        <f t="shared" si="30"/>
        <v>45620</v>
      </c>
      <c r="O368" s="4">
        <f t="shared" si="31"/>
        <v>4.2043984476067268E-2</v>
      </c>
      <c r="P368">
        <f t="shared" si="32"/>
        <v>1.626076923076923</v>
      </c>
      <c r="Q368" s="2">
        <f t="shared" si="33"/>
        <v>7.5496428571428567</v>
      </c>
      <c r="R368" s="2">
        <f t="shared" si="34"/>
        <v>30.198571428571427</v>
      </c>
      <c r="S368" s="2">
        <f t="shared" si="35"/>
        <v>4.8772411183121251</v>
      </c>
    </row>
    <row r="369" spans="1:19">
      <c r="A369" t="s">
        <v>422</v>
      </c>
      <c r="B369" t="s">
        <v>30</v>
      </c>
      <c r="C369">
        <v>194</v>
      </c>
      <c r="D369">
        <v>4240</v>
      </c>
      <c r="E369" s="2">
        <v>213.45</v>
      </c>
      <c r="F369">
        <v>18</v>
      </c>
      <c r="G369">
        <v>4</v>
      </c>
      <c r="H369">
        <v>4.5999999999999999E-2</v>
      </c>
      <c r="I369" s="3">
        <v>1890</v>
      </c>
      <c r="J369" s="1">
        <v>45619</v>
      </c>
      <c r="K369" t="s">
        <v>31</v>
      </c>
      <c r="L369" t="s">
        <v>9</v>
      </c>
      <c r="M369" t="s">
        <v>37</v>
      </c>
      <c r="N369" s="1">
        <f t="shared" si="30"/>
        <v>45619</v>
      </c>
      <c r="O369" s="4">
        <f t="shared" si="31"/>
        <v>4.5754716981132072E-2</v>
      </c>
      <c r="P369">
        <f t="shared" si="32"/>
        <v>1.1002577319587628</v>
      </c>
      <c r="Q369" s="2">
        <f t="shared" si="33"/>
        <v>11.858333333333333</v>
      </c>
      <c r="R369" s="2">
        <f t="shared" si="34"/>
        <v>53.362499999999997</v>
      </c>
      <c r="S369" s="2">
        <f t="shared" si="35"/>
        <v>8.854532677442025</v>
      </c>
    </row>
    <row r="370" spans="1:19">
      <c r="A370" t="s">
        <v>423</v>
      </c>
      <c r="B370" t="s">
        <v>30</v>
      </c>
      <c r="C370">
        <v>180</v>
      </c>
      <c r="D370">
        <v>4297</v>
      </c>
      <c r="E370" s="2">
        <v>200.04</v>
      </c>
      <c r="F370">
        <v>24</v>
      </c>
      <c r="G370">
        <v>5</v>
      </c>
      <c r="H370">
        <v>4.5999999999999999E-2</v>
      </c>
      <c r="I370" s="3">
        <v>1050</v>
      </c>
      <c r="J370" s="1">
        <v>45614</v>
      </c>
      <c r="K370" t="s">
        <v>31</v>
      </c>
      <c r="L370" t="s">
        <v>8</v>
      </c>
      <c r="M370" t="s">
        <v>35</v>
      </c>
      <c r="N370" s="1">
        <f t="shared" si="30"/>
        <v>45614</v>
      </c>
      <c r="O370" s="4">
        <f t="shared" si="31"/>
        <v>4.188969048173144E-2</v>
      </c>
      <c r="P370">
        <f t="shared" si="32"/>
        <v>1.1113333333333333</v>
      </c>
      <c r="Q370" s="2">
        <f t="shared" si="33"/>
        <v>8.3349999999999991</v>
      </c>
      <c r="R370" s="2">
        <f t="shared" si="34"/>
        <v>40.007999999999996</v>
      </c>
      <c r="S370" s="2">
        <f t="shared" si="35"/>
        <v>5.248950209958009</v>
      </c>
    </row>
    <row r="371" spans="1:19">
      <c r="A371" t="s">
        <v>424</v>
      </c>
      <c r="B371" t="s">
        <v>30</v>
      </c>
      <c r="C371">
        <v>139</v>
      </c>
      <c r="D371">
        <v>5518</v>
      </c>
      <c r="E371" s="2">
        <v>243.83</v>
      </c>
      <c r="F371">
        <v>15</v>
      </c>
      <c r="G371">
        <v>10</v>
      </c>
      <c r="H371">
        <v>4.5999999999999999E-2</v>
      </c>
      <c r="I371" s="3">
        <v>1862</v>
      </c>
      <c r="J371" s="1">
        <v>45618</v>
      </c>
      <c r="K371" t="s">
        <v>31</v>
      </c>
      <c r="L371" t="s">
        <v>8</v>
      </c>
      <c r="M371" t="s">
        <v>37</v>
      </c>
      <c r="N371" s="1">
        <f t="shared" si="30"/>
        <v>45618</v>
      </c>
      <c r="O371" s="4">
        <f t="shared" si="31"/>
        <v>2.519028633562885E-2</v>
      </c>
      <c r="P371">
        <f t="shared" si="32"/>
        <v>1.7541726618705036</v>
      </c>
      <c r="Q371" s="2">
        <f t="shared" si="33"/>
        <v>16.255333333333333</v>
      </c>
      <c r="R371" s="2">
        <f t="shared" si="34"/>
        <v>24.383000000000003</v>
      </c>
      <c r="S371" s="2">
        <f t="shared" si="35"/>
        <v>7.636468031005208</v>
      </c>
    </row>
    <row r="372" spans="1:19">
      <c r="A372" t="s">
        <v>425</v>
      </c>
      <c r="B372" t="s">
        <v>30</v>
      </c>
      <c r="C372">
        <v>139</v>
      </c>
      <c r="D372">
        <v>5039</v>
      </c>
      <c r="E372" s="2">
        <v>235.44</v>
      </c>
      <c r="F372">
        <v>24</v>
      </c>
      <c r="G372">
        <v>7</v>
      </c>
      <c r="H372">
        <v>4.5999999999999999E-2</v>
      </c>
      <c r="I372" s="3">
        <v>1839</v>
      </c>
      <c r="J372" s="1">
        <v>45604</v>
      </c>
      <c r="K372" t="s">
        <v>31</v>
      </c>
      <c r="L372" t="s">
        <v>7</v>
      </c>
      <c r="M372" t="s">
        <v>37</v>
      </c>
      <c r="N372" s="1">
        <f t="shared" si="30"/>
        <v>45604</v>
      </c>
      <c r="O372" s="4">
        <f t="shared" si="31"/>
        <v>2.7584838261559833E-2</v>
      </c>
      <c r="P372">
        <f t="shared" si="32"/>
        <v>1.6938129496402878</v>
      </c>
      <c r="Q372" s="2">
        <f t="shared" si="33"/>
        <v>9.81</v>
      </c>
      <c r="R372" s="2">
        <f t="shared" si="34"/>
        <v>33.634285714285717</v>
      </c>
      <c r="S372" s="2">
        <f t="shared" si="35"/>
        <v>7.8109072375127422</v>
      </c>
    </row>
    <row r="373" spans="1:19">
      <c r="A373" t="s">
        <v>426</v>
      </c>
      <c r="B373" t="s">
        <v>30</v>
      </c>
      <c r="C373">
        <v>139</v>
      </c>
      <c r="D373">
        <v>3596</v>
      </c>
      <c r="E373" s="2">
        <v>210.31</v>
      </c>
      <c r="F373">
        <v>23</v>
      </c>
      <c r="G373">
        <v>9</v>
      </c>
      <c r="H373">
        <v>4.5999999999999999E-2</v>
      </c>
      <c r="I373" s="3">
        <v>1269</v>
      </c>
      <c r="J373" s="1">
        <v>45597</v>
      </c>
      <c r="K373" t="s">
        <v>31</v>
      </c>
      <c r="L373" t="s">
        <v>9</v>
      </c>
      <c r="M373" t="s">
        <v>41</v>
      </c>
      <c r="N373" s="1">
        <f t="shared" si="30"/>
        <v>45597</v>
      </c>
      <c r="O373" s="4">
        <f t="shared" si="31"/>
        <v>3.8654060066740825E-2</v>
      </c>
      <c r="P373">
        <f t="shared" si="32"/>
        <v>1.5130215827338129</v>
      </c>
      <c r="Q373" s="2">
        <f t="shared" si="33"/>
        <v>9.1439130434782605</v>
      </c>
      <c r="R373" s="2">
        <f t="shared" si="34"/>
        <v>23.367777777777778</v>
      </c>
      <c r="S373" s="2">
        <f t="shared" si="35"/>
        <v>6.0339498835053016</v>
      </c>
    </row>
    <row r="374" spans="1:19" hidden="1">
      <c r="A374" t="s">
        <v>427</v>
      </c>
      <c r="B374" t="s">
        <v>30</v>
      </c>
      <c r="C374">
        <v>118</v>
      </c>
      <c r="D374">
        <v>4845</v>
      </c>
      <c r="E374" s="2">
        <v>190.25</v>
      </c>
      <c r="F374">
        <v>11</v>
      </c>
      <c r="G374">
        <v>3</v>
      </c>
      <c r="H374">
        <v>4.5999999999999999E-2</v>
      </c>
      <c r="I374" s="3">
        <v>1446</v>
      </c>
      <c r="J374" s="1">
        <v>45614</v>
      </c>
      <c r="K374" t="s">
        <v>31</v>
      </c>
      <c r="L374" t="s">
        <v>7</v>
      </c>
      <c r="M374" t="s">
        <v>46</v>
      </c>
      <c r="N374" s="1">
        <f t="shared" si="30"/>
        <v>45614</v>
      </c>
      <c r="O374" s="4">
        <f t="shared" si="31"/>
        <v>2.4355005159958719E-2</v>
      </c>
      <c r="P374">
        <f t="shared" si="32"/>
        <v>1.6122881355932204</v>
      </c>
      <c r="Q374" s="2">
        <f t="shared" si="33"/>
        <v>17.295454545454547</v>
      </c>
      <c r="R374" s="2">
        <f t="shared" si="34"/>
        <v>63.416666666666664</v>
      </c>
      <c r="S374" s="2">
        <f t="shared" si="35"/>
        <v>7.6005256241787125</v>
      </c>
    </row>
    <row r="375" spans="1:19">
      <c r="A375" t="s">
        <v>428</v>
      </c>
      <c r="B375" t="s">
        <v>30</v>
      </c>
      <c r="C375">
        <v>101</v>
      </c>
      <c r="D375">
        <v>4883</v>
      </c>
      <c r="E375" s="2">
        <v>237.89</v>
      </c>
      <c r="F375">
        <v>11</v>
      </c>
      <c r="G375">
        <v>6</v>
      </c>
      <c r="H375">
        <v>4.5999999999999999E-2</v>
      </c>
      <c r="I375" s="3">
        <v>1368</v>
      </c>
      <c r="J375" s="1">
        <v>45610</v>
      </c>
      <c r="K375" t="s">
        <v>31</v>
      </c>
      <c r="L375" t="s">
        <v>7</v>
      </c>
      <c r="M375" t="s">
        <v>46</v>
      </c>
      <c r="N375" s="1">
        <f t="shared" si="30"/>
        <v>45610</v>
      </c>
      <c r="O375" s="4">
        <f t="shared" si="31"/>
        <v>2.0684005734179809E-2</v>
      </c>
      <c r="P375">
        <f t="shared" si="32"/>
        <v>2.355346534653465</v>
      </c>
      <c r="Q375" s="2">
        <f t="shared" si="33"/>
        <v>21.626363636363635</v>
      </c>
      <c r="R375" s="2">
        <f t="shared" si="34"/>
        <v>39.648333333333333</v>
      </c>
      <c r="S375" s="2">
        <f t="shared" si="35"/>
        <v>5.750556980116861</v>
      </c>
    </row>
    <row r="376" spans="1:19" hidden="1">
      <c r="A376" t="s">
        <v>429</v>
      </c>
      <c r="B376" t="s">
        <v>30</v>
      </c>
      <c r="C376">
        <v>120</v>
      </c>
      <c r="D376">
        <v>4618</v>
      </c>
      <c r="E376" s="2">
        <v>200.91</v>
      </c>
      <c r="F376">
        <v>18</v>
      </c>
      <c r="G376">
        <v>7</v>
      </c>
      <c r="H376">
        <v>5.8000000000000003E-2</v>
      </c>
      <c r="I376" s="3">
        <v>1775</v>
      </c>
      <c r="J376" s="1">
        <v>45598</v>
      </c>
      <c r="K376" t="s">
        <v>31</v>
      </c>
      <c r="L376" t="s">
        <v>9</v>
      </c>
      <c r="M376" t="s">
        <v>37</v>
      </c>
      <c r="N376" s="1">
        <f t="shared" si="30"/>
        <v>45598</v>
      </c>
      <c r="O376" s="4">
        <f t="shared" si="31"/>
        <v>2.5985275010827199E-2</v>
      </c>
      <c r="P376">
        <f t="shared" si="32"/>
        <v>1.67425</v>
      </c>
      <c r="Q376" s="2">
        <f t="shared" si="33"/>
        <v>11.161666666666667</v>
      </c>
      <c r="R376" s="2">
        <f t="shared" si="34"/>
        <v>28.701428571428572</v>
      </c>
      <c r="S376" s="2">
        <f t="shared" si="35"/>
        <v>8.834801652481211</v>
      </c>
    </row>
    <row r="377" spans="1:19" hidden="1">
      <c r="A377" t="s">
        <v>430</v>
      </c>
      <c r="B377" t="s">
        <v>30</v>
      </c>
      <c r="C377">
        <v>194</v>
      </c>
      <c r="D377">
        <v>3941</v>
      </c>
      <c r="E377" s="2">
        <v>240.35</v>
      </c>
      <c r="F377">
        <v>27</v>
      </c>
      <c r="G377">
        <v>10</v>
      </c>
      <c r="H377">
        <v>5.1999999999999998E-2</v>
      </c>
      <c r="I377" s="3">
        <v>1373</v>
      </c>
      <c r="J377" s="1">
        <v>45607</v>
      </c>
      <c r="K377" t="s">
        <v>31</v>
      </c>
      <c r="L377" t="s">
        <v>7</v>
      </c>
      <c r="M377" t="s">
        <v>35</v>
      </c>
      <c r="N377" s="1">
        <f t="shared" si="30"/>
        <v>45607</v>
      </c>
      <c r="O377" s="4">
        <f t="shared" si="31"/>
        <v>4.9226084750063438E-2</v>
      </c>
      <c r="P377">
        <f t="shared" si="32"/>
        <v>1.2389175257731959</v>
      </c>
      <c r="Q377" s="2">
        <f t="shared" si="33"/>
        <v>8.9018518518518519</v>
      </c>
      <c r="R377" s="2">
        <f t="shared" si="34"/>
        <v>24.035</v>
      </c>
      <c r="S377" s="2">
        <f t="shared" si="35"/>
        <v>5.7125026003744539</v>
      </c>
    </row>
    <row r="378" spans="1:19" hidden="1">
      <c r="A378" t="s">
        <v>431</v>
      </c>
      <c r="B378" t="s">
        <v>30</v>
      </c>
      <c r="C378">
        <v>135</v>
      </c>
      <c r="D378">
        <v>5096</v>
      </c>
      <c r="E378" s="2">
        <v>230.32</v>
      </c>
      <c r="F378">
        <v>14</v>
      </c>
      <c r="G378">
        <v>4</v>
      </c>
      <c r="H378">
        <v>0.03</v>
      </c>
      <c r="I378" s="3">
        <v>1478</v>
      </c>
      <c r="J378" s="1">
        <v>45614</v>
      </c>
      <c r="K378" t="s">
        <v>31</v>
      </c>
      <c r="L378" t="s">
        <v>8</v>
      </c>
      <c r="M378" t="s">
        <v>39</v>
      </c>
      <c r="N378" s="1">
        <f t="shared" si="30"/>
        <v>45614</v>
      </c>
      <c r="O378" s="4">
        <f t="shared" si="31"/>
        <v>2.6491365777080063E-2</v>
      </c>
      <c r="P378">
        <f t="shared" si="32"/>
        <v>1.7060740740740741</v>
      </c>
      <c r="Q378" s="2">
        <f t="shared" si="33"/>
        <v>16.451428571428572</v>
      </c>
      <c r="R378" s="2">
        <f t="shared" si="34"/>
        <v>57.58</v>
      </c>
      <c r="S378" s="2">
        <f t="shared" si="35"/>
        <v>6.4171587356721087</v>
      </c>
    </row>
    <row r="379" spans="1:19" hidden="1">
      <c r="A379" t="s">
        <v>432</v>
      </c>
      <c r="B379" t="s">
        <v>30</v>
      </c>
      <c r="C379">
        <v>190</v>
      </c>
      <c r="D379">
        <v>5537</v>
      </c>
      <c r="E379" s="2">
        <v>188.98</v>
      </c>
      <c r="F379">
        <v>20</v>
      </c>
      <c r="G379">
        <v>4</v>
      </c>
      <c r="H379">
        <v>2.1000000000000001E-2</v>
      </c>
      <c r="I379" s="3">
        <v>1989</v>
      </c>
      <c r="J379" s="1">
        <v>45600</v>
      </c>
      <c r="K379" t="s">
        <v>31</v>
      </c>
      <c r="L379" t="s">
        <v>9</v>
      </c>
      <c r="M379" t="s">
        <v>32</v>
      </c>
      <c r="N379" s="1">
        <f t="shared" si="30"/>
        <v>45600</v>
      </c>
      <c r="O379" s="4">
        <f t="shared" si="31"/>
        <v>3.431461080007224E-2</v>
      </c>
      <c r="P379">
        <f t="shared" si="32"/>
        <v>0.99463157894736842</v>
      </c>
      <c r="Q379" s="2">
        <f t="shared" si="33"/>
        <v>9.4489999999999998</v>
      </c>
      <c r="R379" s="2">
        <f t="shared" si="34"/>
        <v>47.244999999999997</v>
      </c>
      <c r="S379" s="2">
        <f t="shared" si="35"/>
        <v>10.524923272303948</v>
      </c>
    </row>
    <row r="380" spans="1:19" hidden="1">
      <c r="A380" t="s">
        <v>433</v>
      </c>
      <c r="B380" t="s">
        <v>30</v>
      </c>
      <c r="C380">
        <v>198</v>
      </c>
      <c r="D380">
        <v>4208</v>
      </c>
      <c r="E380" s="2">
        <v>180.06</v>
      </c>
      <c r="F380">
        <v>19</v>
      </c>
      <c r="G380">
        <v>8</v>
      </c>
      <c r="H380">
        <v>0.04</v>
      </c>
      <c r="I380" s="3">
        <v>1462</v>
      </c>
      <c r="J380" s="1">
        <v>45604</v>
      </c>
      <c r="K380" t="s">
        <v>31</v>
      </c>
      <c r="L380" t="s">
        <v>8</v>
      </c>
      <c r="M380" t="s">
        <v>39</v>
      </c>
      <c r="N380" s="1">
        <f t="shared" si="30"/>
        <v>45604</v>
      </c>
      <c r="O380" s="4">
        <f t="shared" si="31"/>
        <v>4.7053231939163498E-2</v>
      </c>
      <c r="P380">
        <f t="shared" si="32"/>
        <v>0.90939393939393942</v>
      </c>
      <c r="Q380" s="2">
        <f t="shared" si="33"/>
        <v>9.4768421052631577</v>
      </c>
      <c r="R380" s="2">
        <f t="shared" si="34"/>
        <v>22.5075</v>
      </c>
      <c r="S380" s="2">
        <f t="shared" si="35"/>
        <v>8.1195157169832282</v>
      </c>
    </row>
    <row r="381" spans="1:19" hidden="1">
      <c r="A381" t="s">
        <v>434</v>
      </c>
      <c r="B381" t="s">
        <v>30</v>
      </c>
      <c r="C381">
        <v>87</v>
      </c>
      <c r="D381">
        <v>5358</v>
      </c>
      <c r="E381" s="2">
        <v>236.57</v>
      </c>
      <c r="F381">
        <v>19</v>
      </c>
      <c r="G381">
        <v>5</v>
      </c>
      <c r="H381">
        <v>5.7000000000000002E-2</v>
      </c>
      <c r="I381" s="3">
        <v>1141</v>
      </c>
      <c r="J381" s="1">
        <v>45598</v>
      </c>
      <c r="K381" t="s">
        <v>31</v>
      </c>
      <c r="L381" t="s">
        <v>9</v>
      </c>
      <c r="M381" t="s">
        <v>32</v>
      </c>
      <c r="N381" s="1">
        <f t="shared" si="30"/>
        <v>45598</v>
      </c>
      <c r="O381" s="4">
        <f t="shared" si="31"/>
        <v>1.6237402015677492E-2</v>
      </c>
      <c r="P381">
        <f t="shared" si="32"/>
        <v>2.7191954022988507</v>
      </c>
      <c r="Q381" s="2">
        <f t="shared" si="33"/>
        <v>12.451052631578946</v>
      </c>
      <c r="R381" s="2">
        <f t="shared" si="34"/>
        <v>47.314</v>
      </c>
      <c r="S381" s="2">
        <f t="shared" si="35"/>
        <v>4.8230967578306636</v>
      </c>
    </row>
    <row r="382" spans="1:19" hidden="1">
      <c r="A382" t="s">
        <v>435</v>
      </c>
      <c r="B382" t="s">
        <v>30</v>
      </c>
      <c r="C382">
        <v>106</v>
      </c>
      <c r="D382">
        <v>5583</v>
      </c>
      <c r="E382" s="2">
        <v>218.81</v>
      </c>
      <c r="F382">
        <v>13</v>
      </c>
      <c r="G382">
        <v>3</v>
      </c>
      <c r="H382">
        <v>2.8000000000000001E-2</v>
      </c>
      <c r="I382" s="3">
        <v>1049</v>
      </c>
      <c r="J382" s="1" t="s">
        <v>89</v>
      </c>
      <c r="K382" t="s">
        <v>31</v>
      </c>
      <c r="L382" t="s">
        <v>7</v>
      </c>
      <c r="M382" t="s">
        <v>35</v>
      </c>
      <c r="N382" s="1">
        <f t="shared" si="30"/>
        <v>45611</v>
      </c>
      <c r="O382" s="4">
        <f t="shared" si="31"/>
        <v>1.8986208131828768E-2</v>
      </c>
      <c r="P382">
        <f t="shared" si="32"/>
        <v>2.064245283018868</v>
      </c>
      <c r="Q382" s="2">
        <f t="shared" si="33"/>
        <v>16.831538461538461</v>
      </c>
      <c r="R382" s="2">
        <f t="shared" si="34"/>
        <v>72.936666666666667</v>
      </c>
      <c r="S382" s="2">
        <f t="shared" si="35"/>
        <v>4.7941136145514376</v>
      </c>
    </row>
    <row r="383" spans="1:19" hidden="1">
      <c r="A383" t="s">
        <v>436</v>
      </c>
      <c r="B383" t="s">
        <v>30</v>
      </c>
      <c r="C383">
        <v>169</v>
      </c>
      <c r="D383">
        <v>3069</v>
      </c>
      <c r="E383" s="2">
        <v>227.7</v>
      </c>
      <c r="F383">
        <v>12</v>
      </c>
      <c r="G383">
        <v>5</v>
      </c>
      <c r="H383">
        <v>0.03</v>
      </c>
      <c r="I383" s="3">
        <v>1063</v>
      </c>
      <c r="J383" s="1" t="s">
        <v>357</v>
      </c>
      <c r="K383" t="s">
        <v>31</v>
      </c>
      <c r="L383" t="s">
        <v>8</v>
      </c>
      <c r="M383" t="s">
        <v>35</v>
      </c>
      <c r="N383" s="1">
        <f t="shared" si="30"/>
        <v>45624</v>
      </c>
      <c r="O383" s="4">
        <f t="shared" si="31"/>
        <v>5.5066797002280871E-2</v>
      </c>
      <c r="P383">
        <f t="shared" si="32"/>
        <v>1.3473372781065087</v>
      </c>
      <c r="Q383" s="2">
        <f t="shared" si="33"/>
        <v>18.974999999999998</v>
      </c>
      <c r="R383" s="2">
        <f t="shared" si="34"/>
        <v>45.54</v>
      </c>
      <c r="S383" s="2">
        <f t="shared" si="35"/>
        <v>4.6684233640755384</v>
      </c>
    </row>
    <row r="384" spans="1:19">
      <c r="A384" t="s">
        <v>437</v>
      </c>
      <c r="B384" t="s">
        <v>30</v>
      </c>
      <c r="C384">
        <v>195</v>
      </c>
      <c r="D384">
        <v>3738</v>
      </c>
      <c r="E384" s="2">
        <v>202.08</v>
      </c>
      <c r="F384">
        <v>18</v>
      </c>
      <c r="G384">
        <v>7</v>
      </c>
      <c r="H384">
        <v>4.5999999999999999E-2</v>
      </c>
      <c r="I384" s="3">
        <v>1647</v>
      </c>
      <c r="J384" s="1">
        <v>45612</v>
      </c>
      <c r="K384" t="s">
        <v>31</v>
      </c>
      <c r="L384" t="s">
        <v>9</v>
      </c>
      <c r="M384" t="s">
        <v>41</v>
      </c>
      <c r="N384" s="1">
        <f t="shared" si="30"/>
        <v>45612</v>
      </c>
      <c r="O384" s="4">
        <f t="shared" si="31"/>
        <v>5.21669341894061E-2</v>
      </c>
      <c r="P384">
        <f t="shared" si="32"/>
        <v>1.0363076923076924</v>
      </c>
      <c r="Q384" s="2">
        <f t="shared" si="33"/>
        <v>11.226666666666667</v>
      </c>
      <c r="R384" s="2">
        <f t="shared" si="34"/>
        <v>28.868571428571432</v>
      </c>
      <c r="S384" s="2">
        <f t="shared" si="35"/>
        <v>8.1502375296912106</v>
      </c>
    </row>
    <row r="385" spans="1:19" hidden="1">
      <c r="A385" t="s">
        <v>438</v>
      </c>
      <c r="B385" t="s">
        <v>30</v>
      </c>
      <c r="C385">
        <v>161</v>
      </c>
      <c r="D385">
        <v>4852</v>
      </c>
      <c r="E385" s="2">
        <v>235.1</v>
      </c>
      <c r="F385">
        <v>10</v>
      </c>
      <c r="G385">
        <v>8</v>
      </c>
      <c r="H385">
        <v>0.05</v>
      </c>
      <c r="I385" s="3">
        <v>1738</v>
      </c>
      <c r="J385" s="1">
        <v>45620</v>
      </c>
      <c r="K385" t="s">
        <v>31</v>
      </c>
      <c r="L385" t="s">
        <v>7</v>
      </c>
      <c r="M385" t="s">
        <v>41</v>
      </c>
      <c r="N385" s="1">
        <f t="shared" si="30"/>
        <v>45620</v>
      </c>
      <c r="O385" s="4">
        <f t="shared" si="31"/>
        <v>3.318219291014015E-2</v>
      </c>
      <c r="P385">
        <f t="shared" si="32"/>
        <v>1.4602484472049688</v>
      </c>
      <c r="Q385" s="2">
        <f t="shared" si="33"/>
        <v>23.509999999999998</v>
      </c>
      <c r="R385" s="2">
        <f t="shared" si="34"/>
        <v>29.387499999999999</v>
      </c>
      <c r="S385" s="2">
        <f t="shared" si="35"/>
        <v>7.3925988940876222</v>
      </c>
    </row>
    <row r="386" spans="1:19" hidden="1">
      <c r="A386" t="s">
        <v>439</v>
      </c>
      <c r="B386" t="s">
        <v>30</v>
      </c>
      <c r="C386">
        <v>195</v>
      </c>
      <c r="D386">
        <v>5120</v>
      </c>
      <c r="E386" s="2">
        <v>249.6</v>
      </c>
      <c r="F386">
        <v>26</v>
      </c>
      <c r="G386">
        <v>3</v>
      </c>
      <c r="H386">
        <v>1.4999999999999999E-2</v>
      </c>
      <c r="I386" s="3">
        <v>1571</v>
      </c>
      <c r="J386" s="1">
        <v>45600</v>
      </c>
      <c r="K386" t="s">
        <v>31</v>
      </c>
      <c r="L386" t="s">
        <v>8</v>
      </c>
      <c r="M386" t="s">
        <v>39</v>
      </c>
      <c r="N386" s="1">
        <f t="shared" ref="N386:N449" si="36">IF(A386="","",IF(ISNUMBER(J386),J386,IF(MID(J386,5,1)="-",DATE(LEFT(J386,4),MID(J386,6,2),RIGHT(J386,2)),IF(MID(J386,5,1)="/",DATE(LEFT(J386,4),MID(J386,6,2),RIGHT(J386,2)),DATE(RIGHT(J386,4),MID(J386,4,2),LEFT(J386,2))))))</f>
        <v>45600</v>
      </c>
      <c r="O386" s="4">
        <f t="shared" ref="O386:O449" si="37">IFERROR(C386/D386,0)</f>
        <v>3.80859375E-2</v>
      </c>
      <c r="P386">
        <f t="shared" ref="P386:P449" si="38">IFERROR(E386/C386,0)</f>
        <v>1.28</v>
      </c>
      <c r="Q386" s="2">
        <f t="shared" ref="Q386:Q449" si="39">IFERROR(E386/F386,0)</f>
        <v>9.6</v>
      </c>
      <c r="R386" s="2">
        <f t="shared" ref="R386:R449" si="40">IFERROR(E386/G386,0)</f>
        <v>83.2</v>
      </c>
      <c r="S386" s="2">
        <f t="shared" ref="S386:S449" si="41">IFERROR(I386/E386,0)</f>
        <v>6.2940705128205128</v>
      </c>
    </row>
    <row r="387" spans="1:19" hidden="1">
      <c r="A387" t="s">
        <v>440</v>
      </c>
      <c r="B387" t="s">
        <v>30</v>
      </c>
      <c r="C387">
        <v>111</v>
      </c>
      <c r="D387">
        <v>3550</v>
      </c>
      <c r="E387" s="2">
        <v>231.81</v>
      </c>
      <c r="F387">
        <v>10</v>
      </c>
      <c r="G387">
        <v>9</v>
      </c>
      <c r="H387">
        <v>8.1000000000000003E-2</v>
      </c>
      <c r="I387" s="3">
        <v>1462</v>
      </c>
      <c r="J387" s="1">
        <v>45622</v>
      </c>
      <c r="K387" t="s">
        <v>31</v>
      </c>
      <c r="L387" t="s">
        <v>8</v>
      </c>
      <c r="M387" t="s">
        <v>39</v>
      </c>
      <c r="N387" s="1">
        <f t="shared" si="36"/>
        <v>45622</v>
      </c>
      <c r="O387" s="4">
        <f t="shared" si="37"/>
        <v>3.126760563380282E-2</v>
      </c>
      <c r="P387">
        <f t="shared" si="38"/>
        <v>2.0883783783783785</v>
      </c>
      <c r="Q387" s="2">
        <f t="shared" si="39"/>
        <v>23.181000000000001</v>
      </c>
      <c r="R387" s="2">
        <f t="shared" si="40"/>
        <v>25.756666666666668</v>
      </c>
      <c r="S387" s="2">
        <f t="shared" si="41"/>
        <v>6.3068892627582933</v>
      </c>
    </row>
    <row r="388" spans="1:19" hidden="1">
      <c r="A388" t="s">
        <v>441</v>
      </c>
      <c r="B388" t="s">
        <v>30</v>
      </c>
      <c r="C388">
        <v>124</v>
      </c>
      <c r="D388">
        <v>5618</v>
      </c>
      <c r="E388" s="2">
        <v>205.95</v>
      </c>
      <c r="F388">
        <v>25</v>
      </c>
      <c r="G388">
        <v>7</v>
      </c>
      <c r="H388">
        <v>5.6000000000000001E-2</v>
      </c>
      <c r="I388" s="3">
        <v>1374</v>
      </c>
      <c r="J388" s="1" t="s">
        <v>348</v>
      </c>
      <c r="K388" t="s">
        <v>31</v>
      </c>
      <c r="L388" t="s">
        <v>8</v>
      </c>
      <c r="M388" t="s">
        <v>35</v>
      </c>
      <c r="N388" s="1">
        <f t="shared" si="36"/>
        <v>45615</v>
      </c>
      <c r="O388" s="4">
        <f t="shared" si="37"/>
        <v>2.2071911712353152E-2</v>
      </c>
      <c r="P388">
        <f t="shared" si="38"/>
        <v>1.6608870967741935</v>
      </c>
      <c r="Q388" s="2">
        <f t="shared" si="39"/>
        <v>8.2379999999999995</v>
      </c>
      <c r="R388" s="2">
        <f t="shared" si="40"/>
        <v>29.421428571428571</v>
      </c>
      <c r="S388" s="2">
        <f t="shared" si="41"/>
        <v>6.6715222141296433</v>
      </c>
    </row>
    <row r="389" spans="1:19" hidden="1">
      <c r="A389" t="s">
        <v>442</v>
      </c>
      <c r="B389" t="s">
        <v>30</v>
      </c>
      <c r="C389">
        <v>89</v>
      </c>
      <c r="D389">
        <v>4700</v>
      </c>
      <c r="E389" s="2">
        <v>219.95</v>
      </c>
      <c r="F389">
        <v>28</v>
      </c>
      <c r="G389">
        <v>6</v>
      </c>
      <c r="H389">
        <v>6.7000000000000004E-2</v>
      </c>
      <c r="I389" s="3">
        <v>1493</v>
      </c>
      <c r="J389" s="1">
        <v>45615</v>
      </c>
      <c r="K389" t="s">
        <v>31</v>
      </c>
      <c r="L389" t="s">
        <v>8</v>
      </c>
      <c r="M389" t="s">
        <v>35</v>
      </c>
      <c r="N389" s="1">
        <f t="shared" si="36"/>
        <v>45615</v>
      </c>
      <c r="O389" s="4">
        <f t="shared" si="37"/>
        <v>1.8936170212765956E-2</v>
      </c>
      <c r="P389">
        <f t="shared" si="38"/>
        <v>2.4713483146067414</v>
      </c>
      <c r="Q389" s="2">
        <f t="shared" si="39"/>
        <v>7.8553571428571427</v>
      </c>
      <c r="R389" s="2">
        <f t="shared" si="40"/>
        <v>36.658333333333331</v>
      </c>
      <c r="S389" s="2">
        <f t="shared" si="41"/>
        <v>6.7879063423505341</v>
      </c>
    </row>
    <row r="390" spans="1:19">
      <c r="A390" t="s">
        <v>443</v>
      </c>
      <c r="B390" t="s">
        <v>30</v>
      </c>
      <c r="C390">
        <v>122</v>
      </c>
      <c r="D390">
        <v>5874</v>
      </c>
      <c r="E390" s="2">
        <v>201.04</v>
      </c>
      <c r="F390">
        <v>10</v>
      </c>
      <c r="G390">
        <v>7</v>
      </c>
      <c r="H390">
        <v>4.5999999999999999E-2</v>
      </c>
      <c r="I390" s="3">
        <v>1352</v>
      </c>
      <c r="J390" s="1" t="s">
        <v>64</v>
      </c>
      <c r="K390" t="s">
        <v>31</v>
      </c>
      <c r="L390" t="s">
        <v>7</v>
      </c>
      <c r="M390" t="s">
        <v>35</v>
      </c>
      <c r="N390" s="1">
        <f t="shared" si="36"/>
        <v>45626</v>
      </c>
      <c r="O390" s="4">
        <f t="shared" si="37"/>
        <v>2.0769492679605039E-2</v>
      </c>
      <c r="P390">
        <f t="shared" si="38"/>
        <v>1.6478688524590164</v>
      </c>
      <c r="Q390" s="2">
        <f t="shared" si="39"/>
        <v>20.103999999999999</v>
      </c>
      <c r="R390" s="2">
        <f t="shared" si="40"/>
        <v>28.72</v>
      </c>
      <c r="S390" s="2">
        <f t="shared" si="41"/>
        <v>6.7250298448070041</v>
      </c>
    </row>
    <row r="391" spans="1:19" hidden="1">
      <c r="A391" t="s">
        <v>444</v>
      </c>
      <c r="B391" t="s">
        <v>30</v>
      </c>
      <c r="C391">
        <v>177</v>
      </c>
      <c r="D391">
        <v>5965</v>
      </c>
      <c r="E391" s="2">
        <v>199.7</v>
      </c>
      <c r="F391">
        <v>28</v>
      </c>
      <c r="G391">
        <v>3</v>
      </c>
      <c r="H391">
        <v>1.7000000000000001E-2</v>
      </c>
      <c r="I391" s="3">
        <v>1090</v>
      </c>
      <c r="J391" s="1">
        <v>45609</v>
      </c>
      <c r="K391" t="s">
        <v>31</v>
      </c>
      <c r="L391" t="s">
        <v>8</v>
      </c>
      <c r="M391" t="s">
        <v>37</v>
      </c>
      <c r="N391" s="1">
        <f t="shared" si="36"/>
        <v>45609</v>
      </c>
      <c r="O391" s="4">
        <f t="shared" si="37"/>
        <v>2.9673093042749371E-2</v>
      </c>
      <c r="P391">
        <f t="shared" si="38"/>
        <v>1.1282485875706214</v>
      </c>
      <c r="Q391" s="2">
        <f t="shared" si="39"/>
        <v>7.1321428571428571</v>
      </c>
      <c r="R391" s="2">
        <f t="shared" si="40"/>
        <v>66.566666666666663</v>
      </c>
      <c r="S391" s="2">
        <f t="shared" si="41"/>
        <v>5.4581872809213827</v>
      </c>
    </row>
    <row r="392" spans="1:19" hidden="1">
      <c r="A392" t="s">
        <v>445</v>
      </c>
      <c r="B392" t="s">
        <v>30</v>
      </c>
      <c r="C392">
        <v>163</v>
      </c>
      <c r="D392">
        <v>5774</v>
      </c>
      <c r="E392" s="2">
        <v>221.61</v>
      </c>
      <c r="F392">
        <v>29</v>
      </c>
      <c r="G392">
        <v>9</v>
      </c>
      <c r="H392">
        <v>5.5E-2</v>
      </c>
      <c r="I392" s="3">
        <v>1396</v>
      </c>
      <c r="J392" s="1">
        <v>45604</v>
      </c>
      <c r="K392" t="s">
        <v>31</v>
      </c>
      <c r="L392" t="s">
        <v>7</v>
      </c>
      <c r="M392" t="s">
        <v>32</v>
      </c>
      <c r="N392" s="1">
        <f t="shared" si="36"/>
        <v>45604</v>
      </c>
      <c r="O392" s="4">
        <f t="shared" si="37"/>
        <v>2.8229996536196744E-2</v>
      </c>
      <c r="P392">
        <f t="shared" si="38"/>
        <v>1.3595705521472394</v>
      </c>
      <c r="Q392" s="2">
        <f t="shared" si="39"/>
        <v>7.6417241379310346</v>
      </c>
      <c r="R392" s="2">
        <f t="shared" si="40"/>
        <v>24.623333333333335</v>
      </c>
      <c r="S392" s="2">
        <f t="shared" si="41"/>
        <v>6.2993547222598254</v>
      </c>
    </row>
    <row r="393" spans="1:19" hidden="1">
      <c r="A393" t="s">
        <v>446</v>
      </c>
      <c r="B393" t="s">
        <v>30</v>
      </c>
      <c r="C393">
        <v>124</v>
      </c>
      <c r="D393">
        <v>4079</v>
      </c>
      <c r="E393" s="2">
        <v>189.07</v>
      </c>
      <c r="F393">
        <v>18</v>
      </c>
      <c r="G393">
        <v>3</v>
      </c>
      <c r="H393">
        <v>2.4E-2</v>
      </c>
      <c r="I393" s="3">
        <v>1430</v>
      </c>
      <c r="J393" s="1">
        <v>45619</v>
      </c>
      <c r="K393" t="s">
        <v>31</v>
      </c>
      <c r="L393" t="s">
        <v>7</v>
      </c>
      <c r="M393" t="s">
        <v>35</v>
      </c>
      <c r="N393" s="1">
        <f t="shared" si="36"/>
        <v>45619</v>
      </c>
      <c r="O393" s="4">
        <f t="shared" si="37"/>
        <v>3.0399607746996814E-2</v>
      </c>
      <c r="P393">
        <f t="shared" si="38"/>
        <v>1.5247580645161289</v>
      </c>
      <c r="Q393" s="2">
        <f t="shared" si="39"/>
        <v>10.503888888888888</v>
      </c>
      <c r="R393" s="2">
        <f t="shared" si="40"/>
        <v>63.023333333333333</v>
      </c>
      <c r="S393" s="2">
        <f t="shared" si="41"/>
        <v>7.5633363304596184</v>
      </c>
    </row>
    <row r="394" spans="1:19">
      <c r="A394" t="s">
        <v>447</v>
      </c>
      <c r="B394" t="s">
        <v>30</v>
      </c>
      <c r="C394">
        <v>105</v>
      </c>
      <c r="D394">
        <v>3670</v>
      </c>
      <c r="E394" s="2">
        <v>218.45</v>
      </c>
      <c r="F394">
        <v>25</v>
      </c>
      <c r="G394">
        <v>6</v>
      </c>
      <c r="H394">
        <v>4.5999999999999999E-2</v>
      </c>
      <c r="I394" s="3">
        <v>1650</v>
      </c>
      <c r="J394" s="1">
        <v>45618</v>
      </c>
      <c r="K394" t="s">
        <v>31</v>
      </c>
      <c r="L394" t="s">
        <v>7</v>
      </c>
      <c r="M394" t="s">
        <v>41</v>
      </c>
      <c r="N394" s="1">
        <f t="shared" si="36"/>
        <v>45618</v>
      </c>
      <c r="O394" s="4">
        <f t="shared" si="37"/>
        <v>2.8610354223433242E-2</v>
      </c>
      <c r="P394">
        <f t="shared" si="38"/>
        <v>2.0804761904761904</v>
      </c>
      <c r="Q394" s="2">
        <f t="shared" si="39"/>
        <v>8.7379999999999995</v>
      </c>
      <c r="R394" s="2">
        <f t="shared" si="40"/>
        <v>36.408333333333331</v>
      </c>
      <c r="S394" s="2">
        <f t="shared" si="41"/>
        <v>7.5532158388647295</v>
      </c>
    </row>
    <row r="395" spans="1:19">
      <c r="A395" t="s">
        <v>448</v>
      </c>
      <c r="B395" t="s">
        <v>30</v>
      </c>
      <c r="C395">
        <v>122</v>
      </c>
      <c r="D395">
        <v>3394</v>
      </c>
      <c r="E395" s="2">
        <v>215.57</v>
      </c>
      <c r="F395">
        <v>20</v>
      </c>
      <c r="G395">
        <v>4</v>
      </c>
      <c r="H395">
        <v>4.5999999999999999E-2</v>
      </c>
      <c r="I395" s="3">
        <v>1053</v>
      </c>
      <c r="J395" s="1">
        <v>45599</v>
      </c>
      <c r="K395" t="s">
        <v>31</v>
      </c>
      <c r="L395" t="s">
        <v>8</v>
      </c>
      <c r="M395" t="s">
        <v>37</v>
      </c>
      <c r="N395" s="1">
        <f t="shared" si="36"/>
        <v>45599</v>
      </c>
      <c r="O395" s="4">
        <f t="shared" si="37"/>
        <v>3.5945786682380673E-2</v>
      </c>
      <c r="P395">
        <f t="shared" si="38"/>
        <v>1.766967213114754</v>
      </c>
      <c r="Q395" s="2">
        <f t="shared" si="39"/>
        <v>10.778499999999999</v>
      </c>
      <c r="R395" s="2">
        <f t="shared" si="40"/>
        <v>53.892499999999998</v>
      </c>
      <c r="S395" s="2">
        <f t="shared" si="41"/>
        <v>4.8847242195110638</v>
      </c>
    </row>
    <row r="396" spans="1:19" hidden="1">
      <c r="A396" t="s">
        <v>449</v>
      </c>
      <c r="B396" t="s">
        <v>30</v>
      </c>
      <c r="C396">
        <v>166</v>
      </c>
      <c r="D396">
        <v>5730</v>
      </c>
      <c r="E396" s="2">
        <v>241.3</v>
      </c>
      <c r="F396">
        <v>16</v>
      </c>
      <c r="G396">
        <v>5</v>
      </c>
      <c r="H396">
        <v>0.03</v>
      </c>
      <c r="I396" s="3">
        <v>1505</v>
      </c>
      <c r="J396" s="1">
        <v>45613</v>
      </c>
      <c r="K396" t="s">
        <v>31</v>
      </c>
      <c r="L396" t="s">
        <v>8</v>
      </c>
      <c r="M396" t="s">
        <v>37</v>
      </c>
      <c r="N396" s="1">
        <f t="shared" si="36"/>
        <v>45613</v>
      </c>
      <c r="O396" s="4">
        <f t="shared" si="37"/>
        <v>2.8970331588132635E-2</v>
      </c>
      <c r="P396">
        <f t="shared" si="38"/>
        <v>1.4536144578313255</v>
      </c>
      <c r="Q396" s="2">
        <f t="shared" si="39"/>
        <v>15.081250000000001</v>
      </c>
      <c r="R396" s="2">
        <f t="shared" si="40"/>
        <v>48.260000000000005</v>
      </c>
      <c r="S396" s="2">
        <f t="shared" si="41"/>
        <v>6.2370493162038949</v>
      </c>
    </row>
    <row r="397" spans="1:19" hidden="1">
      <c r="A397" t="s">
        <v>450</v>
      </c>
      <c r="B397" t="s">
        <v>30</v>
      </c>
      <c r="C397">
        <v>96</v>
      </c>
      <c r="D397">
        <v>3761</v>
      </c>
      <c r="E397" s="2">
        <v>196.45</v>
      </c>
      <c r="F397">
        <v>10</v>
      </c>
      <c r="G397">
        <v>5</v>
      </c>
      <c r="H397">
        <v>3.5000000000000003E-2</v>
      </c>
      <c r="I397" s="3">
        <v>1518</v>
      </c>
      <c r="J397" s="1">
        <v>45626</v>
      </c>
      <c r="K397" t="s">
        <v>31</v>
      </c>
      <c r="L397" t="s">
        <v>9</v>
      </c>
      <c r="M397" t="s">
        <v>41</v>
      </c>
      <c r="N397" s="1">
        <f t="shared" si="36"/>
        <v>45626</v>
      </c>
      <c r="O397" s="4">
        <f t="shared" si="37"/>
        <v>2.5525126296197818E-2</v>
      </c>
      <c r="P397">
        <f t="shared" si="38"/>
        <v>2.0463541666666667</v>
      </c>
      <c r="Q397" s="2">
        <f t="shared" si="39"/>
        <v>19.645</v>
      </c>
      <c r="R397" s="2">
        <f t="shared" si="40"/>
        <v>39.29</v>
      </c>
      <c r="S397" s="2">
        <f t="shared" si="41"/>
        <v>7.7271570374141003</v>
      </c>
    </row>
    <row r="398" spans="1:19">
      <c r="A398" t="s">
        <v>451</v>
      </c>
      <c r="B398" t="s">
        <v>30</v>
      </c>
      <c r="C398">
        <v>135</v>
      </c>
      <c r="D398">
        <v>4505</v>
      </c>
      <c r="E398" s="2">
        <v>214.64</v>
      </c>
      <c r="F398">
        <v>17</v>
      </c>
      <c r="G398">
        <v>9</v>
      </c>
      <c r="H398">
        <v>4.5999999999999999E-2</v>
      </c>
      <c r="I398" s="3">
        <v>1500</v>
      </c>
      <c r="J398" s="1">
        <v>45454</v>
      </c>
      <c r="K398" t="s">
        <v>31</v>
      </c>
      <c r="L398" t="s">
        <v>8</v>
      </c>
      <c r="M398" t="s">
        <v>41</v>
      </c>
      <c r="N398" s="1">
        <f t="shared" si="36"/>
        <v>45454</v>
      </c>
      <c r="O398" s="4">
        <f t="shared" si="37"/>
        <v>2.9966703662597113E-2</v>
      </c>
      <c r="P398">
        <f t="shared" si="38"/>
        <v>1.5899259259259257</v>
      </c>
      <c r="Q398" s="2">
        <f t="shared" si="39"/>
        <v>12.625882352941176</v>
      </c>
      <c r="R398" s="2">
        <f t="shared" si="40"/>
        <v>23.848888888888887</v>
      </c>
      <c r="S398" s="2">
        <f t="shared" si="41"/>
        <v>6.988445769660828</v>
      </c>
    </row>
    <row r="399" spans="1:19" hidden="1">
      <c r="A399" t="s">
        <v>452</v>
      </c>
      <c r="B399" t="s">
        <v>30</v>
      </c>
      <c r="C399">
        <v>179</v>
      </c>
      <c r="D399">
        <v>3975</v>
      </c>
      <c r="E399" s="2">
        <v>183.25</v>
      </c>
      <c r="F399">
        <v>14</v>
      </c>
      <c r="G399">
        <v>3</v>
      </c>
      <c r="H399">
        <v>1.7000000000000001E-2</v>
      </c>
      <c r="I399" s="3">
        <v>1505</v>
      </c>
      <c r="J399" s="1">
        <v>45602</v>
      </c>
      <c r="K399" t="s">
        <v>31</v>
      </c>
      <c r="L399" t="s">
        <v>9</v>
      </c>
      <c r="M399" t="s">
        <v>35</v>
      </c>
      <c r="N399" s="1">
        <f t="shared" si="36"/>
        <v>45602</v>
      </c>
      <c r="O399" s="4">
        <f t="shared" si="37"/>
        <v>4.5031446540880503E-2</v>
      </c>
      <c r="P399">
        <f t="shared" si="38"/>
        <v>1.0237430167597765</v>
      </c>
      <c r="Q399" s="2">
        <f t="shared" si="39"/>
        <v>13.089285714285714</v>
      </c>
      <c r="R399" s="2">
        <f t="shared" si="40"/>
        <v>61.083333333333336</v>
      </c>
      <c r="S399" s="2">
        <f t="shared" si="41"/>
        <v>8.2128240109140513</v>
      </c>
    </row>
    <row r="400" spans="1:19">
      <c r="A400" t="s">
        <v>453</v>
      </c>
      <c r="B400" t="s">
        <v>30</v>
      </c>
      <c r="C400">
        <v>163</v>
      </c>
      <c r="D400">
        <v>4518.5</v>
      </c>
      <c r="E400" s="2">
        <v>206.46</v>
      </c>
      <c r="F400">
        <v>14</v>
      </c>
      <c r="G400">
        <v>3</v>
      </c>
      <c r="H400">
        <v>4.5999999999999999E-2</v>
      </c>
      <c r="I400" s="3">
        <v>1103</v>
      </c>
      <c r="J400" s="1">
        <v>45608</v>
      </c>
      <c r="K400" t="s">
        <v>31</v>
      </c>
      <c r="L400" t="s">
        <v>9</v>
      </c>
      <c r="M400" t="s">
        <v>32</v>
      </c>
      <c r="N400" s="1">
        <f t="shared" si="36"/>
        <v>45608</v>
      </c>
      <c r="O400" s="4">
        <f t="shared" si="37"/>
        <v>3.6073918335730884E-2</v>
      </c>
      <c r="P400">
        <f t="shared" si="38"/>
        <v>1.2666257668711658</v>
      </c>
      <c r="Q400" s="2">
        <f t="shared" si="39"/>
        <v>14.747142857142858</v>
      </c>
      <c r="R400" s="2">
        <f t="shared" si="40"/>
        <v>68.820000000000007</v>
      </c>
      <c r="S400" s="2">
        <f t="shared" si="41"/>
        <v>5.3424392134069549</v>
      </c>
    </row>
    <row r="401" spans="1:19" hidden="1">
      <c r="A401" t="s">
        <v>454</v>
      </c>
      <c r="B401" t="s">
        <v>30</v>
      </c>
      <c r="C401">
        <v>198</v>
      </c>
      <c r="D401">
        <v>5883</v>
      </c>
      <c r="E401" s="2">
        <v>215.57</v>
      </c>
      <c r="F401">
        <v>19</v>
      </c>
      <c r="G401">
        <v>9</v>
      </c>
      <c r="H401">
        <v>4.4999999999999998E-2</v>
      </c>
      <c r="I401" s="3">
        <v>1182</v>
      </c>
      <c r="J401" s="1" t="s">
        <v>115</v>
      </c>
      <c r="K401" t="s">
        <v>31</v>
      </c>
      <c r="L401" t="s">
        <v>8</v>
      </c>
      <c r="M401" t="s">
        <v>37</v>
      </c>
      <c r="N401" s="1">
        <f t="shared" si="36"/>
        <v>45623</v>
      </c>
      <c r="O401" s="4">
        <f t="shared" si="37"/>
        <v>3.3656297807241206E-2</v>
      </c>
      <c r="P401">
        <f t="shared" si="38"/>
        <v>1.0887373737373738</v>
      </c>
      <c r="Q401" s="2">
        <f t="shared" si="39"/>
        <v>11.34578947368421</v>
      </c>
      <c r="R401" s="2">
        <f t="shared" si="40"/>
        <v>23.952222222222222</v>
      </c>
      <c r="S401" s="2">
        <f t="shared" si="41"/>
        <v>5.4831377278842144</v>
      </c>
    </row>
    <row r="402" spans="1:19" hidden="1">
      <c r="A402" t="s">
        <v>455</v>
      </c>
      <c r="B402" t="s">
        <v>30</v>
      </c>
      <c r="C402">
        <v>86</v>
      </c>
      <c r="D402">
        <v>3555</v>
      </c>
      <c r="E402" s="2">
        <v>225.23</v>
      </c>
      <c r="F402">
        <v>11</v>
      </c>
      <c r="G402">
        <v>6</v>
      </c>
      <c r="H402">
        <v>3.5000000000000003E-2</v>
      </c>
      <c r="I402" s="3">
        <v>1193</v>
      </c>
      <c r="J402" s="1">
        <v>45607</v>
      </c>
      <c r="K402" t="s">
        <v>31</v>
      </c>
      <c r="L402" t="s">
        <v>7</v>
      </c>
      <c r="M402" t="s">
        <v>39</v>
      </c>
      <c r="N402" s="1">
        <f t="shared" si="36"/>
        <v>45607</v>
      </c>
      <c r="O402" s="4">
        <f t="shared" si="37"/>
        <v>2.419127988748242E-2</v>
      </c>
      <c r="P402">
        <f t="shared" si="38"/>
        <v>2.6189534883720929</v>
      </c>
      <c r="Q402" s="2">
        <f t="shared" si="39"/>
        <v>20.475454545454543</v>
      </c>
      <c r="R402" s="2">
        <f t="shared" si="40"/>
        <v>37.538333333333334</v>
      </c>
      <c r="S402" s="2">
        <f t="shared" si="41"/>
        <v>5.2968077076765976</v>
      </c>
    </row>
    <row r="403" spans="1:19" hidden="1">
      <c r="A403" t="s">
        <v>456</v>
      </c>
      <c r="B403" t="s">
        <v>30</v>
      </c>
      <c r="C403">
        <v>89</v>
      </c>
      <c r="D403">
        <v>3760</v>
      </c>
      <c r="E403" s="2">
        <v>218.69</v>
      </c>
      <c r="F403">
        <v>21</v>
      </c>
      <c r="G403">
        <v>9</v>
      </c>
      <c r="H403">
        <v>0.10100000000000001</v>
      </c>
      <c r="I403" s="3">
        <v>1474</v>
      </c>
      <c r="J403" s="1" t="s">
        <v>206</v>
      </c>
      <c r="K403" t="s">
        <v>31</v>
      </c>
      <c r="L403" t="s">
        <v>7</v>
      </c>
      <c r="M403" t="s">
        <v>32</v>
      </c>
      <c r="N403" s="1">
        <f t="shared" si="36"/>
        <v>45621</v>
      </c>
      <c r="O403" s="4">
        <f t="shared" si="37"/>
        <v>2.3670212765957446E-2</v>
      </c>
      <c r="P403">
        <f t="shared" si="38"/>
        <v>2.4571910112359552</v>
      </c>
      <c r="Q403" s="2">
        <f t="shared" si="39"/>
        <v>10.413809523809524</v>
      </c>
      <c r="R403" s="2">
        <f t="shared" si="40"/>
        <v>24.298888888888889</v>
      </c>
      <c r="S403" s="2">
        <f t="shared" si="41"/>
        <v>6.7401344368741141</v>
      </c>
    </row>
    <row r="404" spans="1:19" hidden="1">
      <c r="A404" t="s">
        <v>457</v>
      </c>
      <c r="B404" t="s">
        <v>30</v>
      </c>
      <c r="C404">
        <v>118</v>
      </c>
      <c r="D404">
        <v>3596</v>
      </c>
      <c r="E404" s="2">
        <v>236.66</v>
      </c>
      <c r="F404">
        <v>29</v>
      </c>
      <c r="G404">
        <v>9</v>
      </c>
      <c r="H404">
        <v>7.5999999999999998E-2</v>
      </c>
      <c r="I404" s="3">
        <v>1154</v>
      </c>
      <c r="J404" s="1">
        <v>45619</v>
      </c>
      <c r="K404" t="s">
        <v>31</v>
      </c>
      <c r="L404" t="s">
        <v>9</v>
      </c>
      <c r="M404" t="s">
        <v>35</v>
      </c>
      <c r="N404" s="1">
        <f t="shared" si="36"/>
        <v>45619</v>
      </c>
      <c r="O404" s="4">
        <f t="shared" si="37"/>
        <v>3.2814238042269191E-2</v>
      </c>
      <c r="P404">
        <f t="shared" si="38"/>
        <v>2.0055932203389832</v>
      </c>
      <c r="Q404" s="2">
        <f t="shared" si="39"/>
        <v>8.1606896551724137</v>
      </c>
      <c r="R404" s="2">
        <f t="shared" si="40"/>
        <v>26.295555555555556</v>
      </c>
      <c r="S404" s="2">
        <f t="shared" si="41"/>
        <v>4.8761936955970588</v>
      </c>
    </row>
    <row r="405" spans="1:19">
      <c r="A405" t="s">
        <v>458</v>
      </c>
      <c r="B405" t="s">
        <v>30</v>
      </c>
      <c r="C405">
        <v>139</v>
      </c>
      <c r="D405">
        <v>3217</v>
      </c>
      <c r="E405" s="2">
        <v>232.15</v>
      </c>
      <c r="F405">
        <v>21</v>
      </c>
      <c r="G405">
        <v>8</v>
      </c>
      <c r="H405">
        <v>4.5999999999999999E-2</v>
      </c>
      <c r="I405" s="3">
        <v>1726</v>
      </c>
      <c r="J405" s="1" t="s">
        <v>94</v>
      </c>
      <c r="K405" t="s">
        <v>31</v>
      </c>
      <c r="L405" t="s">
        <v>8</v>
      </c>
      <c r="M405" t="s">
        <v>39</v>
      </c>
      <c r="N405" s="1">
        <f t="shared" si="36"/>
        <v>45617</v>
      </c>
      <c r="O405" s="4">
        <f t="shared" si="37"/>
        <v>4.3207957724588124E-2</v>
      </c>
      <c r="P405">
        <f t="shared" si="38"/>
        <v>1.6701438848920864</v>
      </c>
      <c r="Q405" s="2">
        <f t="shared" si="39"/>
        <v>11.054761904761905</v>
      </c>
      <c r="R405" s="2">
        <f t="shared" si="40"/>
        <v>29.018750000000001</v>
      </c>
      <c r="S405" s="2">
        <f t="shared" si="41"/>
        <v>7.4348481585181991</v>
      </c>
    </row>
    <row r="406" spans="1:19" hidden="1">
      <c r="A406" t="s">
        <v>459</v>
      </c>
      <c r="B406" t="s">
        <v>30</v>
      </c>
      <c r="C406">
        <v>95</v>
      </c>
      <c r="D406">
        <v>5386</v>
      </c>
      <c r="E406" s="2">
        <v>184.96</v>
      </c>
      <c r="F406">
        <v>23</v>
      </c>
      <c r="G406">
        <v>8</v>
      </c>
      <c r="H406">
        <v>5.0999999999999997E-2</v>
      </c>
      <c r="I406" s="3">
        <v>1045</v>
      </c>
      <c r="J406" s="1" t="s">
        <v>34</v>
      </c>
      <c r="K406" t="s">
        <v>31</v>
      </c>
      <c r="L406" t="s">
        <v>7</v>
      </c>
      <c r="M406" t="s">
        <v>41</v>
      </c>
      <c r="N406" s="1">
        <f t="shared" si="36"/>
        <v>45616</v>
      </c>
      <c r="O406" s="4">
        <f t="shared" si="37"/>
        <v>1.7638321574452283E-2</v>
      </c>
      <c r="P406">
        <f t="shared" si="38"/>
        <v>1.9469473684210528</v>
      </c>
      <c r="Q406" s="2">
        <f t="shared" si="39"/>
        <v>8.0417391304347827</v>
      </c>
      <c r="R406" s="2">
        <f t="shared" si="40"/>
        <v>23.12</v>
      </c>
      <c r="S406" s="2">
        <f t="shared" si="41"/>
        <v>5.6498702422145328</v>
      </c>
    </row>
    <row r="407" spans="1:19" hidden="1">
      <c r="A407" t="s">
        <v>460</v>
      </c>
      <c r="B407" t="s">
        <v>30</v>
      </c>
      <c r="C407">
        <v>144</v>
      </c>
      <c r="D407">
        <v>5381</v>
      </c>
      <c r="E407" s="2">
        <v>199.43</v>
      </c>
      <c r="F407">
        <v>10</v>
      </c>
      <c r="G407">
        <v>10</v>
      </c>
      <c r="H407">
        <v>6.9000000000000006E-2</v>
      </c>
      <c r="I407" s="3">
        <v>1085</v>
      </c>
      <c r="J407" s="1">
        <v>45605</v>
      </c>
      <c r="K407" t="s">
        <v>31</v>
      </c>
      <c r="L407" t="s">
        <v>7</v>
      </c>
      <c r="M407" t="s">
        <v>39</v>
      </c>
      <c r="N407" s="1">
        <f t="shared" si="36"/>
        <v>45605</v>
      </c>
      <c r="O407" s="4">
        <f t="shared" si="37"/>
        <v>2.6760825125441368E-2</v>
      </c>
      <c r="P407">
        <f t="shared" si="38"/>
        <v>1.3849305555555556</v>
      </c>
      <c r="Q407" s="2">
        <f t="shared" si="39"/>
        <v>19.943000000000001</v>
      </c>
      <c r="R407" s="2">
        <f t="shared" si="40"/>
        <v>19.943000000000001</v>
      </c>
      <c r="S407" s="2">
        <f t="shared" si="41"/>
        <v>5.44050544050544</v>
      </c>
    </row>
    <row r="408" spans="1:19" hidden="1">
      <c r="A408" t="s">
        <v>461</v>
      </c>
      <c r="B408" t="s">
        <v>30</v>
      </c>
      <c r="C408">
        <v>107</v>
      </c>
      <c r="D408">
        <v>5536</v>
      </c>
      <c r="E408" s="2">
        <v>238.75</v>
      </c>
      <c r="F408">
        <v>15</v>
      </c>
      <c r="G408">
        <v>3</v>
      </c>
      <c r="H408">
        <v>3.4000000000000002E-2</v>
      </c>
      <c r="I408" s="3">
        <v>1822</v>
      </c>
      <c r="J408" s="1">
        <v>45613</v>
      </c>
      <c r="K408" t="s">
        <v>31</v>
      </c>
      <c r="L408" t="s">
        <v>8</v>
      </c>
      <c r="M408" t="s">
        <v>46</v>
      </c>
      <c r="N408" s="1">
        <f t="shared" si="36"/>
        <v>45613</v>
      </c>
      <c r="O408" s="4">
        <f t="shared" si="37"/>
        <v>1.9328034682080924E-2</v>
      </c>
      <c r="P408">
        <f t="shared" si="38"/>
        <v>2.2313084112149535</v>
      </c>
      <c r="Q408" s="2">
        <f t="shared" si="39"/>
        <v>15.916666666666666</v>
      </c>
      <c r="R408" s="2">
        <f t="shared" si="40"/>
        <v>79.583333333333329</v>
      </c>
      <c r="S408" s="2">
        <f t="shared" si="41"/>
        <v>7.6314136125654448</v>
      </c>
    </row>
    <row r="409" spans="1:19" hidden="1">
      <c r="A409" t="s">
        <v>462</v>
      </c>
      <c r="B409" t="s">
        <v>30</v>
      </c>
      <c r="C409">
        <v>146</v>
      </c>
      <c r="D409">
        <v>3165</v>
      </c>
      <c r="E409" s="2">
        <v>211.09</v>
      </c>
      <c r="F409">
        <v>16</v>
      </c>
      <c r="G409">
        <v>7</v>
      </c>
      <c r="H409">
        <v>4.8000000000000001E-2</v>
      </c>
      <c r="I409" s="3">
        <v>1706</v>
      </c>
      <c r="J409" s="1">
        <v>45604</v>
      </c>
      <c r="K409" t="s">
        <v>31</v>
      </c>
      <c r="L409" t="s">
        <v>8</v>
      </c>
      <c r="M409" t="s">
        <v>32</v>
      </c>
      <c r="N409" s="1">
        <f t="shared" si="36"/>
        <v>45604</v>
      </c>
      <c r="O409" s="4">
        <f t="shared" si="37"/>
        <v>4.612954186413902E-2</v>
      </c>
      <c r="P409">
        <f t="shared" si="38"/>
        <v>1.4458219178082192</v>
      </c>
      <c r="Q409" s="2">
        <f t="shared" si="39"/>
        <v>13.193125</v>
      </c>
      <c r="R409" s="2">
        <f t="shared" si="40"/>
        <v>30.155714285714286</v>
      </c>
      <c r="S409" s="2">
        <f t="shared" si="41"/>
        <v>8.0818608176607132</v>
      </c>
    </row>
    <row r="410" spans="1:19" hidden="1">
      <c r="A410" t="s">
        <v>463</v>
      </c>
      <c r="B410" t="s">
        <v>30</v>
      </c>
      <c r="C410">
        <v>114</v>
      </c>
      <c r="D410">
        <v>5217</v>
      </c>
      <c r="E410" s="2">
        <v>247.94</v>
      </c>
      <c r="F410">
        <v>11</v>
      </c>
      <c r="G410">
        <v>10</v>
      </c>
      <c r="H410">
        <v>8.7999999999999995E-2</v>
      </c>
      <c r="I410" s="3">
        <v>1876</v>
      </c>
      <c r="J410" s="1">
        <v>45614</v>
      </c>
      <c r="K410" t="s">
        <v>31</v>
      </c>
      <c r="L410" t="s">
        <v>7</v>
      </c>
      <c r="M410" t="s">
        <v>37</v>
      </c>
      <c r="N410" s="1">
        <f t="shared" si="36"/>
        <v>45614</v>
      </c>
      <c r="O410" s="4">
        <f t="shared" si="37"/>
        <v>2.1851638872915469E-2</v>
      </c>
      <c r="P410">
        <f t="shared" si="38"/>
        <v>2.1749122807017542</v>
      </c>
      <c r="Q410" s="2">
        <f t="shared" si="39"/>
        <v>22.54</v>
      </c>
      <c r="R410" s="2">
        <f t="shared" si="40"/>
        <v>24.794</v>
      </c>
      <c r="S410" s="2">
        <f t="shared" si="41"/>
        <v>7.5663466967814799</v>
      </c>
    </row>
    <row r="411" spans="1:19" hidden="1">
      <c r="A411" t="s">
        <v>464</v>
      </c>
      <c r="B411" t="s">
        <v>30</v>
      </c>
      <c r="C411">
        <v>162</v>
      </c>
      <c r="D411">
        <v>4301</v>
      </c>
      <c r="E411" s="2">
        <v>223.77</v>
      </c>
      <c r="F411">
        <v>21</v>
      </c>
      <c r="G411">
        <v>7</v>
      </c>
      <c r="H411">
        <v>4.2999999999999997E-2</v>
      </c>
      <c r="I411" s="3">
        <v>1066</v>
      </c>
      <c r="J411" s="1" t="s">
        <v>34</v>
      </c>
      <c r="K411" t="s">
        <v>31</v>
      </c>
      <c r="L411" t="s">
        <v>8</v>
      </c>
      <c r="M411" t="s">
        <v>32</v>
      </c>
      <c r="N411" s="1">
        <f t="shared" si="36"/>
        <v>45616</v>
      </c>
      <c r="O411" s="4">
        <f t="shared" si="37"/>
        <v>3.7665659149035108E-2</v>
      </c>
      <c r="P411">
        <f t="shared" si="38"/>
        <v>1.3812962962962965</v>
      </c>
      <c r="Q411" s="2">
        <f t="shared" si="39"/>
        <v>10.655714285714286</v>
      </c>
      <c r="R411" s="2">
        <f t="shared" si="40"/>
        <v>31.967142857142857</v>
      </c>
      <c r="S411" s="2">
        <f t="shared" si="41"/>
        <v>4.7638199937435761</v>
      </c>
    </row>
    <row r="412" spans="1:19">
      <c r="A412" t="s">
        <v>465</v>
      </c>
      <c r="B412" t="s">
        <v>30</v>
      </c>
      <c r="C412">
        <v>95</v>
      </c>
      <c r="D412">
        <v>5971</v>
      </c>
      <c r="E412" s="2">
        <v>214.57</v>
      </c>
      <c r="F412">
        <v>29</v>
      </c>
      <c r="G412">
        <v>10</v>
      </c>
      <c r="H412">
        <v>4.5999999999999999E-2</v>
      </c>
      <c r="I412" s="3">
        <v>1539</v>
      </c>
      <c r="J412" s="1">
        <v>45612</v>
      </c>
      <c r="K412" t="s">
        <v>31</v>
      </c>
      <c r="L412" t="s">
        <v>8</v>
      </c>
      <c r="M412" t="s">
        <v>46</v>
      </c>
      <c r="N412" s="1">
        <f t="shared" si="36"/>
        <v>45612</v>
      </c>
      <c r="O412" s="4">
        <f t="shared" si="37"/>
        <v>1.5910232791827166E-2</v>
      </c>
      <c r="P412">
        <f t="shared" si="38"/>
        <v>2.2586315789473685</v>
      </c>
      <c r="Q412" s="2">
        <f t="shared" si="39"/>
        <v>7.3989655172413791</v>
      </c>
      <c r="R412" s="2">
        <f t="shared" si="40"/>
        <v>21.457000000000001</v>
      </c>
      <c r="S412" s="2">
        <f t="shared" si="41"/>
        <v>7.1724845038915044</v>
      </c>
    </row>
    <row r="413" spans="1:19" hidden="1">
      <c r="A413" t="s">
        <v>466</v>
      </c>
      <c r="B413" t="s">
        <v>30</v>
      </c>
      <c r="C413">
        <v>163</v>
      </c>
      <c r="D413">
        <v>5160</v>
      </c>
      <c r="E413" s="2">
        <v>184.84</v>
      </c>
      <c r="F413">
        <v>19</v>
      </c>
      <c r="G413">
        <v>4</v>
      </c>
      <c r="H413">
        <v>4.1000000000000002E-2</v>
      </c>
      <c r="I413" s="3">
        <v>1773</v>
      </c>
      <c r="J413" s="1">
        <v>45619</v>
      </c>
      <c r="K413" t="s">
        <v>31</v>
      </c>
      <c r="L413" t="s">
        <v>7</v>
      </c>
      <c r="M413" t="s">
        <v>35</v>
      </c>
      <c r="N413" s="1">
        <f t="shared" si="36"/>
        <v>45619</v>
      </c>
      <c r="O413" s="4">
        <f t="shared" si="37"/>
        <v>3.1589147286821703E-2</v>
      </c>
      <c r="P413">
        <f t="shared" si="38"/>
        <v>1.1339877300613497</v>
      </c>
      <c r="Q413" s="2">
        <f t="shared" si="39"/>
        <v>9.72842105263158</v>
      </c>
      <c r="R413" s="2">
        <f t="shared" si="40"/>
        <v>46.21</v>
      </c>
      <c r="S413" s="2">
        <f t="shared" si="41"/>
        <v>9.5920796364423282</v>
      </c>
    </row>
    <row r="414" spans="1:19">
      <c r="A414" t="s">
        <v>467</v>
      </c>
      <c r="B414" t="s">
        <v>30</v>
      </c>
      <c r="C414">
        <v>148</v>
      </c>
      <c r="D414">
        <v>5947</v>
      </c>
      <c r="E414" s="2">
        <v>212.38</v>
      </c>
      <c r="F414">
        <v>12</v>
      </c>
      <c r="G414">
        <v>4</v>
      </c>
      <c r="H414">
        <v>4.5999999999999999E-2</v>
      </c>
      <c r="I414" s="3">
        <v>1294</v>
      </c>
      <c r="J414" s="1">
        <v>45620</v>
      </c>
      <c r="K414" t="s">
        <v>31</v>
      </c>
      <c r="L414" t="s">
        <v>8</v>
      </c>
      <c r="M414" t="s">
        <v>41</v>
      </c>
      <c r="N414" s="1">
        <f t="shared" si="36"/>
        <v>45620</v>
      </c>
      <c r="O414" s="4">
        <f t="shared" si="37"/>
        <v>2.4886497393643854E-2</v>
      </c>
      <c r="P414">
        <f t="shared" si="38"/>
        <v>1.4350000000000001</v>
      </c>
      <c r="Q414" s="2">
        <f t="shared" si="39"/>
        <v>17.698333333333334</v>
      </c>
      <c r="R414" s="2">
        <f t="shared" si="40"/>
        <v>53.094999999999999</v>
      </c>
      <c r="S414" s="2">
        <f t="shared" si="41"/>
        <v>6.0928524343158488</v>
      </c>
    </row>
    <row r="415" spans="1:19" hidden="1">
      <c r="A415" t="s">
        <v>468</v>
      </c>
      <c r="B415" t="s">
        <v>30</v>
      </c>
      <c r="C415">
        <v>156</v>
      </c>
      <c r="D415">
        <v>4150</v>
      </c>
      <c r="E415" s="2">
        <v>223.17</v>
      </c>
      <c r="F415">
        <v>20</v>
      </c>
      <c r="G415">
        <v>10</v>
      </c>
      <c r="H415">
        <v>6.4000000000000001E-2</v>
      </c>
      <c r="I415" s="3">
        <v>1940</v>
      </c>
      <c r="J415" s="1" t="s">
        <v>50</v>
      </c>
      <c r="K415" t="s">
        <v>31</v>
      </c>
      <c r="L415" t="s">
        <v>9</v>
      </c>
      <c r="M415" t="s">
        <v>32</v>
      </c>
      <c r="N415" s="1">
        <f t="shared" si="36"/>
        <v>45610</v>
      </c>
      <c r="O415" s="4">
        <f t="shared" si="37"/>
        <v>3.7590361445783135E-2</v>
      </c>
      <c r="P415">
        <f t="shared" si="38"/>
        <v>1.430576923076923</v>
      </c>
      <c r="Q415" s="2">
        <f t="shared" si="39"/>
        <v>11.1585</v>
      </c>
      <c r="R415" s="2">
        <f t="shared" si="40"/>
        <v>22.317</v>
      </c>
      <c r="S415" s="2">
        <f t="shared" si="41"/>
        <v>8.6929246762557693</v>
      </c>
    </row>
    <row r="416" spans="1:19" hidden="1">
      <c r="A416" t="s">
        <v>469</v>
      </c>
      <c r="B416" t="s">
        <v>30</v>
      </c>
      <c r="C416">
        <v>99</v>
      </c>
      <c r="D416">
        <v>4040</v>
      </c>
      <c r="E416" s="2">
        <v>215.57</v>
      </c>
      <c r="F416">
        <v>13</v>
      </c>
      <c r="G416">
        <v>5</v>
      </c>
      <c r="H416">
        <v>5.0999999999999997E-2</v>
      </c>
      <c r="I416" s="3">
        <v>1502</v>
      </c>
      <c r="J416" s="1">
        <v>45622</v>
      </c>
      <c r="K416" t="s">
        <v>31</v>
      </c>
      <c r="L416" t="s">
        <v>9</v>
      </c>
      <c r="M416" t="s">
        <v>41</v>
      </c>
      <c r="N416" s="1">
        <f t="shared" si="36"/>
        <v>45622</v>
      </c>
      <c r="O416" s="4">
        <f t="shared" si="37"/>
        <v>2.4504950495049506E-2</v>
      </c>
      <c r="P416">
        <f t="shared" si="38"/>
        <v>2.1774747474747476</v>
      </c>
      <c r="Q416" s="2">
        <f t="shared" si="39"/>
        <v>16.58230769230769</v>
      </c>
      <c r="R416" s="2">
        <f t="shared" si="40"/>
        <v>43.113999999999997</v>
      </c>
      <c r="S416" s="2">
        <f t="shared" si="41"/>
        <v>6.9675743378021062</v>
      </c>
    </row>
    <row r="417" spans="1:19" hidden="1">
      <c r="A417" t="s">
        <v>470</v>
      </c>
      <c r="B417" t="s">
        <v>30</v>
      </c>
      <c r="C417">
        <v>124</v>
      </c>
      <c r="D417">
        <v>5956</v>
      </c>
      <c r="E417" s="2">
        <v>201.44</v>
      </c>
      <c r="F417">
        <v>12</v>
      </c>
      <c r="G417">
        <v>9</v>
      </c>
      <c r="H417">
        <v>7.2999999999999995E-2</v>
      </c>
      <c r="I417" s="3">
        <v>1598</v>
      </c>
      <c r="J417" s="1">
        <v>45620</v>
      </c>
      <c r="K417" t="s">
        <v>31</v>
      </c>
      <c r="L417" t="s">
        <v>9</v>
      </c>
      <c r="M417" t="s">
        <v>37</v>
      </c>
      <c r="N417" s="1">
        <f t="shared" si="36"/>
        <v>45620</v>
      </c>
      <c r="O417" s="4">
        <f t="shared" si="37"/>
        <v>2.0819341840161182E-2</v>
      </c>
      <c r="P417">
        <f t="shared" si="38"/>
        <v>1.6245161290322581</v>
      </c>
      <c r="Q417" s="2">
        <f t="shared" si="39"/>
        <v>16.786666666666665</v>
      </c>
      <c r="R417" s="2">
        <f t="shared" si="40"/>
        <v>22.382222222222222</v>
      </c>
      <c r="S417" s="2">
        <f t="shared" si="41"/>
        <v>7.9328832406671959</v>
      </c>
    </row>
    <row r="418" spans="1:19" hidden="1">
      <c r="A418" t="s">
        <v>471</v>
      </c>
      <c r="B418" t="s">
        <v>30</v>
      </c>
      <c r="C418">
        <v>138</v>
      </c>
      <c r="D418">
        <v>4769</v>
      </c>
      <c r="E418" s="2">
        <v>229.44</v>
      </c>
      <c r="F418">
        <v>27</v>
      </c>
      <c r="G418">
        <v>8</v>
      </c>
      <c r="H418">
        <v>5.8000000000000003E-2</v>
      </c>
      <c r="I418" s="3">
        <v>1505</v>
      </c>
      <c r="J418" s="1" t="s">
        <v>348</v>
      </c>
      <c r="K418" t="s">
        <v>31</v>
      </c>
      <c r="L418" t="s">
        <v>8</v>
      </c>
      <c r="M418" t="s">
        <v>39</v>
      </c>
      <c r="N418" s="1">
        <f t="shared" si="36"/>
        <v>45615</v>
      </c>
      <c r="O418" s="4">
        <f t="shared" si="37"/>
        <v>2.8936884042776265E-2</v>
      </c>
      <c r="P418">
        <f t="shared" si="38"/>
        <v>1.662608695652174</v>
      </c>
      <c r="Q418" s="2">
        <f t="shared" si="39"/>
        <v>8.4977777777777774</v>
      </c>
      <c r="R418" s="2">
        <f t="shared" si="40"/>
        <v>28.68</v>
      </c>
      <c r="S418" s="2">
        <f t="shared" si="41"/>
        <v>6.5594490934449095</v>
      </c>
    </row>
    <row r="419" spans="1:19" hidden="1">
      <c r="A419" t="s">
        <v>472</v>
      </c>
      <c r="B419" t="s">
        <v>30</v>
      </c>
      <c r="C419">
        <v>140</v>
      </c>
      <c r="D419">
        <v>3822</v>
      </c>
      <c r="E419" s="2">
        <v>241.68</v>
      </c>
      <c r="F419">
        <v>30</v>
      </c>
      <c r="G419">
        <v>10</v>
      </c>
      <c r="H419">
        <v>5.7000000000000002E-2</v>
      </c>
      <c r="I419" s="3">
        <v>1138</v>
      </c>
      <c r="J419" s="1">
        <v>45615</v>
      </c>
      <c r="K419" t="s">
        <v>31</v>
      </c>
      <c r="L419" t="s">
        <v>9</v>
      </c>
      <c r="M419" t="s">
        <v>35</v>
      </c>
      <c r="N419" s="1">
        <f t="shared" si="36"/>
        <v>45615</v>
      </c>
      <c r="O419" s="4">
        <f t="shared" si="37"/>
        <v>3.6630036630036632E-2</v>
      </c>
      <c r="P419">
        <f t="shared" si="38"/>
        <v>1.7262857142857144</v>
      </c>
      <c r="Q419" s="2">
        <f t="shared" si="39"/>
        <v>8.0560000000000009</v>
      </c>
      <c r="R419" s="2">
        <f t="shared" si="40"/>
        <v>24.167999999999999</v>
      </c>
      <c r="S419" s="2">
        <f t="shared" si="41"/>
        <v>4.708705726580602</v>
      </c>
    </row>
    <row r="420" spans="1:19" hidden="1">
      <c r="A420" t="s">
        <v>473</v>
      </c>
      <c r="B420" t="s">
        <v>30</v>
      </c>
      <c r="C420">
        <v>81</v>
      </c>
      <c r="D420">
        <v>3147</v>
      </c>
      <c r="E420" s="2">
        <v>232.2</v>
      </c>
      <c r="F420">
        <v>30</v>
      </c>
      <c r="G420">
        <v>9</v>
      </c>
      <c r="H420">
        <v>0.111</v>
      </c>
      <c r="I420" s="3">
        <v>1066</v>
      </c>
      <c r="J420" s="1">
        <v>45625</v>
      </c>
      <c r="K420" t="s">
        <v>31</v>
      </c>
      <c r="L420" t="s">
        <v>8</v>
      </c>
      <c r="M420" t="s">
        <v>35</v>
      </c>
      <c r="N420" s="1">
        <f t="shared" si="36"/>
        <v>45625</v>
      </c>
      <c r="O420" s="4">
        <f t="shared" si="37"/>
        <v>2.5738798856053385E-2</v>
      </c>
      <c r="P420">
        <f t="shared" si="38"/>
        <v>2.8666666666666667</v>
      </c>
      <c r="Q420" s="2">
        <f t="shared" si="39"/>
        <v>7.7399999999999993</v>
      </c>
      <c r="R420" s="2">
        <f t="shared" si="40"/>
        <v>25.799999999999997</v>
      </c>
      <c r="S420" s="2">
        <f t="shared" si="41"/>
        <v>4.5908699397071491</v>
      </c>
    </row>
    <row r="421" spans="1:19" hidden="1">
      <c r="A421" t="s">
        <v>474</v>
      </c>
      <c r="B421" t="s">
        <v>30</v>
      </c>
      <c r="C421">
        <v>165</v>
      </c>
      <c r="D421">
        <v>4613</v>
      </c>
      <c r="E421" s="2">
        <v>246.72</v>
      </c>
      <c r="F421">
        <v>19</v>
      </c>
      <c r="G421">
        <v>3</v>
      </c>
      <c r="H421">
        <v>1.7999999999999999E-2</v>
      </c>
      <c r="I421" s="3">
        <v>1055</v>
      </c>
      <c r="J421" s="1">
        <v>45607</v>
      </c>
      <c r="K421" t="s">
        <v>31</v>
      </c>
      <c r="L421" t="s">
        <v>9</v>
      </c>
      <c r="M421" t="s">
        <v>39</v>
      </c>
      <c r="N421" s="1">
        <f t="shared" si="36"/>
        <v>45607</v>
      </c>
      <c r="O421" s="4">
        <f t="shared" si="37"/>
        <v>3.5768480381530458E-2</v>
      </c>
      <c r="P421">
        <f t="shared" si="38"/>
        <v>1.4952727272727273</v>
      </c>
      <c r="Q421" s="2">
        <f t="shared" si="39"/>
        <v>12.985263157894737</v>
      </c>
      <c r="R421" s="2">
        <f t="shared" si="40"/>
        <v>82.24</v>
      </c>
      <c r="S421" s="2">
        <f t="shared" si="41"/>
        <v>4.2761024643320367</v>
      </c>
    </row>
    <row r="422" spans="1:19" hidden="1">
      <c r="A422" t="s">
        <v>475</v>
      </c>
      <c r="B422" t="s">
        <v>30</v>
      </c>
      <c r="C422">
        <v>193</v>
      </c>
      <c r="D422">
        <v>4919</v>
      </c>
      <c r="E422" s="2">
        <v>247.24</v>
      </c>
      <c r="F422">
        <v>19</v>
      </c>
      <c r="G422">
        <v>4</v>
      </c>
      <c r="H422">
        <v>2.1000000000000001E-2</v>
      </c>
      <c r="I422" s="3">
        <v>1933</v>
      </c>
      <c r="J422" s="1" t="s">
        <v>206</v>
      </c>
      <c r="K422" t="s">
        <v>31</v>
      </c>
      <c r="L422" t="s">
        <v>7</v>
      </c>
      <c r="M422" t="s">
        <v>37</v>
      </c>
      <c r="N422" s="1">
        <f t="shared" si="36"/>
        <v>45621</v>
      </c>
      <c r="O422" s="4">
        <f t="shared" si="37"/>
        <v>3.9235616995324255E-2</v>
      </c>
      <c r="P422">
        <f t="shared" si="38"/>
        <v>1.2810362694300519</v>
      </c>
      <c r="Q422" s="2">
        <f t="shared" si="39"/>
        <v>13.012631578947369</v>
      </c>
      <c r="R422" s="2">
        <f t="shared" si="40"/>
        <v>61.81</v>
      </c>
      <c r="S422" s="2">
        <f t="shared" si="41"/>
        <v>7.8183141886426144</v>
      </c>
    </row>
    <row r="423" spans="1:19">
      <c r="A423" t="s">
        <v>476</v>
      </c>
      <c r="B423" t="s">
        <v>30</v>
      </c>
      <c r="C423">
        <v>149</v>
      </c>
      <c r="D423">
        <v>5205</v>
      </c>
      <c r="E423" s="2">
        <v>218.42</v>
      </c>
      <c r="F423">
        <v>20</v>
      </c>
      <c r="G423">
        <v>4</v>
      </c>
      <c r="H423">
        <v>4.5999999999999999E-2</v>
      </c>
      <c r="I423" s="3">
        <v>1070</v>
      </c>
      <c r="J423" s="1">
        <v>45624</v>
      </c>
      <c r="K423" t="s">
        <v>31</v>
      </c>
      <c r="L423" t="s">
        <v>8</v>
      </c>
      <c r="M423" t="s">
        <v>41</v>
      </c>
      <c r="N423" s="1">
        <f t="shared" si="36"/>
        <v>45624</v>
      </c>
      <c r="O423" s="4">
        <f t="shared" si="37"/>
        <v>2.862632084534102E-2</v>
      </c>
      <c r="P423">
        <f t="shared" si="38"/>
        <v>1.4659060402684563</v>
      </c>
      <c r="Q423" s="2">
        <f t="shared" si="39"/>
        <v>10.920999999999999</v>
      </c>
      <c r="R423" s="2">
        <f t="shared" si="40"/>
        <v>54.604999999999997</v>
      </c>
      <c r="S423" s="2">
        <f t="shared" si="41"/>
        <v>4.8988187894881428</v>
      </c>
    </row>
    <row r="424" spans="1:19" hidden="1">
      <c r="A424" t="s">
        <v>477</v>
      </c>
      <c r="B424" t="s">
        <v>30</v>
      </c>
      <c r="C424">
        <v>81</v>
      </c>
      <c r="D424">
        <v>3497</v>
      </c>
      <c r="E424" s="2">
        <v>226.66</v>
      </c>
      <c r="F424">
        <v>11</v>
      </c>
      <c r="G424">
        <v>6</v>
      </c>
      <c r="H424">
        <v>7.3999999999999996E-2</v>
      </c>
      <c r="I424" s="3">
        <v>1047</v>
      </c>
      <c r="J424" s="1">
        <v>45615</v>
      </c>
      <c r="K424" t="s">
        <v>31</v>
      </c>
      <c r="L424" t="s">
        <v>8</v>
      </c>
      <c r="M424" t="s">
        <v>37</v>
      </c>
      <c r="N424" s="1">
        <f t="shared" si="36"/>
        <v>45615</v>
      </c>
      <c r="O424" s="4">
        <f t="shared" si="37"/>
        <v>2.3162710895052903E-2</v>
      </c>
      <c r="P424">
        <f t="shared" si="38"/>
        <v>2.7982716049382717</v>
      </c>
      <c r="Q424" s="2">
        <f t="shared" si="39"/>
        <v>20.605454545454545</v>
      </c>
      <c r="R424" s="2">
        <f t="shared" si="40"/>
        <v>37.776666666666664</v>
      </c>
      <c r="S424" s="2">
        <f t="shared" si="41"/>
        <v>4.6192535074561016</v>
      </c>
    </row>
    <row r="425" spans="1:19">
      <c r="A425" t="s">
        <v>478</v>
      </c>
      <c r="B425" t="s">
        <v>30</v>
      </c>
      <c r="C425">
        <v>153</v>
      </c>
      <c r="D425">
        <v>4057</v>
      </c>
      <c r="E425" s="2">
        <v>197.54</v>
      </c>
      <c r="F425">
        <v>23</v>
      </c>
      <c r="G425">
        <v>5</v>
      </c>
      <c r="H425">
        <v>4.5999999999999999E-2</v>
      </c>
      <c r="I425" s="3">
        <v>1926</v>
      </c>
      <c r="J425" s="1" t="s">
        <v>73</v>
      </c>
      <c r="K425" t="s">
        <v>31</v>
      </c>
      <c r="L425" t="s">
        <v>9</v>
      </c>
      <c r="M425" t="s">
        <v>37</v>
      </c>
      <c r="N425" s="1">
        <f t="shared" si="36"/>
        <v>45618</v>
      </c>
      <c r="O425" s="4">
        <f t="shared" si="37"/>
        <v>3.7712595513926549E-2</v>
      </c>
      <c r="P425">
        <f t="shared" si="38"/>
        <v>1.2911111111111111</v>
      </c>
      <c r="Q425" s="2">
        <f t="shared" si="39"/>
        <v>8.5886956521739126</v>
      </c>
      <c r="R425" s="2">
        <f t="shared" si="40"/>
        <v>39.507999999999996</v>
      </c>
      <c r="S425" s="2">
        <f t="shared" si="41"/>
        <v>9.7499240660119479</v>
      </c>
    </row>
    <row r="426" spans="1:19">
      <c r="A426" t="s">
        <v>479</v>
      </c>
      <c r="B426" t="s">
        <v>30</v>
      </c>
      <c r="C426">
        <v>127</v>
      </c>
      <c r="D426">
        <v>5018</v>
      </c>
      <c r="E426" s="2">
        <v>194.25</v>
      </c>
      <c r="F426">
        <v>17</v>
      </c>
      <c r="G426">
        <v>8</v>
      </c>
      <c r="H426">
        <v>4.5999999999999999E-2</v>
      </c>
      <c r="I426" s="3">
        <v>1350</v>
      </c>
      <c r="J426" s="1">
        <v>45617</v>
      </c>
      <c r="K426" t="s">
        <v>31</v>
      </c>
      <c r="L426" t="s">
        <v>8</v>
      </c>
      <c r="M426" t="s">
        <v>37</v>
      </c>
      <c r="N426" s="1">
        <f t="shared" si="36"/>
        <v>45617</v>
      </c>
      <c r="O426" s="4">
        <f t="shared" si="37"/>
        <v>2.530888800318852E-2</v>
      </c>
      <c r="P426">
        <f t="shared" si="38"/>
        <v>1.5295275590551181</v>
      </c>
      <c r="Q426" s="2">
        <f t="shared" si="39"/>
        <v>11.426470588235293</v>
      </c>
      <c r="R426" s="2">
        <f t="shared" si="40"/>
        <v>24.28125</v>
      </c>
      <c r="S426" s="2">
        <f t="shared" si="41"/>
        <v>6.9498069498069501</v>
      </c>
    </row>
    <row r="427" spans="1:19" hidden="1">
      <c r="A427" t="s">
        <v>480</v>
      </c>
      <c r="B427" t="s">
        <v>30</v>
      </c>
      <c r="C427">
        <v>99</v>
      </c>
      <c r="D427">
        <v>4012</v>
      </c>
      <c r="E427" s="2">
        <v>220.76</v>
      </c>
      <c r="F427">
        <v>14</v>
      </c>
      <c r="G427">
        <v>4</v>
      </c>
      <c r="H427">
        <v>0.04</v>
      </c>
      <c r="I427" s="3">
        <v>1698</v>
      </c>
      <c r="J427" s="1">
        <v>45608</v>
      </c>
      <c r="K427" t="s">
        <v>31</v>
      </c>
      <c r="L427" t="s">
        <v>9</v>
      </c>
      <c r="M427" t="s">
        <v>39</v>
      </c>
      <c r="N427" s="1">
        <f t="shared" si="36"/>
        <v>45608</v>
      </c>
      <c r="O427" s="4">
        <f t="shared" si="37"/>
        <v>2.4675972083748755E-2</v>
      </c>
      <c r="P427">
        <f t="shared" si="38"/>
        <v>2.2298989898989898</v>
      </c>
      <c r="Q427" s="2">
        <f t="shared" si="39"/>
        <v>15.768571428571429</v>
      </c>
      <c r="R427" s="2">
        <f t="shared" si="40"/>
        <v>55.19</v>
      </c>
      <c r="S427" s="2">
        <f t="shared" si="41"/>
        <v>7.6916107990578002</v>
      </c>
    </row>
    <row r="428" spans="1:19" hidden="1">
      <c r="A428" t="s">
        <v>481</v>
      </c>
      <c r="B428" t="s">
        <v>30</v>
      </c>
      <c r="C428">
        <v>104</v>
      </c>
      <c r="D428">
        <v>3013</v>
      </c>
      <c r="E428" s="2">
        <v>204.07</v>
      </c>
      <c r="F428">
        <v>12</v>
      </c>
      <c r="G428">
        <v>3</v>
      </c>
      <c r="H428">
        <v>5.8000000000000003E-2</v>
      </c>
      <c r="I428" s="3">
        <v>1016</v>
      </c>
      <c r="J428" s="1">
        <v>45616</v>
      </c>
      <c r="K428" t="s">
        <v>31</v>
      </c>
      <c r="L428" t="s">
        <v>8</v>
      </c>
      <c r="M428" t="s">
        <v>32</v>
      </c>
      <c r="N428" s="1">
        <f t="shared" si="36"/>
        <v>45616</v>
      </c>
      <c r="O428" s="4">
        <f t="shared" si="37"/>
        <v>3.4517092598738801E-2</v>
      </c>
      <c r="P428">
        <f t="shared" si="38"/>
        <v>1.9622115384615384</v>
      </c>
      <c r="Q428" s="2">
        <f t="shared" si="39"/>
        <v>17.005833333333332</v>
      </c>
      <c r="R428" s="2">
        <f t="shared" si="40"/>
        <v>68.023333333333326</v>
      </c>
      <c r="S428" s="2">
        <f t="shared" si="41"/>
        <v>4.9786837849757442</v>
      </c>
    </row>
    <row r="429" spans="1:19" hidden="1">
      <c r="A429" t="s">
        <v>482</v>
      </c>
      <c r="B429" t="s">
        <v>30</v>
      </c>
      <c r="C429">
        <v>118</v>
      </c>
      <c r="D429">
        <v>3824</v>
      </c>
      <c r="E429" s="2">
        <v>184.8</v>
      </c>
      <c r="F429">
        <v>16</v>
      </c>
      <c r="G429">
        <v>5</v>
      </c>
      <c r="H429">
        <v>4.2000000000000003E-2</v>
      </c>
      <c r="I429" s="3">
        <v>1818</v>
      </c>
      <c r="J429" s="1">
        <v>45615</v>
      </c>
      <c r="K429" t="s">
        <v>31</v>
      </c>
      <c r="L429" t="s">
        <v>7</v>
      </c>
      <c r="M429" t="s">
        <v>32</v>
      </c>
      <c r="N429" s="1">
        <f t="shared" si="36"/>
        <v>45615</v>
      </c>
      <c r="O429" s="4">
        <f t="shared" si="37"/>
        <v>3.0857740585774059E-2</v>
      </c>
      <c r="P429">
        <f t="shared" si="38"/>
        <v>1.5661016949152544</v>
      </c>
      <c r="Q429" s="2">
        <f t="shared" si="39"/>
        <v>11.55</v>
      </c>
      <c r="R429" s="2">
        <f t="shared" si="40"/>
        <v>36.96</v>
      </c>
      <c r="S429" s="2">
        <f t="shared" si="41"/>
        <v>9.8376623376623371</v>
      </c>
    </row>
    <row r="430" spans="1:19">
      <c r="A430" t="s">
        <v>483</v>
      </c>
      <c r="B430" t="s">
        <v>30</v>
      </c>
      <c r="C430">
        <v>148</v>
      </c>
      <c r="D430">
        <v>5000</v>
      </c>
      <c r="E430" s="2">
        <v>224.41</v>
      </c>
      <c r="F430">
        <v>11</v>
      </c>
      <c r="G430">
        <v>3</v>
      </c>
      <c r="H430">
        <v>4.5999999999999999E-2</v>
      </c>
      <c r="I430" s="3">
        <v>1491</v>
      </c>
      <c r="J430" s="1">
        <v>45626</v>
      </c>
      <c r="K430" t="s">
        <v>31</v>
      </c>
      <c r="L430" t="s">
        <v>8</v>
      </c>
      <c r="M430" t="s">
        <v>41</v>
      </c>
      <c r="N430" s="1">
        <f t="shared" si="36"/>
        <v>45626</v>
      </c>
      <c r="O430" s="4">
        <f t="shared" si="37"/>
        <v>2.9600000000000001E-2</v>
      </c>
      <c r="P430">
        <f t="shared" si="38"/>
        <v>1.5162837837837837</v>
      </c>
      <c r="Q430" s="2">
        <f t="shared" si="39"/>
        <v>20.400909090909092</v>
      </c>
      <c r="R430" s="2">
        <f t="shared" si="40"/>
        <v>74.803333333333327</v>
      </c>
      <c r="S430" s="2">
        <f t="shared" si="41"/>
        <v>6.6440889443429434</v>
      </c>
    </row>
    <row r="431" spans="1:19" hidden="1">
      <c r="A431" t="s">
        <v>484</v>
      </c>
      <c r="B431" t="s">
        <v>30</v>
      </c>
      <c r="C431">
        <v>88</v>
      </c>
      <c r="D431">
        <v>3804</v>
      </c>
      <c r="E431" s="2">
        <v>249.2</v>
      </c>
      <c r="F431">
        <v>10</v>
      </c>
      <c r="G431">
        <v>8</v>
      </c>
      <c r="H431">
        <v>3.7999999999999999E-2</v>
      </c>
      <c r="I431" s="3">
        <v>1044</v>
      </c>
      <c r="J431" s="1">
        <v>45605</v>
      </c>
      <c r="K431" t="s">
        <v>31</v>
      </c>
      <c r="L431" t="s">
        <v>9</v>
      </c>
      <c r="M431" t="s">
        <v>39</v>
      </c>
      <c r="N431" s="1">
        <f t="shared" si="36"/>
        <v>45605</v>
      </c>
      <c r="O431" s="4">
        <f t="shared" si="37"/>
        <v>2.3133543638275498E-2</v>
      </c>
      <c r="P431">
        <f t="shared" si="38"/>
        <v>2.8318181818181816</v>
      </c>
      <c r="Q431" s="2">
        <f t="shared" si="39"/>
        <v>24.919999999999998</v>
      </c>
      <c r="R431" s="2">
        <f t="shared" si="40"/>
        <v>31.15</v>
      </c>
      <c r="S431" s="2">
        <f t="shared" si="41"/>
        <v>4.1894060995184592</v>
      </c>
    </row>
    <row r="432" spans="1:19" hidden="1">
      <c r="A432" t="s">
        <v>485</v>
      </c>
      <c r="B432" t="s">
        <v>30</v>
      </c>
      <c r="C432">
        <v>142</v>
      </c>
      <c r="D432">
        <v>3791</v>
      </c>
      <c r="E432" s="2">
        <v>207.86</v>
      </c>
      <c r="F432">
        <v>23</v>
      </c>
      <c r="G432">
        <v>4</v>
      </c>
      <c r="H432">
        <v>2.8000000000000001E-2</v>
      </c>
      <c r="I432" s="3">
        <v>1073</v>
      </c>
      <c r="J432" s="1">
        <v>45616</v>
      </c>
      <c r="K432" t="s">
        <v>31</v>
      </c>
      <c r="L432" t="s">
        <v>9</v>
      </c>
      <c r="M432" t="s">
        <v>37</v>
      </c>
      <c r="N432" s="1">
        <f t="shared" si="36"/>
        <v>45616</v>
      </c>
      <c r="O432" s="4">
        <f t="shared" si="37"/>
        <v>3.745713532049591E-2</v>
      </c>
      <c r="P432">
        <f t="shared" si="38"/>
        <v>1.4638028169014086</v>
      </c>
      <c r="Q432" s="2">
        <f t="shared" si="39"/>
        <v>9.0373913043478264</v>
      </c>
      <c r="R432" s="2">
        <f t="shared" si="40"/>
        <v>51.965000000000003</v>
      </c>
      <c r="S432" s="2">
        <f t="shared" si="41"/>
        <v>5.1621283556239774</v>
      </c>
    </row>
    <row r="433" spans="1:19" hidden="1">
      <c r="A433" t="s">
        <v>486</v>
      </c>
      <c r="B433" t="s">
        <v>30</v>
      </c>
      <c r="C433">
        <v>127</v>
      </c>
      <c r="D433">
        <v>5198</v>
      </c>
      <c r="E433" s="2">
        <v>242.56</v>
      </c>
      <c r="F433">
        <v>26</v>
      </c>
      <c r="G433">
        <v>6</v>
      </c>
      <c r="H433">
        <v>4.7E-2</v>
      </c>
      <c r="I433" s="3">
        <v>1872</v>
      </c>
      <c r="J433" s="1">
        <v>45612</v>
      </c>
      <c r="K433" t="s">
        <v>31</v>
      </c>
      <c r="L433" t="s">
        <v>9</v>
      </c>
      <c r="M433" t="s">
        <v>32</v>
      </c>
      <c r="N433" s="1">
        <f t="shared" si="36"/>
        <v>45612</v>
      </c>
      <c r="O433" s="4">
        <f t="shared" si="37"/>
        <v>2.4432474028472491E-2</v>
      </c>
      <c r="P433">
        <f t="shared" si="38"/>
        <v>1.9099212598425197</v>
      </c>
      <c r="Q433" s="2">
        <f t="shared" si="39"/>
        <v>9.3292307692307688</v>
      </c>
      <c r="R433" s="2">
        <f t="shared" si="40"/>
        <v>40.426666666666669</v>
      </c>
      <c r="S433" s="2">
        <f t="shared" si="41"/>
        <v>7.7176781002638526</v>
      </c>
    </row>
    <row r="434" spans="1:19">
      <c r="A434" t="s">
        <v>487</v>
      </c>
      <c r="B434" t="s">
        <v>30</v>
      </c>
      <c r="C434">
        <v>117</v>
      </c>
      <c r="D434">
        <v>5329</v>
      </c>
      <c r="E434" s="2">
        <v>212.49</v>
      </c>
      <c r="F434">
        <v>14</v>
      </c>
      <c r="G434">
        <v>5</v>
      </c>
      <c r="H434">
        <v>4.5999999999999999E-2</v>
      </c>
      <c r="I434" s="3">
        <v>1888</v>
      </c>
      <c r="J434" s="1">
        <v>45599</v>
      </c>
      <c r="K434" t="s">
        <v>31</v>
      </c>
      <c r="L434" t="s">
        <v>8</v>
      </c>
      <c r="M434" t="s">
        <v>35</v>
      </c>
      <c r="N434" s="1">
        <f t="shared" si="36"/>
        <v>45599</v>
      </c>
      <c r="O434" s="4">
        <f t="shared" si="37"/>
        <v>2.1955338712704071E-2</v>
      </c>
      <c r="P434">
        <f t="shared" si="38"/>
        <v>1.8161538461538462</v>
      </c>
      <c r="Q434" s="2">
        <f t="shared" si="39"/>
        <v>15.177857142857144</v>
      </c>
      <c r="R434" s="2">
        <f t="shared" si="40"/>
        <v>42.498000000000005</v>
      </c>
      <c r="S434" s="2">
        <f t="shared" si="41"/>
        <v>8.8851240058355678</v>
      </c>
    </row>
    <row r="435" spans="1:19" hidden="1">
      <c r="A435" t="s">
        <v>488</v>
      </c>
      <c r="B435" t="s">
        <v>30</v>
      </c>
      <c r="C435">
        <v>125</v>
      </c>
      <c r="D435">
        <v>5435</v>
      </c>
      <c r="E435" s="2">
        <v>202.65</v>
      </c>
      <c r="F435">
        <v>25</v>
      </c>
      <c r="G435">
        <v>5</v>
      </c>
      <c r="H435">
        <v>0.04</v>
      </c>
      <c r="I435" s="3">
        <v>1767</v>
      </c>
      <c r="J435" s="1">
        <v>45619</v>
      </c>
      <c r="K435" t="s">
        <v>31</v>
      </c>
      <c r="L435" t="s">
        <v>7</v>
      </c>
      <c r="M435" t="s">
        <v>41</v>
      </c>
      <c r="N435" s="1">
        <f t="shared" si="36"/>
        <v>45619</v>
      </c>
      <c r="O435" s="4">
        <f t="shared" si="37"/>
        <v>2.2999080036798528E-2</v>
      </c>
      <c r="P435">
        <f t="shared" si="38"/>
        <v>1.6212</v>
      </c>
      <c r="Q435" s="2">
        <f t="shared" si="39"/>
        <v>8.1059999999999999</v>
      </c>
      <c r="R435" s="2">
        <f t="shared" si="40"/>
        <v>40.53</v>
      </c>
      <c r="S435" s="2">
        <f t="shared" si="41"/>
        <v>8.7194670614359726</v>
      </c>
    </row>
    <row r="436" spans="1:19">
      <c r="A436" t="s">
        <v>489</v>
      </c>
      <c r="B436" t="s">
        <v>30</v>
      </c>
      <c r="C436">
        <v>92</v>
      </c>
      <c r="D436">
        <v>4977</v>
      </c>
      <c r="E436" s="2">
        <v>209.78</v>
      </c>
      <c r="F436">
        <v>26</v>
      </c>
      <c r="G436">
        <v>3</v>
      </c>
      <c r="H436">
        <v>4.5999999999999999E-2</v>
      </c>
      <c r="I436" s="3">
        <v>1834</v>
      </c>
      <c r="J436" s="1">
        <v>45608</v>
      </c>
      <c r="K436" t="s">
        <v>31</v>
      </c>
      <c r="L436" t="s">
        <v>9</v>
      </c>
      <c r="M436" t="s">
        <v>32</v>
      </c>
      <c r="N436" s="1">
        <f t="shared" si="36"/>
        <v>45608</v>
      </c>
      <c r="O436" s="4">
        <f t="shared" si="37"/>
        <v>1.848503114325899E-2</v>
      </c>
      <c r="P436">
        <f t="shared" si="38"/>
        <v>2.280217391304348</v>
      </c>
      <c r="Q436" s="2">
        <f t="shared" si="39"/>
        <v>8.0684615384615377</v>
      </c>
      <c r="R436" s="2">
        <f t="shared" si="40"/>
        <v>69.926666666666662</v>
      </c>
      <c r="S436" s="2">
        <f t="shared" si="41"/>
        <v>8.7424921346172173</v>
      </c>
    </row>
    <row r="437" spans="1:19" hidden="1">
      <c r="A437" t="s">
        <v>490</v>
      </c>
      <c r="B437" t="s">
        <v>30</v>
      </c>
      <c r="C437">
        <v>112</v>
      </c>
      <c r="D437">
        <v>3850</v>
      </c>
      <c r="E437" s="2">
        <v>233.52</v>
      </c>
      <c r="F437">
        <v>14</v>
      </c>
      <c r="G437">
        <v>8</v>
      </c>
      <c r="H437">
        <v>3.3000000000000002E-2</v>
      </c>
      <c r="I437" s="3">
        <v>1760</v>
      </c>
      <c r="J437" s="1">
        <v>45618</v>
      </c>
      <c r="K437" t="s">
        <v>31</v>
      </c>
      <c r="L437" t="s">
        <v>7</v>
      </c>
      <c r="M437" t="s">
        <v>35</v>
      </c>
      <c r="N437" s="1">
        <f t="shared" si="36"/>
        <v>45618</v>
      </c>
      <c r="O437" s="4">
        <f t="shared" si="37"/>
        <v>2.9090909090909091E-2</v>
      </c>
      <c r="P437">
        <f t="shared" si="38"/>
        <v>2.085</v>
      </c>
      <c r="Q437" s="2">
        <f t="shared" si="39"/>
        <v>16.68</v>
      </c>
      <c r="R437" s="2">
        <f t="shared" si="40"/>
        <v>29.19</v>
      </c>
      <c r="S437" s="2">
        <f t="shared" si="41"/>
        <v>7.5368276807125723</v>
      </c>
    </row>
    <row r="438" spans="1:19" hidden="1">
      <c r="A438" t="s">
        <v>491</v>
      </c>
      <c r="B438" t="s">
        <v>30</v>
      </c>
      <c r="C438">
        <v>144</v>
      </c>
      <c r="D438">
        <v>5976</v>
      </c>
      <c r="E438" s="2">
        <v>197.65</v>
      </c>
      <c r="F438">
        <v>13</v>
      </c>
      <c r="G438">
        <v>9</v>
      </c>
      <c r="H438">
        <v>6.2E-2</v>
      </c>
      <c r="I438" s="3">
        <v>1743</v>
      </c>
      <c r="J438" s="1">
        <v>45618</v>
      </c>
      <c r="K438" t="s">
        <v>31</v>
      </c>
      <c r="L438" t="s">
        <v>8</v>
      </c>
      <c r="M438" t="s">
        <v>35</v>
      </c>
      <c r="N438" s="1">
        <f t="shared" si="36"/>
        <v>45618</v>
      </c>
      <c r="O438" s="4">
        <f t="shared" si="37"/>
        <v>2.4096385542168676E-2</v>
      </c>
      <c r="P438">
        <f t="shared" si="38"/>
        <v>1.3725694444444445</v>
      </c>
      <c r="Q438" s="2">
        <f t="shared" si="39"/>
        <v>15.203846153846154</v>
      </c>
      <c r="R438" s="2">
        <f t="shared" si="40"/>
        <v>21.961111111111112</v>
      </c>
      <c r="S438" s="2">
        <f t="shared" si="41"/>
        <v>8.8186187705540089</v>
      </c>
    </row>
    <row r="439" spans="1:19">
      <c r="A439" t="s">
        <v>492</v>
      </c>
      <c r="B439" t="s">
        <v>30</v>
      </c>
      <c r="C439">
        <v>103</v>
      </c>
      <c r="D439">
        <v>4693</v>
      </c>
      <c r="E439" s="2">
        <v>218.67</v>
      </c>
      <c r="F439">
        <v>14</v>
      </c>
      <c r="G439">
        <v>10</v>
      </c>
      <c r="H439">
        <v>4.5999999999999999E-2</v>
      </c>
      <c r="I439" s="3">
        <v>1390</v>
      </c>
      <c r="J439" s="1">
        <v>45605</v>
      </c>
      <c r="K439" t="s">
        <v>31</v>
      </c>
      <c r="L439" t="s">
        <v>8</v>
      </c>
      <c r="M439" t="s">
        <v>32</v>
      </c>
      <c r="N439" s="1">
        <f t="shared" si="36"/>
        <v>45605</v>
      </c>
      <c r="O439" s="4">
        <f t="shared" si="37"/>
        <v>2.1947581504368208E-2</v>
      </c>
      <c r="P439">
        <f t="shared" si="38"/>
        <v>2.1230097087378641</v>
      </c>
      <c r="Q439" s="2">
        <f t="shared" si="39"/>
        <v>15.619285714285713</v>
      </c>
      <c r="R439" s="2">
        <f t="shared" si="40"/>
        <v>21.866999999999997</v>
      </c>
      <c r="S439" s="2">
        <f t="shared" si="41"/>
        <v>6.3566104175241236</v>
      </c>
    </row>
    <row r="440" spans="1:19">
      <c r="A440" t="s">
        <v>493</v>
      </c>
      <c r="B440" t="s">
        <v>30</v>
      </c>
      <c r="C440">
        <v>117</v>
      </c>
      <c r="D440">
        <v>4367</v>
      </c>
      <c r="E440" s="2">
        <v>233.27</v>
      </c>
      <c r="F440">
        <v>24</v>
      </c>
      <c r="G440">
        <v>3</v>
      </c>
      <c r="H440">
        <v>4.5999999999999999E-2</v>
      </c>
      <c r="I440" s="3">
        <v>1238</v>
      </c>
      <c r="J440" s="1">
        <v>45620</v>
      </c>
      <c r="K440" t="s">
        <v>31</v>
      </c>
      <c r="L440" t="s">
        <v>9</v>
      </c>
      <c r="M440" t="s">
        <v>32</v>
      </c>
      <c r="N440" s="1">
        <f t="shared" si="36"/>
        <v>45620</v>
      </c>
      <c r="O440" s="4">
        <f t="shared" si="37"/>
        <v>2.6791847950538128E-2</v>
      </c>
      <c r="P440">
        <f t="shared" si="38"/>
        <v>1.9937606837606838</v>
      </c>
      <c r="Q440" s="2">
        <f t="shared" si="39"/>
        <v>9.7195833333333344</v>
      </c>
      <c r="R440" s="2">
        <f t="shared" si="40"/>
        <v>77.756666666666675</v>
      </c>
      <c r="S440" s="2">
        <f t="shared" si="41"/>
        <v>5.3071547991597718</v>
      </c>
    </row>
    <row r="441" spans="1:19" hidden="1">
      <c r="A441" t="s">
        <v>494</v>
      </c>
      <c r="B441" t="s">
        <v>30</v>
      </c>
      <c r="C441">
        <v>100</v>
      </c>
      <c r="D441">
        <v>5481</v>
      </c>
      <c r="E441" s="2">
        <v>180.72</v>
      </c>
      <c r="F441">
        <v>14</v>
      </c>
      <c r="G441">
        <v>7</v>
      </c>
      <c r="H441">
        <v>7.0000000000000007E-2</v>
      </c>
      <c r="I441" s="3">
        <v>1185</v>
      </c>
      <c r="J441" s="1">
        <v>45598</v>
      </c>
      <c r="K441" t="s">
        <v>31</v>
      </c>
      <c r="L441" t="s">
        <v>7</v>
      </c>
      <c r="M441" t="s">
        <v>46</v>
      </c>
      <c r="N441" s="1">
        <f t="shared" si="36"/>
        <v>45598</v>
      </c>
      <c r="O441" s="4">
        <f t="shared" si="37"/>
        <v>1.8244845831052729E-2</v>
      </c>
      <c r="P441">
        <f t="shared" si="38"/>
        <v>1.8071999999999999</v>
      </c>
      <c r="Q441" s="2">
        <f t="shared" si="39"/>
        <v>12.908571428571429</v>
      </c>
      <c r="R441" s="2">
        <f t="shared" si="40"/>
        <v>25.817142857142859</v>
      </c>
      <c r="S441" s="2">
        <f t="shared" si="41"/>
        <v>6.5571049136786188</v>
      </c>
    </row>
    <row r="442" spans="1:19" hidden="1">
      <c r="A442" t="s">
        <v>495</v>
      </c>
      <c r="B442" t="s">
        <v>30</v>
      </c>
      <c r="C442">
        <v>179</v>
      </c>
      <c r="D442">
        <v>4109</v>
      </c>
      <c r="E442" s="2">
        <v>191.84</v>
      </c>
      <c r="F442">
        <v>19</v>
      </c>
      <c r="G442">
        <v>4</v>
      </c>
      <c r="H442">
        <v>2.1999999999999999E-2</v>
      </c>
      <c r="I442" s="3">
        <v>1961</v>
      </c>
      <c r="J442" s="1">
        <v>45333</v>
      </c>
      <c r="K442" t="s">
        <v>31</v>
      </c>
      <c r="L442" t="s">
        <v>9</v>
      </c>
      <c r="M442" t="s">
        <v>41</v>
      </c>
      <c r="N442" s="1">
        <f t="shared" si="36"/>
        <v>45333</v>
      </c>
      <c r="O442" s="4">
        <f t="shared" si="37"/>
        <v>4.356291068386469E-2</v>
      </c>
      <c r="P442">
        <f t="shared" si="38"/>
        <v>1.0717318435754191</v>
      </c>
      <c r="Q442" s="2">
        <f t="shared" si="39"/>
        <v>10.096842105263159</v>
      </c>
      <c r="R442" s="2">
        <f t="shared" si="40"/>
        <v>47.96</v>
      </c>
      <c r="S442" s="2">
        <f t="shared" si="41"/>
        <v>10.222060050041701</v>
      </c>
    </row>
    <row r="443" spans="1:19" hidden="1">
      <c r="A443" t="s">
        <v>496</v>
      </c>
      <c r="B443" t="s">
        <v>30</v>
      </c>
      <c r="C443">
        <v>180</v>
      </c>
      <c r="D443">
        <v>3887</v>
      </c>
      <c r="E443" s="2">
        <v>186.26</v>
      </c>
      <c r="F443">
        <v>18</v>
      </c>
      <c r="G443">
        <v>6</v>
      </c>
      <c r="H443">
        <v>3.3000000000000002E-2</v>
      </c>
      <c r="I443" s="3">
        <v>1048</v>
      </c>
      <c r="J443" s="1">
        <v>45423</v>
      </c>
      <c r="K443" t="s">
        <v>31</v>
      </c>
      <c r="L443" t="s">
        <v>7</v>
      </c>
      <c r="M443" t="s">
        <v>35</v>
      </c>
      <c r="N443" s="1">
        <f t="shared" si="36"/>
        <v>45423</v>
      </c>
      <c r="O443" s="4">
        <f t="shared" si="37"/>
        <v>4.6308206843323901E-2</v>
      </c>
      <c r="P443">
        <f t="shared" si="38"/>
        <v>1.0347777777777778</v>
      </c>
      <c r="Q443" s="2">
        <f t="shared" si="39"/>
        <v>10.347777777777777</v>
      </c>
      <c r="R443" s="2">
        <f t="shared" si="40"/>
        <v>31.043333333333333</v>
      </c>
      <c r="S443" s="2">
        <f t="shared" si="41"/>
        <v>5.6265435412863738</v>
      </c>
    </row>
    <row r="444" spans="1:19" hidden="1">
      <c r="A444" t="s">
        <v>497</v>
      </c>
      <c r="B444" t="s">
        <v>30</v>
      </c>
      <c r="C444">
        <v>146</v>
      </c>
      <c r="D444">
        <v>4633</v>
      </c>
      <c r="E444" s="2">
        <v>186.07</v>
      </c>
      <c r="F444">
        <v>26</v>
      </c>
      <c r="G444">
        <v>3</v>
      </c>
      <c r="H444">
        <v>2.1000000000000001E-2</v>
      </c>
      <c r="I444" s="3">
        <v>1053</v>
      </c>
      <c r="J444" s="1">
        <v>45621</v>
      </c>
      <c r="K444" t="s">
        <v>31</v>
      </c>
      <c r="L444" t="s">
        <v>7</v>
      </c>
      <c r="M444" t="s">
        <v>39</v>
      </c>
      <c r="N444" s="1">
        <f t="shared" si="36"/>
        <v>45621</v>
      </c>
      <c r="O444" s="4">
        <f t="shared" si="37"/>
        <v>3.151305849341679E-2</v>
      </c>
      <c r="P444">
        <f t="shared" si="38"/>
        <v>1.2744520547945204</v>
      </c>
      <c r="Q444" s="2">
        <f t="shared" si="39"/>
        <v>7.1565384615384611</v>
      </c>
      <c r="R444" s="2">
        <f t="shared" si="40"/>
        <v>62.023333333333333</v>
      </c>
      <c r="S444" s="2">
        <f t="shared" si="41"/>
        <v>5.6591605309829633</v>
      </c>
    </row>
    <row r="445" spans="1:19" hidden="1">
      <c r="A445" t="s">
        <v>498</v>
      </c>
      <c r="B445" t="s">
        <v>30</v>
      </c>
      <c r="C445">
        <v>124</v>
      </c>
      <c r="D445">
        <v>5353</v>
      </c>
      <c r="E445" s="2">
        <v>239.69</v>
      </c>
      <c r="F445">
        <v>13</v>
      </c>
      <c r="G445">
        <v>4</v>
      </c>
      <c r="H445">
        <v>3.2000000000000001E-2</v>
      </c>
      <c r="I445" s="3">
        <v>1493</v>
      </c>
      <c r="J445" s="1">
        <v>45615</v>
      </c>
      <c r="K445" t="s">
        <v>31</v>
      </c>
      <c r="L445" t="s">
        <v>7</v>
      </c>
      <c r="M445" t="s">
        <v>32</v>
      </c>
      <c r="N445" s="1">
        <f t="shared" si="36"/>
        <v>45615</v>
      </c>
      <c r="O445" s="4">
        <f t="shared" si="37"/>
        <v>2.3164580609004295E-2</v>
      </c>
      <c r="P445">
        <f t="shared" si="38"/>
        <v>1.9329838709677418</v>
      </c>
      <c r="Q445" s="2">
        <f t="shared" si="39"/>
        <v>18.437692307692309</v>
      </c>
      <c r="R445" s="2">
        <f t="shared" si="40"/>
        <v>59.922499999999999</v>
      </c>
      <c r="S445" s="2">
        <f t="shared" si="41"/>
        <v>6.2288789686678623</v>
      </c>
    </row>
    <row r="446" spans="1:19" hidden="1">
      <c r="A446" t="s">
        <v>499</v>
      </c>
      <c r="B446" t="s">
        <v>30</v>
      </c>
      <c r="C446">
        <v>169</v>
      </c>
      <c r="D446">
        <v>5380</v>
      </c>
      <c r="E446" s="2">
        <v>199.66</v>
      </c>
      <c r="F446">
        <v>27</v>
      </c>
      <c r="G446">
        <v>6</v>
      </c>
      <c r="H446">
        <v>3.5999999999999997E-2</v>
      </c>
      <c r="I446" s="3">
        <v>1059</v>
      </c>
      <c r="J446" s="1">
        <v>45599</v>
      </c>
      <c r="K446" t="s">
        <v>31</v>
      </c>
      <c r="L446" t="s">
        <v>7</v>
      </c>
      <c r="M446" t="s">
        <v>39</v>
      </c>
      <c r="N446" s="1">
        <f t="shared" si="36"/>
        <v>45599</v>
      </c>
      <c r="O446" s="4">
        <f t="shared" si="37"/>
        <v>3.1412639405204459E-2</v>
      </c>
      <c r="P446">
        <f t="shared" si="38"/>
        <v>1.1814201183431952</v>
      </c>
      <c r="Q446" s="2">
        <f t="shared" si="39"/>
        <v>7.394814814814815</v>
      </c>
      <c r="R446" s="2">
        <f t="shared" si="40"/>
        <v>33.276666666666664</v>
      </c>
      <c r="S446" s="2">
        <f t="shared" si="41"/>
        <v>5.3040168286086349</v>
      </c>
    </row>
    <row r="447" spans="1:19">
      <c r="A447" t="s">
        <v>500</v>
      </c>
      <c r="B447" t="s">
        <v>30</v>
      </c>
      <c r="C447">
        <v>91</v>
      </c>
      <c r="D447">
        <v>5104</v>
      </c>
      <c r="E447" s="2">
        <v>211.85</v>
      </c>
      <c r="F447">
        <v>29</v>
      </c>
      <c r="G447">
        <v>9</v>
      </c>
      <c r="H447">
        <v>4.5999999999999999E-2</v>
      </c>
      <c r="I447" s="3">
        <v>1309</v>
      </c>
      <c r="J447" s="1">
        <v>45612</v>
      </c>
      <c r="K447" t="s">
        <v>31</v>
      </c>
      <c r="L447" t="s">
        <v>9</v>
      </c>
      <c r="M447" t="s">
        <v>35</v>
      </c>
      <c r="N447" s="1">
        <f t="shared" si="36"/>
        <v>45612</v>
      </c>
      <c r="O447" s="4">
        <f t="shared" si="37"/>
        <v>1.7829153605015673E-2</v>
      </c>
      <c r="P447">
        <f t="shared" si="38"/>
        <v>2.3280219780219777</v>
      </c>
      <c r="Q447" s="2">
        <f t="shared" si="39"/>
        <v>7.3051724137931036</v>
      </c>
      <c r="R447" s="2">
        <f t="shared" si="40"/>
        <v>23.538888888888888</v>
      </c>
      <c r="S447" s="2">
        <f t="shared" si="41"/>
        <v>6.1789001652112345</v>
      </c>
    </row>
    <row r="448" spans="1:19">
      <c r="A448" t="s">
        <v>501</v>
      </c>
      <c r="B448" t="s">
        <v>30</v>
      </c>
      <c r="C448">
        <v>145</v>
      </c>
      <c r="D448">
        <v>4518.5</v>
      </c>
      <c r="E448" s="2">
        <v>236.03</v>
      </c>
      <c r="F448">
        <v>24</v>
      </c>
      <c r="G448">
        <v>8</v>
      </c>
      <c r="H448">
        <v>4.5999999999999999E-2</v>
      </c>
      <c r="I448" s="3">
        <v>1220</v>
      </c>
      <c r="J448" s="1" t="s">
        <v>132</v>
      </c>
      <c r="K448" t="s">
        <v>31</v>
      </c>
      <c r="L448" t="s">
        <v>7</v>
      </c>
      <c r="M448" t="s">
        <v>41</v>
      </c>
      <c r="N448" s="1">
        <f t="shared" si="36"/>
        <v>45613</v>
      </c>
      <c r="O448" s="4">
        <f t="shared" si="37"/>
        <v>3.2090295452030543E-2</v>
      </c>
      <c r="P448">
        <f t="shared" si="38"/>
        <v>1.6277931034482758</v>
      </c>
      <c r="Q448" s="2">
        <f t="shared" si="39"/>
        <v>9.8345833333333328</v>
      </c>
      <c r="R448" s="2">
        <f t="shared" si="40"/>
        <v>29.50375</v>
      </c>
      <c r="S448" s="2">
        <f t="shared" si="41"/>
        <v>5.1688344701944668</v>
      </c>
    </row>
    <row r="449" spans="1:19">
      <c r="A449" t="s">
        <v>502</v>
      </c>
      <c r="B449" t="s">
        <v>30</v>
      </c>
      <c r="C449">
        <v>115</v>
      </c>
      <c r="D449">
        <v>4345</v>
      </c>
      <c r="E449" s="2">
        <v>229.71</v>
      </c>
      <c r="F449">
        <v>15</v>
      </c>
      <c r="G449">
        <v>4</v>
      </c>
      <c r="H449">
        <v>4.5999999999999999E-2</v>
      </c>
      <c r="I449" s="3">
        <v>1467</v>
      </c>
      <c r="J449" s="1">
        <v>45622</v>
      </c>
      <c r="K449" t="s">
        <v>31</v>
      </c>
      <c r="L449" t="s">
        <v>8</v>
      </c>
      <c r="M449" t="s">
        <v>35</v>
      </c>
      <c r="N449" s="1">
        <f t="shared" si="36"/>
        <v>45622</v>
      </c>
      <c r="O449" s="4">
        <f t="shared" si="37"/>
        <v>2.6467203682393557E-2</v>
      </c>
      <c r="P449">
        <f t="shared" si="38"/>
        <v>1.9974782608695654</v>
      </c>
      <c r="Q449" s="2">
        <f t="shared" si="39"/>
        <v>15.314</v>
      </c>
      <c r="R449" s="2">
        <f t="shared" si="40"/>
        <v>57.427500000000002</v>
      </c>
      <c r="S449" s="2">
        <f t="shared" si="41"/>
        <v>6.386313177484654</v>
      </c>
    </row>
    <row r="450" spans="1:19" hidden="1">
      <c r="A450" t="s">
        <v>503</v>
      </c>
      <c r="B450" t="s">
        <v>30</v>
      </c>
      <c r="C450">
        <v>123</v>
      </c>
      <c r="D450">
        <v>3527</v>
      </c>
      <c r="E450" s="2">
        <v>239.31</v>
      </c>
      <c r="F450">
        <v>21</v>
      </c>
      <c r="G450">
        <v>3</v>
      </c>
      <c r="H450">
        <v>2.4E-2</v>
      </c>
      <c r="I450" s="3">
        <v>1536</v>
      </c>
      <c r="J450" s="1">
        <v>45393</v>
      </c>
      <c r="K450" t="s">
        <v>31</v>
      </c>
      <c r="L450" t="s">
        <v>9</v>
      </c>
      <c r="M450" t="s">
        <v>46</v>
      </c>
      <c r="N450" s="1">
        <f t="shared" ref="N450:N513" si="42">IF(A450="","",IF(ISNUMBER(J450),J450,IF(MID(J450,5,1)="-",DATE(LEFT(J450,4),MID(J450,6,2),RIGHT(J450,2)),IF(MID(J450,5,1)="/",DATE(LEFT(J450,4),MID(J450,6,2),RIGHT(J450,2)),DATE(RIGHT(J450,4),MID(J450,4,2),LEFT(J450,2))))))</f>
        <v>45393</v>
      </c>
      <c r="O450" s="4">
        <f t="shared" ref="O450:O513" si="43">IFERROR(C450/D450,0)</f>
        <v>3.4873830450808052E-2</v>
      </c>
      <c r="P450">
        <f t="shared" ref="P450:P513" si="44">IFERROR(E450/C450,0)</f>
        <v>1.9456097560975609</v>
      </c>
      <c r="Q450" s="2">
        <f t="shared" ref="Q450:Q513" si="45">IFERROR(E450/F450,0)</f>
        <v>11.395714285714286</v>
      </c>
      <c r="R450" s="2">
        <f t="shared" ref="R450:R513" si="46">IFERROR(E450/G450,0)</f>
        <v>79.77</v>
      </c>
      <c r="S450" s="2">
        <f t="shared" ref="S450:S513" si="47">IFERROR(I450/E450,0)</f>
        <v>6.4184530525260124</v>
      </c>
    </row>
    <row r="451" spans="1:19" hidden="1">
      <c r="A451" t="s">
        <v>504</v>
      </c>
      <c r="B451" t="s">
        <v>30</v>
      </c>
      <c r="C451">
        <v>101</v>
      </c>
      <c r="D451">
        <v>3330</v>
      </c>
      <c r="E451" s="2">
        <v>209.8</v>
      </c>
      <c r="F451">
        <v>19</v>
      </c>
      <c r="G451">
        <v>10</v>
      </c>
      <c r="H451">
        <v>9.9000000000000005E-2</v>
      </c>
      <c r="I451" s="3">
        <v>1296</v>
      </c>
      <c r="J451" s="1">
        <v>45610</v>
      </c>
      <c r="K451" t="s">
        <v>31</v>
      </c>
      <c r="L451" t="s">
        <v>8</v>
      </c>
      <c r="M451" t="s">
        <v>39</v>
      </c>
      <c r="N451" s="1">
        <f t="shared" si="42"/>
        <v>45610</v>
      </c>
      <c r="O451" s="4">
        <f t="shared" si="43"/>
        <v>3.0330330330330332E-2</v>
      </c>
      <c r="P451">
        <f t="shared" si="44"/>
        <v>2.0772277227722773</v>
      </c>
      <c r="Q451" s="2">
        <f t="shared" si="45"/>
        <v>11.042105263157895</v>
      </c>
      <c r="R451" s="2">
        <f t="shared" si="46"/>
        <v>20.98</v>
      </c>
      <c r="S451" s="2">
        <f t="shared" si="47"/>
        <v>6.177311725452812</v>
      </c>
    </row>
    <row r="452" spans="1:19" hidden="1">
      <c r="A452" t="s">
        <v>505</v>
      </c>
      <c r="B452" t="s">
        <v>30</v>
      </c>
      <c r="C452">
        <v>141</v>
      </c>
      <c r="D452">
        <v>3913</v>
      </c>
      <c r="E452" s="2">
        <v>245.32</v>
      </c>
      <c r="F452">
        <v>21</v>
      </c>
      <c r="G452">
        <v>3</v>
      </c>
      <c r="H452">
        <v>5.6000000000000001E-2</v>
      </c>
      <c r="I452" s="3">
        <v>1904</v>
      </c>
      <c r="J452" s="1">
        <v>45611</v>
      </c>
      <c r="K452" t="s">
        <v>31</v>
      </c>
      <c r="L452" t="s">
        <v>7</v>
      </c>
      <c r="M452" t="s">
        <v>46</v>
      </c>
      <c r="N452" s="1">
        <f t="shared" si="42"/>
        <v>45611</v>
      </c>
      <c r="O452" s="4">
        <f t="shared" si="43"/>
        <v>3.6033733708152313E-2</v>
      </c>
      <c r="P452">
        <f t="shared" si="44"/>
        <v>1.7398581560283688</v>
      </c>
      <c r="Q452" s="2">
        <f t="shared" si="45"/>
        <v>11.681904761904761</v>
      </c>
      <c r="R452" s="2">
        <f t="shared" si="46"/>
        <v>81.773333333333326</v>
      </c>
      <c r="S452" s="2">
        <f t="shared" si="47"/>
        <v>7.7612913745312246</v>
      </c>
    </row>
    <row r="453" spans="1:19" hidden="1">
      <c r="A453" t="s">
        <v>506</v>
      </c>
      <c r="B453" t="s">
        <v>30</v>
      </c>
      <c r="C453">
        <v>160</v>
      </c>
      <c r="D453">
        <v>4597</v>
      </c>
      <c r="E453" s="2">
        <v>211.88</v>
      </c>
      <c r="F453">
        <v>21</v>
      </c>
      <c r="G453">
        <v>4</v>
      </c>
      <c r="H453">
        <v>2.5000000000000001E-2</v>
      </c>
      <c r="I453" s="3">
        <v>1505</v>
      </c>
      <c r="J453" s="1">
        <v>45617</v>
      </c>
      <c r="K453" t="s">
        <v>31</v>
      </c>
      <c r="L453" t="s">
        <v>7</v>
      </c>
      <c r="M453" t="s">
        <v>39</v>
      </c>
      <c r="N453" s="1">
        <f t="shared" si="42"/>
        <v>45617</v>
      </c>
      <c r="O453" s="4">
        <f t="shared" si="43"/>
        <v>3.4805307809440938E-2</v>
      </c>
      <c r="P453">
        <f t="shared" si="44"/>
        <v>1.3242499999999999</v>
      </c>
      <c r="Q453" s="2">
        <f t="shared" si="45"/>
        <v>10.08952380952381</v>
      </c>
      <c r="R453" s="2">
        <f t="shared" si="46"/>
        <v>52.97</v>
      </c>
      <c r="S453" s="2">
        <f t="shared" si="47"/>
        <v>7.1030772135170857</v>
      </c>
    </row>
    <row r="454" spans="1:19" hidden="1">
      <c r="A454" t="s">
        <v>507</v>
      </c>
      <c r="B454" t="s">
        <v>30</v>
      </c>
      <c r="C454">
        <v>105</v>
      </c>
      <c r="D454">
        <v>3008</v>
      </c>
      <c r="E454" s="2">
        <v>206.91</v>
      </c>
      <c r="F454">
        <v>21</v>
      </c>
      <c r="G454">
        <v>4</v>
      </c>
      <c r="H454">
        <v>3.7999999999999999E-2</v>
      </c>
      <c r="I454" s="3">
        <v>1009</v>
      </c>
      <c r="J454" s="1">
        <v>45606</v>
      </c>
      <c r="K454" t="s">
        <v>31</v>
      </c>
      <c r="L454" t="s">
        <v>7</v>
      </c>
      <c r="M454" t="s">
        <v>41</v>
      </c>
      <c r="N454" s="1">
        <f t="shared" si="42"/>
        <v>45606</v>
      </c>
      <c r="O454" s="4">
        <f t="shared" si="43"/>
        <v>3.4906914893617018E-2</v>
      </c>
      <c r="P454">
        <f t="shared" si="44"/>
        <v>1.9705714285714286</v>
      </c>
      <c r="Q454" s="2">
        <f t="shared" si="45"/>
        <v>9.8528571428571432</v>
      </c>
      <c r="R454" s="2">
        <f t="shared" si="46"/>
        <v>51.727499999999999</v>
      </c>
      <c r="S454" s="2">
        <f t="shared" si="47"/>
        <v>4.8765163597699486</v>
      </c>
    </row>
    <row r="455" spans="1:19" hidden="1">
      <c r="A455" t="s">
        <v>508</v>
      </c>
      <c r="B455" t="s">
        <v>30</v>
      </c>
      <c r="C455">
        <v>178</v>
      </c>
      <c r="D455">
        <v>5318</v>
      </c>
      <c r="E455" s="2">
        <v>207.05</v>
      </c>
      <c r="F455">
        <v>18</v>
      </c>
      <c r="G455">
        <v>4</v>
      </c>
      <c r="H455">
        <v>3.1E-2</v>
      </c>
      <c r="I455" s="3">
        <v>1421</v>
      </c>
      <c r="J455" s="1">
        <v>45616</v>
      </c>
      <c r="K455" t="s">
        <v>31</v>
      </c>
      <c r="L455" t="s">
        <v>7</v>
      </c>
      <c r="M455" t="s">
        <v>37</v>
      </c>
      <c r="N455" s="1">
        <f t="shared" si="42"/>
        <v>45616</v>
      </c>
      <c r="O455" s="4">
        <f t="shared" si="43"/>
        <v>3.3471229785633695E-2</v>
      </c>
      <c r="P455">
        <f t="shared" si="44"/>
        <v>1.1632022471910113</v>
      </c>
      <c r="Q455" s="2">
        <f t="shared" si="45"/>
        <v>11.502777777777778</v>
      </c>
      <c r="R455" s="2">
        <f t="shared" si="46"/>
        <v>51.762500000000003</v>
      </c>
      <c r="S455" s="2">
        <f t="shared" si="47"/>
        <v>6.8630765515575947</v>
      </c>
    </row>
    <row r="456" spans="1:19" hidden="1">
      <c r="A456" t="s">
        <v>509</v>
      </c>
      <c r="B456" t="s">
        <v>30</v>
      </c>
      <c r="C456">
        <v>189</v>
      </c>
      <c r="D456">
        <v>5244</v>
      </c>
      <c r="E456" s="2">
        <v>242.18</v>
      </c>
      <c r="F456">
        <v>29</v>
      </c>
      <c r="G456">
        <v>3</v>
      </c>
      <c r="H456">
        <v>1.6E-2</v>
      </c>
      <c r="I456" s="3">
        <v>1080</v>
      </c>
      <c r="J456" s="1">
        <v>45603</v>
      </c>
      <c r="K456" t="s">
        <v>31</v>
      </c>
      <c r="L456" t="s">
        <v>8</v>
      </c>
      <c r="M456" t="s">
        <v>46</v>
      </c>
      <c r="N456" s="1">
        <f t="shared" si="42"/>
        <v>45603</v>
      </c>
      <c r="O456" s="4">
        <f t="shared" si="43"/>
        <v>3.6041189931350116E-2</v>
      </c>
      <c r="P456">
        <f t="shared" si="44"/>
        <v>1.2813756613756615</v>
      </c>
      <c r="Q456" s="2">
        <f t="shared" si="45"/>
        <v>8.3510344827586209</v>
      </c>
      <c r="R456" s="2">
        <f t="shared" si="46"/>
        <v>80.726666666666674</v>
      </c>
      <c r="S456" s="2">
        <f t="shared" si="47"/>
        <v>4.4594929391361795</v>
      </c>
    </row>
    <row r="457" spans="1:19" hidden="1">
      <c r="A457" t="s">
        <v>510</v>
      </c>
      <c r="B457" t="s">
        <v>30</v>
      </c>
      <c r="C457">
        <v>114</v>
      </c>
      <c r="D457">
        <v>4804</v>
      </c>
      <c r="E457" s="2">
        <v>249.33</v>
      </c>
      <c r="F457">
        <v>14</v>
      </c>
      <c r="G457">
        <v>6</v>
      </c>
      <c r="H457">
        <v>5.2999999999999999E-2</v>
      </c>
      <c r="I457" s="3">
        <v>1879</v>
      </c>
      <c r="J457" s="1">
        <v>45423</v>
      </c>
      <c r="K457" t="s">
        <v>31</v>
      </c>
      <c r="L457" t="s">
        <v>8</v>
      </c>
      <c r="M457" t="s">
        <v>35</v>
      </c>
      <c r="N457" s="1">
        <f t="shared" si="42"/>
        <v>45423</v>
      </c>
      <c r="O457" s="4">
        <f t="shared" si="43"/>
        <v>2.3730224812656121E-2</v>
      </c>
      <c r="P457">
        <f t="shared" si="44"/>
        <v>2.1871052631578949</v>
      </c>
      <c r="Q457" s="2">
        <f t="shared" si="45"/>
        <v>17.809285714285714</v>
      </c>
      <c r="R457" s="2">
        <f t="shared" si="46"/>
        <v>41.555</v>
      </c>
      <c r="S457" s="2">
        <f t="shared" si="47"/>
        <v>7.5361970079813894</v>
      </c>
    </row>
    <row r="458" spans="1:19" hidden="1">
      <c r="A458" t="s">
        <v>511</v>
      </c>
      <c r="B458" t="s">
        <v>30</v>
      </c>
      <c r="C458">
        <v>160</v>
      </c>
      <c r="D458">
        <v>5920</v>
      </c>
      <c r="E458" s="2">
        <v>201.3</v>
      </c>
      <c r="F458">
        <v>30</v>
      </c>
      <c r="G458">
        <v>7</v>
      </c>
      <c r="H458">
        <v>4.7E-2</v>
      </c>
      <c r="I458" s="3">
        <v>1080</v>
      </c>
      <c r="J458" s="1">
        <v>45614</v>
      </c>
      <c r="K458" t="s">
        <v>31</v>
      </c>
      <c r="L458" t="s">
        <v>9</v>
      </c>
      <c r="M458" t="s">
        <v>35</v>
      </c>
      <c r="N458" s="1">
        <f t="shared" si="42"/>
        <v>45614</v>
      </c>
      <c r="O458" s="4">
        <f t="shared" si="43"/>
        <v>2.7027027027027029E-2</v>
      </c>
      <c r="P458">
        <f t="shared" si="44"/>
        <v>1.2581250000000002</v>
      </c>
      <c r="Q458" s="2">
        <f t="shared" si="45"/>
        <v>6.71</v>
      </c>
      <c r="R458" s="2">
        <f t="shared" si="46"/>
        <v>28.75714285714286</v>
      </c>
      <c r="S458" s="2">
        <f t="shared" si="47"/>
        <v>5.3651266766020864</v>
      </c>
    </row>
    <row r="459" spans="1:19">
      <c r="A459" t="s">
        <v>512</v>
      </c>
      <c r="B459" t="s">
        <v>30</v>
      </c>
      <c r="C459">
        <v>101</v>
      </c>
      <c r="D459">
        <v>5280</v>
      </c>
      <c r="E459" s="2">
        <v>234.72</v>
      </c>
      <c r="F459">
        <v>18</v>
      </c>
      <c r="G459">
        <v>9</v>
      </c>
      <c r="H459">
        <v>4.5999999999999999E-2</v>
      </c>
      <c r="I459" s="3">
        <v>1046</v>
      </c>
      <c r="J459" s="1" t="s">
        <v>115</v>
      </c>
      <c r="K459" t="s">
        <v>31</v>
      </c>
      <c r="L459" t="s">
        <v>9</v>
      </c>
      <c r="M459" t="s">
        <v>35</v>
      </c>
      <c r="N459" s="1">
        <f t="shared" si="42"/>
        <v>45623</v>
      </c>
      <c r="O459" s="4">
        <f t="shared" si="43"/>
        <v>1.9128787878787877E-2</v>
      </c>
      <c r="P459">
        <f t="shared" si="44"/>
        <v>2.3239603960396038</v>
      </c>
      <c r="Q459" s="2">
        <f t="shared" si="45"/>
        <v>13.04</v>
      </c>
      <c r="R459" s="2">
        <f t="shared" si="46"/>
        <v>26.08</v>
      </c>
      <c r="S459" s="2">
        <f t="shared" si="47"/>
        <v>4.4563735514655765</v>
      </c>
    </row>
    <row r="460" spans="1:19" hidden="1">
      <c r="A460" t="s">
        <v>513</v>
      </c>
      <c r="B460" t="s">
        <v>30</v>
      </c>
      <c r="C460">
        <v>146</v>
      </c>
      <c r="D460">
        <v>3887</v>
      </c>
      <c r="E460" s="2">
        <v>206.59</v>
      </c>
      <c r="F460">
        <v>26</v>
      </c>
      <c r="G460">
        <v>9</v>
      </c>
      <c r="H460">
        <v>6.2E-2</v>
      </c>
      <c r="I460" s="3">
        <v>1042</v>
      </c>
      <c r="J460" s="1">
        <v>45484</v>
      </c>
      <c r="K460" t="s">
        <v>31</v>
      </c>
      <c r="L460" t="s">
        <v>7</v>
      </c>
      <c r="M460" t="s">
        <v>41</v>
      </c>
      <c r="N460" s="1">
        <f t="shared" si="42"/>
        <v>45484</v>
      </c>
      <c r="O460" s="4">
        <f t="shared" si="43"/>
        <v>3.7561101106251611E-2</v>
      </c>
      <c r="P460">
        <f t="shared" si="44"/>
        <v>1.415</v>
      </c>
      <c r="Q460" s="2">
        <f t="shared" si="45"/>
        <v>7.9457692307692307</v>
      </c>
      <c r="R460" s="2">
        <f t="shared" si="46"/>
        <v>22.954444444444444</v>
      </c>
      <c r="S460" s="2">
        <f t="shared" si="47"/>
        <v>5.0438065734062638</v>
      </c>
    </row>
    <row r="461" spans="1:19">
      <c r="A461" t="s">
        <v>514</v>
      </c>
      <c r="B461" t="s">
        <v>30</v>
      </c>
      <c r="C461">
        <v>128</v>
      </c>
      <c r="D461">
        <v>4532</v>
      </c>
      <c r="E461" s="2">
        <v>183.28</v>
      </c>
      <c r="F461">
        <v>11</v>
      </c>
      <c r="G461">
        <v>7</v>
      </c>
      <c r="H461">
        <v>4.5999999999999999E-2</v>
      </c>
      <c r="I461" s="3">
        <v>1571</v>
      </c>
      <c r="J461" s="1" t="s">
        <v>206</v>
      </c>
      <c r="K461" t="s">
        <v>31</v>
      </c>
      <c r="L461" t="s">
        <v>7</v>
      </c>
      <c r="M461" t="s">
        <v>39</v>
      </c>
      <c r="N461" s="1">
        <f t="shared" si="42"/>
        <v>45621</v>
      </c>
      <c r="O461" s="4">
        <f t="shared" si="43"/>
        <v>2.8243601059135041E-2</v>
      </c>
      <c r="P461">
        <f t="shared" si="44"/>
        <v>1.431875</v>
      </c>
      <c r="Q461" s="2">
        <f t="shared" si="45"/>
        <v>16.66181818181818</v>
      </c>
      <c r="R461" s="2">
        <f t="shared" si="46"/>
        <v>26.182857142857141</v>
      </c>
      <c r="S461" s="2">
        <f t="shared" si="47"/>
        <v>8.5715844609340905</v>
      </c>
    </row>
    <row r="462" spans="1:19" hidden="1">
      <c r="A462" t="s">
        <v>515</v>
      </c>
      <c r="B462" t="s">
        <v>30</v>
      </c>
      <c r="C462">
        <v>163</v>
      </c>
      <c r="D462">
        <v>4125</v>
      </c>
      <c r="E462" s="2">
        <v>246.09</v>
      </c>
      <c r="F462">
        <v>27</v>
      </c>
      <c r="G462">
        <v>5</v>
      </c>
      <c r="H462">
        <v>3.1E-2</v>
      </c>
      <c r="I462" s="3">
        <v>1910</v>
      </c>
      <c r="J462" s="1">
        <v>45623</v>
      </c>
      <c r="K462" t="s">
        <v>31</v>
      </c>
      <c r="L462" t="s">
        <v>8</v>
      </c>
      <c r="M462" t="s">
        <v>32</v>
      </c>
      <c r="N462" s="1">
        <f t="shared" si="42"/>
        <v>45623</v>
      </c>
      <c r="O462" s="4">
        <f t="shared" si="43"/>
        <v>3.9515151515151517E-2</v>
      </c>
      <c r="P462">
        <f t="shared" si="44"/>
        <v>1.5097546012269938</v>
      </c>
      <c r="Q462" s="2">
        <f t="shared" si="45"/>
        <v>9.1144444444444446</v>
      </c>
      <c r="R462" s="2">
        <f t="shared" si="46"/>
        <v>49.218000000000004</v>
      </c>
      <c r="S462" s="2">
        <f t="shared" si="47"/>
        <v>7.7613881100410413</v>
      </c>
    </row>
    <row r="463" spans="1:19" hidden="1">
      <c r="A463" t="s">
        <v>516</v>
      </c>
      <c r="B463" t="s">
        <v>30</v>
      </c>
      <c r="C463">
        <v>193</v>
      </c>
      <c r="D463">
        <v>5571</v>
      </c>
      <c r="E463" s="2">
        <v>213.5</v>
      </c>
      <c r="F463">
        <v>19</v>
      </c>
      <c r="G463">
        <v>8</v>
      </c>
      <c r="H463">
        <v>5.8999999999999997E-2</v>
      </c>
      <c r="I463" s="3">
        <v>1754</v>
      </c>
      <c r="J463" s="1" t="s">
        <v>357</v>
      </c>
      <c r="K463" t="s">
        <v>31</v>
      </c>
      <c r="L463" t="s">
        <v>8</v>
      </c>
      <c r="M463" t="s">
        <v>46</v>
      </c>
      <c r="N463" s="1">
        <f t="shared" si="42"/>
        <v>45624</v>
      </c>
      <c r="O463" s="4">
        <f t="shared" si="43"/>
        <v>3.4643690540297971E-2</v>
      </c>
      <c r="P463">
        <f t="shared" si="44"/>
        <v>1.1062176165803108</v>
      </c>
      <c r="Q463" s="2">
        <f t="shared" si="45"/>
        <v>11.236842105263158</v>
      </c>
      <c r="R463" s="2">
        <f t="shared" si="46"/>
        <v>26.6875</v>
      </c>
      <c r="S463" s="2">
        <f t="shared" si="47"/>
        <v>8.2154566744730673</v>
      </c>
    </row>
    <row r="464" spans="1:19" hidden="1">
      <c r="A464" t="s">
        <v>517</v>
      </c>
      <c r="B464" t="s">
        <v>30</v>
      </c>
      <c r="C464">
        <v>179</v>
      </c>
      <c r="D464">
        <v>4309</v>
      </c>
      <c r="E464" s="2">
        <v>237.62</v>
      </c>
      <c r="F464">
        <v>21</v>
      </c>
      <c r="G464">
        <v>7</v>
      </c>
      <c r="H464">
        <v>3.9E-2</v>
      </c>
      <c r="I464" s="3">
        <v>1719</v>
      </c>
      <c r="J464" s="1">
        <v>45610</v>
      </c>
      <c r="K464" t="s">
        <v>31</v>
      </c>
      <c r="L464" t="s">
        <v>8</v>
      </c>
      <c r="M464" t="s">
        <v>35</v>
      </c>
      <c r="N464" s="1">
        <f t="shared" si="42"/>
        <v>45610</v>
      </c>
      <c r="O464" s="4">
        <f t="shared" si="43"/>
        <v>4.1540960779763283E-2</v>
      </c>
      <c r="P464">
        <f t="shared" si="44"/>
        <v>1.3274860335195531</v>
      </c>
      <c r="Q464" s="2">
        <f t="shared" si="45"/>
        <v>11.315238095238096</v>
      </c>
      <c r="R464" s="2">
        <f t="shared" si="46"/>
        <v>33.945714285714288</v>
      </c>
      <c r="S464" s="2">
        <f t="shared" si="47"/>
        <v>7.2342395421260832</v>
      </c>
    </row>
    <row r="465" spans="1:19" hidden="1">
      <c r="A465" t="s">
        <v>518</v>
      </c>
      <c r="B465" t="s">
        <v>30</v>
      </c>
      <c r="C465">
        <v>86</v>
      </c>
      <c r="D465">
        <v>5538</v>
      </c>
      <c r="E465" s="2">
        <v>223.13</v>
      </c>
      <c r="F465">
        <v>22</v>
      </c>
      <c r="G465">
        <v>7</v>
      </c>
      <c r="H465">
        <v>3.6999999999999998E-2</v>
      </c>
      <c r="I465" s="3">
        <v>1544</v>
      </c>
      <c r="J465" s="1">
        <v>45626</v>
      </c>
      <c r="K465" t="s">
        <v>31</v>
      </c>
      <c r="L465" t="s">
        <v>9</v>
      </c>
      <c r="M465" t="s">
        <v>39</v>
      </c>
      <c r="N465" s="1">
        <f t="shared" si="42"/>
        <v>45626</v>
      </c>
      <c r="O465" s="4">
        <f t="shared" si="43"/>
        <v>1.5529071867100036E-2</v>
      </c>
      <c r="P465">
        <f t="shared" si="44"/>
        <v>2.5945348837209301</v>
      </c>
      <c r="Q465" s="2">
        <f t="shared" si="45"/>
        <v>10.142272727272728</v>
      </c>
      <c r="R465" s="2">
        <f t="shared" si="46"/>
        <v>31.875714285714285</v>
      </c>
      <c r="S465" s="2">
        <f t="shared" si="47"/>
        <v>6.9197328911396943</v>
      </c>
    </row>
    <row r="466" spans="1:19">
      <c r="A466" t="s">
        <v>519</v>
      </c>
      <c r="B466" t="s">
        <v>30</v>
      </c>
      <c r="C466">
        <v>92</v>
      </c>
      <c r="D466">
        <v>3162</v>
      </c>
      <c r="E466" s="2">
        <v>202.76</v>
      </c>
      <c r="F466">
        <v>25</v>
      </c>
      <c r="G466">
        <v>5</v>
      </c>
      <c r="H466">
        <v>4.5999999999999999E-2</v>
      </c>
      <c r="I466" s="3">
        <v>1577</v>
      </c>
      <c r="J466" s="1">
        <v>45302</v>
      </c>
      <c r="K466" t="s">
        <v>31</v>
      </c>
      <c r="L466" t="s">
        <v>8</v>
      </c>
      <c r="M466" t="s">
        <v>39</v>
      </c>
      <c r="N466" s="1">
        <f t="shared" si="42"/>
        <v>45302</v>
      </c>
      <c r="O466" s="4">
        <f t="shared" si="43"/>
        <v>2.9095509171410499E-2</v>
      </c>
      <c r="P466">
        <f t="shared" si="44"/>
        <v>2.2039130434782606</v>
      </c>
      <c r="Q466" s="2">
        <f t="shared" si="45"/>
        <v>8.1104000000000003</v>
      </c>
      <c r="R466" s="2">
        <f t="shared" si="46"/>
        <v>40.552</v>
      </c>
      <c r="S466" s="2">
        <f t="shared" si="47"/>
        <v>7.7776681791280335</v>
      </c>
    </row>
    <row r="467" spans="1:19" hidden="1">
      <c r="A467" t="s">
        <v>520</v>
      </c>
      <c r="B467" t="s">
        <v>30</v>
      </c>
      <c r="C467">
        <v>125</v>
      </c>
      <c r="D467">
        <v>5811</v>
      </c>
      <c r="E467" s="2">
        <v>194.92</v>
      </c>
      <c r="F467">
        <v>14</v>
      </c>
      <c r="G467">
        <v>7</v>
      </c>
      <c r="H467">
        <v>0.03</v>
      </c>
      <c r="I467" s="3">
        <v>1505</v>
      </c>
      <c r="J467" s="1">
        <v>45618</v>
      </c>
      <c r="K467" t="s">
        <v>31</v>
      </c>
      <c r="L467" t="s">
        <v>9</v>
      </c>
      <c r="M467" t="s">
        <v>39</v>
      </c>
      <c r="N467" s="1">
        <f t="shared" si="42"/>
        <v>45618</v>
      </c>
      <c r="O467" s="4">
        <f t="shared" si="43"/>
        <v>2.1510927551196008E-2</v>
      </c>
      <c r="P467">
        <f t="shared" si="44"/>
        <v>1.5593599999999999</v>
      </c>
      <c r="Q467" s="2">
        <f t="shared" si="45"/>
        <v>13.922857142857142</v>
      </c>
      <c r="R467" s="2">
        <f t="shared" si="46"/>
        <v>27.845714285714283</v>
      </c>
      <c r="S467" s="2">
        <f t="shared" si="47"/>
        <v>7.7211163554278688</v>
      </c>
    </row>
    <row r="468" spans="1:19" hidden="1">
      <c r="A468" t="s">
        <v>521</v>
      </c>
      <c r="B468" t="s">
        <v>30</v>
      </c>
      <c r="C468">
        <v>147</v>
      </c>
      <c r="D468">
        <v>3112</v>
      </c>
      <c r="E468" s="2">
        <v>206.74</v>
      </c>
      <c r="F468">
        <v>12</v>
      </c>
      <c r="G468">
        <v>8</v>
      </c>
      <c r="H468">
        <v>5.3999999999999999E-2</v>
      </c>
      <c r="I468" s="3">
        <v>1815</v>
      </c>
      <c r="J468" s="1" t="s">
        <v>105</v>
      </c>
      <c r="K468" t="s">
        <v>31</v>
      </c>
      <c r="L468" t="s">
        <v>8</v>
      </c>
      <c r="M468" t="s">
        <v>35</v>
      </c>
      <c r="N468" s="1">
        <f t="shared" si="42"/>
        <v>45614</v>
      </c>
      <c r="O468" s="4">
        <f t="shared" si="43"/>
        <v>4.7236503856041133E-2</v>
      </c>
      <c r="P468">
        <f t="shared" si="44"/>
        <v>1.4063945578231294</v>
      </c>
      <c r="Q468" s="2">
        <f t="shared" si="45"/>
        <v>17.228333333333335</v>
      </c>
      <c r="R468" s="2">
        <f t="shared" si="46"/>
        <v>25.842500000000001</v>
      </c>
      <c r="S468" s="2">
        <f t="shared" si="47"/>
        <v>8.7791428847828179</v>
      </c>
    </row>
    <row r="469" spans="1:19" hidden="1">
      <c r="A469" t="s">
        <v>522</v>
      </c>
      <c r="B469" t="s">
        <v>30</v>
      </c>
      <c r="C469">
        <v>143</v>
      </c>
      <c r="D469">
        <v>4492</v>
      </c>
      <c r="E469" s="2">
        <v>188.98</v>
      </c>
      <c r="F469">
        <v>13</v>
      </c>
      <c r="G469">
        <v>3</v>
      </c>
      <c r="H469">
        <v>5.6000000000000001E-2</v>
      </c>
      <c r="I469" s="3">
        <v>1505</v>
      </c>
      <c r="J469" s="1">
        <v>45605</v>
      </c>
      <c r="K469" t="s">
        <v>31</v>
      </c>
      <c r="L469" t="s">
        <v>8</v>
      </c>
      <c r="M469" t="s">
        <v>41</v>
      </c>
      <c r="N469" s="1">
        <f t="shared" si="42"/>
        <v>45605</v>
      </c>
      <c r="O469" s="4">
        <f t="shared" si="43"/>
        <v>3.1834372217275156E-2</v>
      </c>
      <c r="P469">
        <f t="shared" si="44"/>
        <v>1.3215384615384616</v>
      </c>
      <c r="Q469" s="2">
        <f t="shared" si="45"/>
        <v>14.536923076923076</v>
      </c>
      <c r="R469" s="2">
        <f t="shared" si="46"/>
        <v>62.993333333333332</v>
      </c>
      <c r="S469" s="2">
        <f t="shared" si="47"/>
        <v>7.9638056937242041</v>
      </c>
    </row>
    <row r="470" spans="1:19" hidden="1">
      <c r="A470" t="s">
        <v>523</v>
      </c>
      <c r="B470" t="s">
        <v>30</v>
      </c>
      <c r="C470">
        <v>181</v>
      </c>
      <c r="D470">
        <v>4518.5</v>
      </c>
      <c r="E470" s="2">
        <v>208.33</v>
      </c>
      <c r="F470">
        <v>22</v>
      </c>
      <c r="G470">
        <v>8</v>
      </c>
      <c r="H470">
        <v>4.3999999999999997E-2</v>
      </c>
      <c r="I470" s="3">
        <v>1932</v>
      </c>
      <c r="J470" s="1">
        <v>45601</v>
      </c>
      <c r="K470" t="s">
        <v>31</v>
      </c>
      <c r="L470" t="s">
        <v>9</v>
      </c>
      <c r="M470" t="s">
        <v>41</v>
      </c>
      <c r="N470" s="1">
        <f t="shared" si="42"/>
        <v>45601</v>
      </c>
      <c r="O470" s="4">
        <f t="shared" si="43"/>
        <v>4.0057541219431225E-2</v>
      </c>
      <c r="P470">
        <f t="shared" si="44"/>
        <v>1.1509944751381216</v>
      </c>
      <c r="Q470" s="2">
        <f t="shared" si="45"/>
        <v>9.4695454545454556</v>
      </c>
      <c r="R470" s="2">
        <f t="shared" si="46"/>
        <v>26.041250000000002</v>
      </c>
      <c r="S470" s="2">
        <f t="shared" si="47"/>
        <v>9.2737483799740783</v>
      </c>
    </row>
    <row r="471" spans="1:19" hidden="1">
      <c r="A471" t="s">
        <v>524</v>
      </c>
      <c r="B471" t="s">
        <v>30</v>
      </c>
      <c r="C471">
        <v>164</v>
      </c>
      <c r="D471">
        <v>3872</v>
      </c>
      <c r="E471" s="2">
        <v>210.53</v>
      </c>
      <c r="F471">
        <v>12</v>
      </c>
      <c r="G471">
        <v>5</v>
      </c>
      <c r="H471">
        <v>0.03</v>
      </c>
      <c r="I471" s="3">
        <v>1532</v>
      </c>
      <c r="J471" s="1">
        <v>45608</v>
      </c>
      <c r="K471" t="s">
        <v>31</v>
      </c>
      <c r="L471" t="s">
        <v>9</v>
      </c>
      <c r="M471" t="s">
        <v>37</v>
      </c>
      <c r="N471" s="1">
        <f t="shared" si="42"/>
        <v>45608</v>
      </c>
      <c r="O471" s="4">
        <f t="shared" si="43"/>
        <v>4.2355371900826444E-2</v>
      </c>
      <c r="P471">
        <f t="shared" si="44"/>
        <v>1.2837195121951219</v>
      </c>
      <c r="Q471" s="2">
        <f t="shared" si="45"/>
        <v>17.544166666666666</v>
      </c>
      <c r="R471" s="2">
        <f t="shared" si="46"/>
        <v>42.106000000000002</v>
      </c>
      <c r="S471" s="2">
        <f t="shared" si="47"/>
        <v>7.2768726547285425</v>
      </c>
    </row>
    <row r="472" spans="1:19" hidden="1">
      <c r="A472" t="s">
        <v>525</v>
      </c>
      <c r="B472" t="s">
        <v>30</v>
      </c>
      <c r="C472">
        <v>199</v>
      </c>
      <c r="D472">
        <v>4255</v>
      </c>
      <c r="E472" s="2">
        <v>212.84</v>
      </c>
      <c r="F472">
        <v>14</v>
      </c>
      <c r="G472">
        <v>6</v>
      </c>
      <c r="H472">
        <v>5.3999999999999999E-2</v>
      </c>
      <c r="I472" s="3">
        <v>1125</v>
      </c>
      <c r="J472" s="1">
        <v>45618</v>
      </c>
      <c r="K472" t="s">
        <v>31</v>
      </c>
      <c r="L472" t="s">
        <v>7</v>
      </c>
      <c r="M472" t="s">
        <v>32</v>
      </c>
      <c r="N472" s="1">
        <f t="shared" si="42"/>
        <v>45618</v>
      </c>
      <c r="O472" s="4">
        <f t="shared" si="43"/>
        <v>4.6768507638072852E-2</v>
      </c>
      <c r="P472">
        <f t="shared" si="44"/>
        <v>1.0695477386934673</v>
      </c>
      <c r="Q472" s="2">
        <f t="shared" si="45"/>
        <v>15.202857142857143</v>
      </c>
      <c r="R472" s="2">
        <f t="shared" si="46"/>
        <v>35.473333333333336</v>
      </c>
      <c r="S472" s="2">
        <f t="shared" si="47"/>
        <v>5.2856605901146398</v>
      </c>
    </row>
    <row r="473" spans="1:19" hidden="1">
      <c r="A473" t="s">
        <v>526</v>
      </c>
      <c r="B473" t="s">
        <v>30</v>
      </c>
      <c r="C473">
        <v>83</v>
      </c>
      <c r="D473">
        <v>4518.5</v>
      </c>
      <c r="E473" s="2">
        <v>229.97</v>
      </c>
      <c r="F473">
        <v>12</v>
      </c>
      <c r="G473">
        <v>8</v>
      </c>
      <c r="H473">
        <v>9.6000000000000002E-2</v>
      </c>
      <c r="I473" s="3">
        <v>2000</v>
      </c>
      <c r="J473" s="1" t="s">
        <v>64</v>
      </c>
      <c r="K473" t="s">
        <v>31</v>
      </c>
      <c r="L473" t="s">
        <v>7</v>
      </c>
      <c r="M473" t="s">
        <v>46</v>
      </c>
      <c r="N473" s="1">
        <f t="shared" si="42"/>
        <v>45626</v>
      </c>
      <c r="O473" s="4">
        <f t="shared" si="43"/>
        <v>1.8368927741507137E-2</v>
      </c>
      <c r="P473">
        <f t="shared" si="44"/>
        <v>2.7707228915662649</v>
      </c>
      <c r="Q473" s="2">
        <f t="shared" si="45"/>
        <v>19.164166666666667</v>
      </c>
      <c r="R473" s="2">
        <f t="shared" si="46"/>
        <v>28.74625</v>
      </c>
      <c r="S473" s="2">
        <f t="shared" si="47"/>
        <v>8.6967865373744395</v>
      </c>
    </row>
    <row r="474" spans="1:19" hidden="1">
      <c r="A474" t="s">
        <v>527</v>
      </c>
      <c r="B474" t="s">
        <v>30</v>
      </c>
      <c r="C474">
        <v>150</v>
      </c>
      <c r="D474">
        <v>5619</v>
      </c>
      <c r="E474" s="2">
        <v>191.89</v>
      </c>
      <c r="F474">
        <v>23</v>
      </c>
      <c r="G474">
        <v>6</v>
      </c>
      <c r="H474">
        <v>0.04</v>
      </c>
      <c r="I474" s="3">
        <v>1735</v>
      </c>
      <c r="J474" s="1">
        <v>45615</v>
      </c>
      <c r="K474" t="s">
        <v>31</v>
      </c>
      <c r="L474" t="s">
        <v>7</v>
      </c>
      <c r="M474" t="s">
        <v>39</v>
      </c>
      <c r="N474" s="1">
        <f t="shared" si="42"/>
        <v>45615</v>
      </c>
      <c r="O474" s="4">
        <f t="shared" si="43"/>
        <v>2.6695141484249868E-2</v>
      </c>
      <c r="P474">
        <f t="shared" si="44"/>
        <v>1.2792666666666666</v>
      </c>
      <c r="Q474" s="2">
        <f t="shared" si="45"/>
        <v>8.3430434782608689</v>
      </c>
      <c r="R474" s="2">
        <f t="shared" si="46"/>
        <v>31.981666666666666</v>
      </c>
      <c r="S474" s="2">
        <f t="shared" si="47"/>
        <v>9.0416384386888335</v>
      </c>
    </row>
    <row r="475" spans="1:19" hidden="1">
      <c r="A475" t="s">
        <v>528</v>
      </c>
      <c r="B475" t="s">
        <v>30</v>
      </c>
      <c r="C475">
        <v>171</v>
      </c>
      <c r="D475">
        <v>5157</v>
      </c>
      <c r="E475" s="2">
        <v>183.26</v>
      </c>
      <c r="F475">
        <v>24</v>
      </c>
      <c r="G475">
        <v>9</v>
      </c>
      <c r="H475">
        <v>4.5999999999999999E-2</v>
      </c>
      <c r="I475" s="3">
        <v>1430</v>
      </c>
      <c r="J475" s="1">
        <v>45546</v>
      </c>
      <c r="K475" t="s">
        <v>31</v>
      </c>
      <c r="L475" t="s">
        <v>7</v>
      </c>
      <c r="M475" t="s">
        <v>37</v>
      </c>
      <c r="N475" s="1">
        <f t="shared" si="42"/>
        <v>45546</v>
      </c>
      <c r="O475" s="4">
        <f t="shared" si="43"/>
        <v>3.3158813263525308E-2</v>
      </c>
      <c r="P475">
        <f t="shared" si="44"/>
        <v>1.0716959064327485</v>
      </c>
      <c r="Q475" s="2">
        <f t="shared" si="45"/>
        <v>7.6358333333333333</v>
      </c>
      <c r="R475" s="2">
        <f t="shared" si="46"/>
        <v>20.362222222222222</v>
      </c>
      <c r="S475" s="2">
        <f t="shared" si="47"/>
        <v>7.8031212484994006</v>
      </c>
    </row>
    <row r="476" spans="1:19" hidden="1">
      <c r="A476" t="s">
        <v>529</v>
      </c>
      <c r="B476" t="s">
        <v>30</v>
      </c>
      <c r="C476">
        <v>139</v>
      </c>
      <c r="D476">
        <v>4871</v>
      </c>
      <c r="E476" s="2">
        <v>211.4</v>
      </c>
      <c r="F476">
        <v>25</v>
      </c>
      <c r="G476">
        <v>9</v>
      </c>
      <c r="H476">
        <v>6.5000000000000002E-2</v>
      </c>
      <c r="I476" s="3">
        <v>1247</v>
      </c>
      <c r="J476" s="1">
        <v>45625</v>
      </c>
      <c r="K476" t="s">
        <v>31</v>
      </c>
      <c r="L476" t="s">
        <v>8</v>
      </c>
      <c r="M476" t="s">
        <v>39</v>
      </c>
      <c r="N476" s="1">
        <f t="shared" si="42"/>
        <v>45625</v>
      </c>
      <c r="O476" s="4">
        <f t="shared" si="43"/>
        <v>2.8536234859371793E-2</v>
      </c>
      <c r="P476">
        <f t="shared" si="44"/>
        <v>1.5208633093525181</v>
      </c>
      <c r="Q476" s="2">
        <f t="shared" si="45"/>
        <v>8.4559999999999995</v>
      </c>
      <c r="R476" s="2">
        <f t="shared" si="46"/>
        <v>23.488888888888891</v>
      </c>
      <c r="S476" s="2">
        <f t="shared" si="47"/>
        <v>5.8987701040681175</v>
      </c>
    </row>
    <row r="477" spans="1:19" hidden="1">
      <c r="A477" t="s">
        <v>530</v>
      </c>
      <c r="B477" t="s">
        <v>30</v>
      </c>
      <c r="C477">
        <v>117</v>
      </c>
      <c r="D477">
        <v>5863</v>
      </c>
      <c r="E477" s="2">
        <v>224.69</v>
      </c>
      <c r="F477">
        <v>24</v>
      </c>
      <c r="G477">
        <v>10</v>
      </c>
      <c r="H477">
        <v>5.3999999999999999E-2</v>
      </c>
      <c r="I477" s="3">
        <v>1580</v>
      </c>
      <c r="J477" s="1" t="s">
        <v>43</v>
      </c>
      <c r="K477" t="s">
        <v>31</v>
      </c>
      <c r="L477" t="s">
        <v>8</v>
      </c>
      <c r="M477" t="s">
        <v>37</v>
      </c>
      <c r="N477" s="1">
        <f t="shared" si="42"/>
        <v>45612</v>
      </c>
      <c r="O477" s="4">
        <f t="shared" si="43"/>
        <v>1.9955654101995565E-2</v>
      </c>
      <c r="P477">
        <f t="shared" si="44"/>
        <v>1.9204273504273504</v>
      </c>
      <c r="Q477" s="2">
        <f t="shared" si="45"/>
        <v>9.3620833333333326</v>
      </c>
      <c r="R477" s="2">
        <f t="shared" si="46"/>
        <v>22.469000000000001</v>
      </c>
      <c r="S477" s="2">
        <f t="shared" si="47"/>
        <v>7.0319106324268992</v>
      </c>
    </row>
    <row r="478" spans="1:19" hidden="1">
      <c r="A478" t="s">
        <v>531</v>
      </c>
      <c r="B478" t="s">
        <v>30</v>
      </c>
      <c r="C478">
        <v>196</v>
      </c>
      <c r="D478">
        <v>3205</v>
      </c>
      <c r="E478" s="2">
        <v>188.82</v>
      </c>
      <c r="F478">
        <v>24</v>
      </c>
      <c r="G478">
        <v>8</v>
      </c>
      <c r="H478">
        <v>4.1000000000000002E-2</v>
      </c>
      <c r="I478" s="3">
        <v>1837</v>
      </c>
      <c r="J478" s="1" t="s">
        <v>167</v>
      </c>
      <c r="K478" t="s">
        <v>31</v>
      </c>
      <c r="L478" t="s">
        <v>7</v>
      </c>
      <c r="M478" t="s">
        <v>35</v>
      </c>
      <c r="N478" s="1">
        <f t="shared" si="42"/>
        <v>45620</v>
      </c>
      <c r="O478" s="4">
        <f t="shared" si="43"/>
        <v>6.1154446177847113E-2</v>
      </c>
      <c r="P478">
        <f t="shared" si="44"/>
        <v>0.96336734693877546</v>
      </c>
      <c r="Q478" s="2">
        <f t="shared" si="45"/>
        <v>7.8674999999999997</v>
      </c>
      <c r="R478" s="2">
        <f t="shared" si="46"/>
        <v>23.602499999999999</v>
      </c>
      <c r="S478" s="2">
        <f t="shared" si="47"/>
        <v>9.7288422836563928</v>
      </c>
    </row>
    <row r="479" spans="1:19" hidden="1">
      <c r="A479" t="s">
        <v>532</v>
      </c>
      <c r="B479" t="s">
        <v>30</v>
      </c>
      <c r="C479">
        <v>184</v>
      </c>
      <c r="D479">
        <v>5463</v>
      </c>
      <c r="E479" s="2">
        <v>224.58</v>
      </c>
      <c r="F479">
        <v>30</v>
      </c>
      <c r="G479">
        <v>6</v>
      </c>
      <c r="H479">
        <v>3.3000000000000002E-2</v>
      </c>
      <c r="I479" s="3">
        <v>1565</v>
      </c>
      <c r="J479" s="1">
        <v>45622</v>
      </c>
      <c r="K479" t="s">
        <v>31</v>
      </c>
      <c r="L479" t="s">
        <v>9</v>
      </c>
      <c r="M479" t="s">
        <v>39</v>
      </c>
      <c r="N479" s="1">
        <f t="shared" si="42"/>
        <v>45622</v>
      </c>
      <c r="O479" s="4">
        <f t="shared" si="43"/>
        <v>3.368112758557569E-2</v>
      </c>
      <c r="P479">
        <f t="shared" si="44"/>
        <v>1.2205434782608697</v>
      </c>
      <c r="Q479" s="2">
        <f t="shared" si="45"/>
        <v>7.4860000000000007</v>
      </c>
      <c r="R479" s="2">
        <f t="shared" si="46"/>
        <v>37.43</v>
      </c>
      <c r="S479" s="2">
        <f t="shared" si="47"/>
        <v>6.9685635408317745</v>
      </c>
    </row>
    <row r="480" spans="1:19">
      <c r="A480" t="s">
        <v>533</v>
      </c>
      <c r="B480" t="s">
        <v>30</v>
      </c>
      <c r="C480">
        <v>103</v>
      </c>
      <c r="D480">
        <v>5667</v>
      </c>
      <c r="E480" s="2">
        <v>232.48</v>
      </c>
      <c r="F480">
        <v>26</v>
      </c>
      <c r="G480">
        <v>8</v>
      </c>
      <c r="H480">
        <v>4.5999999999999999E-2</v>
      </c>
      <c r="I480" s="3">
        <v>1888</v>
      </c>
      <c r="J480" s="1">
        <v>45612</v>
      </c>
      <c r="K480" t="s">
        <v>31</v>
      </c>
      <c r="L480" t="s">
        <v>9</v>
      </c>
      <c r="M480" t="s">
        <v>32</v>
      </c>
      <c r="N480" s="1">
        <f t="shared" si="42"/>
        <v>45612</v>
      </c>
      <c r="O480" s="4">
        <f t="shared" si="43"/>
        <v>1.8175401446973709E-2</v>
      </c>
      <c r="P480">
        <f t="shared" si="44"/>
        <v>2.2570873786407768</v>
      </c>
      <c r="Q480" s="2">
        <f t="shared" si="45"/>
        <v>8.9415384615384603</v>
      </c>
      <c r="R480" s="2">
        <f t="shared" si="46"/>
        <v>29.06</v>
      </c>
      <c r="S480" s="2">
        <f t="shared" si="47"/>
        <v>8.1211286992429468</v>
      </c>
    </row>
    <row r="481" spans="1:19" hidden="1">
      <c r="A481" t="s">
        <v>534</v>
      </c>
      <c r="B481" t="s">
        <v>30</v>
      </c>
      <c r="C481">
        <v>120</v>
      </c>
      <c r="D481">
        <v>4666</v>
      </c>
      <c r="E481" s="2">
        <v>180.72</v>
      </c>
      <c r="F481">
        <v>30</v>
      </c>
      <c r="G481">
        <v>3</v>
      </c>
      <c r="H481">
        <v>5.2999999999999999E-2</v>
      </c>
      <c r="I481" s="3">
        <v>1627</v>
      </c>
      <c r="J481" s="1">
        <v>45620</v>
      </c>
      <c r="K481" t="s">
        <v>31</v>
      </c>
      <c r="L481" t="s">
        <v>8</v>
      </c>
      <c r="M481" t="s">
        <v>46</v>
      </c>
      <c r="N481" s="1">
        <f t="shared" si="42"/>
        <v>45620</v>
      </c>
      <c r="O481" s="4">
        <f t="shared" si="43"/>
        <v>2.5717959708529789E-2</v>
      </c>
      <c r="P481">
        <f t="shared" si="44"/>
        <v>1.506</v>
      </c>
      <c r="Q481" s="2">
        <f t="shared" si="45"/>
        <v>6.024</v>
      </c>
      <c r="R481" s="2">
        <f t="shared" si="46"/>
        <v>60.24</v>
      </c>
      <c r="S481" s="2">
        <f t="shared" si="47"/>
        <v>9.0028773793714034</v>
      </c>
    </row>
    <row r="482" spans="1:19">
      <c r="A482" t="s">
        <v>535</v>
      </c>
      <c r="B482" t="s">
        <v>30</v>
      </c>
      <c r="C482">
        <v>148</v>
      </c>
      <c r="D482">
        <v>3632</v>
      </c>
      <c r="E482" s="2">
        <v>214.46</v>
      </c>
      <c r="F482">
        <v>28</v>
      </c>
      <c r="G482">
        <v>10</v>
      </c>
      <c r="H482">
        <v>4.5999999999999999E-2</v>
      </c>
      <c r="I482" s="3">
        <v>1589</v>
      </c>
      <c r="J482" s="1">
        <v>45614</v>
      </c>
      <c r="K482" t="s">
        <v>31</v>
      </c>
      <c r="L482" t="s">
        <v>8</v>
      </c>
      <c r="M482" t="s">
        <v>39</v>
      </c>
      <c r="N482" s="1">
        <f t="shared" si="42"/>
        <v>45614</v>
      </c>
      <c r="O482" s="4">
        <f t="shared" si="43"/>
        <v>4.0748898678414094E-2</v>
      </c>
      <c r="P482">
        <f t="shared" si="44"/>
        <v>1.4490540540540542</v>
      </c>
      <c r="Q482" s="2">
        <f t="shared" si="45"/>
        <v>7.6592857142857147</v>
      </c>
      <c r="R482" s="2">
        <f t="shared" si="46"/>
        <v>21.446000000000002</v>
      </c>
      <c r="S482" s="2">
        <f t="shared" si="47"/>
        <v>7.4093070968945254</v>
      </c>
    </row>
    <row r="483" spans="1:19" hidden="1">
      <c r="A483" t="s">
        <v>536</v>
      </c>
      <c r="B483" t="s">
        <v>30</v>
      </c>
      <c r="C483">
        <v>80</v>
      </c>
      <c r="D483">
        <v>3834</v>
      </c>
      <c r="E483" s="2">
        <v>181.22</v>
      </c>
      <c r="F483">
        <v>15</v>
      </c>
      <c r="G483">
        <v>3</v>
      </c>
      <c r="H483">
        <v>3.6999999999999998E-2</v>
      </c>
      <c r="I483" s="3">
        <v>1270</v>
      </c>
      <c r="J483" s="1" t="s">
        <v>73</v>
      </c>
      <c r="K483" t="s">
        <v>31</v>
      </c>
      <c r="L483" t="s">
        <v>9</v>
      </c>
      <c r="M483" t="s">
        <v>32</v>
      </c>
      <c r="N483" s="1">
        <f t="shared" si="42"/>
        <v>45618</v>
      </c>
      <c r="O483" s="4">
        <f t="shared" si="43"/>
        <v>2.0865936358894107E-2</v>
      </c>
      <c r="P483">
        <f t="shared" si="44"/>
        <v>2.26525</v>
      </c>
      <c r="Q483" s="2">
        <f t="shared" si="45"/>
        <v>12.081333333333333</v>
      </c>
      <c r="R483" s="2">
        <f t="shared" si="46"/>
        <v>60.406666666666666</v>
      </c>
      <c r="S483" s="2">
        <f t="shared" si="47"/>
        <v>7.0080565059044257</v>
      </c>
    </row>
    <row r="484" spans="1:19" hidden="1">
      <c r="A484" t="s">
        <v>537</v>
      </c>
      <c r="B484" t="s">
        <v>30</v>
      </c>
      <c r="C484">
        <v>168</v>
      </c>
      <c r="D484">
        <v>3934</v>
      </c>
      <c r="E484" s="2">
        <v>246.09</v>
      </c>
      <c r="F484">
        <v>24</v>
      </c>
      <c r="G484">
        <v>6</v>
      </c>
      <c r="H484">
        <v>4.1000000000000002E-2</v>
      </c>
      <c r="I484" s="3">
        <v>1592</v>
      </c>
      <c r="J484" s="1" t="s">
        <v>167</v>
      </c>
      <c r="K484" t="s">
        <v>31</v>
      </c>
      <c r="L484" t="s">
        <v>9</v>
      </c>
      <c r="M484" t="s">
        <v>37</v>
      </c>
      <c r="N484" s="1">
        <f t="shared" si="42"/>
        <v>45620</v>
      </c>
      <c r="O484" s="4">
        <f t="shared" si="43"/>
        <v>4.2704626334519574E-2</v>
      </c>
      <c r="P484">
        <f t="shared" si="44"/>
        <v>1.4648214285714285</v>
      </c>
      <c r="Q484" s="2">
        <f t="shared" si="45"/>
        <v>10.25375</v>
      </c>
      <c r="R484" s="2">
        <f t="shared" si="46"/>
        <v>41.015000000000001</v>
      </c>
      <c r="S484" s="2">
        <f t="shared" si="47"/>
        <v>6.4691779430289733</v>
      </c>
    </row>
    <row r="485" spans="1:19" hidden="1">
      <c r="A485" t="s">
        <v>538</v>
      </c>
      <c r="B485" t="s">
        <v>30</v>
      </c>
      <c r="C485">
        <v>136</v>
      </c>
      <c r="D485">
        <v>5724</v>
      </c>
      <c r="E485" s="2">
        <v>218.37</v>
      </c>
      <c r="F485">
        <v>25</v>
      </c>
      <c r="G485">
        <v>10</v>
      </c>
      <c r="H485">
        <v>7.3999999999999996E-2</v>
      </c>
      <c r="I485" s="3">
        <v>1268</v>
      </c>
      <c r="J485" s="1">
        <v>45614</v>
      </c>
      <c r="K485" t="s">
        <v>31</v>
      </c>
      <c r="L485" t="s">
        <v>7</v>
      </c>
      <c r="M485" t="s">
        <v>35</v>
      </c>
      <c r="N485" s="1">
        <f t="shared" si="42"/>
        <v>45614</v>
      </c>
      <c r="O485" s="4">
        <f t="shared" si="43"/>
        <v>2.3759608665269043E-2</v>
      </c>
      <c r="P485">
        <f t="shared" si="44"/>
        <v>1.6056617647058824</v>
      </c>
      <c r="Q485" s="2">
        <f t="shared" si="45"/>
        <v>8.7347999999999999</v>
      </c>
      <c r="R485" s="2">
        <f t="shared" si="46"/>
        <v>21.837</v>
      </c>
      <c r="S485" s="2">
        <f t="shared" si="47"/>
        <v>5.8066584237761596</v>
      </c>
    </row>
    <row r="486" spans="1:19" hidden="1">
      <c r="A486" t="s">
        <v>539</v>
      </c>
      <c r="B486" t="s">
        <v>30</v>
      </c>
      <c r="C486">
        <v>86</v>
      </c>
      <c r="D486">
        <v>4763</v>
      </c>
      <c r="E486" s="2">
        <v>243.78</v>
      </c>
      <c r="F486">
        <v>11</v>
      </c>
      <c r="G486">
        <v>8</v>
      </c>
      <c r="H486">
        <v>9.2999999999999999E-2</v>
      </c>
      <c r="I486" s="3">
        <v>1770</v>
      </c>
      <c r="J486" s="1" t="s">
        <v>217</v>
      </c>
      <c r="K486" t="s">
        <v>31</v>
      </c>
      <c r="L486" t="s">
        <v>8</v>
      </c>
      <c r="M486" t="s">
        <v>32</v>
      </c>
      <c r="N486" s="1">
        <f t="shared" si="42"/>
        <v>45609</v>
      </c>
      <c r="O486" s="4">
        <f t="shared" si="43"/>
        <v>1.8055847155154313E-2</v>
      </c>
      <c r="P486">
        <f t="shared" si="44"/>
        <v>2.8346511627906978</v>
      </c>
      <c r="Q486" s="2">
        <f t="shared" si="45"/>
        <v>22.16181818181818</v>
      </c>
      <c r="R486" s="2">
        <f t="shared" si="46"/>
        <v>30.4725</v>
      </c>
      <c r="S486" s="2">
        <f t="shared" si="47"/>
        <v>7.2606448437115434</v>
      </c>
    </row>
    <row r="487" spans="1:19" hidden="1">
      <c r="A487" t="s">
        <v>540</v>
      </c>
      <c r="B487" t="s">
        <v>30</v>
      </c>
      <c r="C487">
        <v>175</v>
      </c>
      <c r="D487">
        <v>3095</v>
      </c>
      <c r="E487" s="2">
        <v>236.86</v>
      </c>
      <c r="F487">
        <v>22</v>
      </c>
      <c r="G487">
        <v>4</v>
      </c>
      <c r="H487">
        <v>2.3E-2</v>
      </c>
      <c r="I487" s="3">
        <v>1617</v>
      </c>
      <c r="J487" s="1">
        <v>45616</v>
      </c>
      <c r="K487" t="s">
        <v>31</v>
      </c>
      <c r="L487" t="s">
        <v>8</v>
      </c>
      <c r="M487" t="s">
        <v>46</v>
      </c>
      <c r="N487" s="1">
        <f t="shared" si="42"/>
        <v>45616</v>
      </c>
      <c r="O487" s="4">
        <f t="shared" si="43"/>
        <v>5.6542810985460421E-2</v>
      </c>
      <c r="P487">
        <f t="shared" si="44"/>
        <v>1.3534857142857144</v>
      </c>
      <c r="Q487" s="2">
        <f t="shared" si="45"/>
        <v>10.766363636363637</v>
      </c>
      <c r="R487" s="2">
        <f t="shared" si="46"/>
        <v>59.215000000000003</v>
      </c>
      <c r="S487" s="2">
        <f t="shared" si="47"/>
        <v>6.8268175293422271</v>
      </c>
    </row>
    <row r="488" spans="1:19" hidden="1">
      <c r="A488" t="s">
        <v>541</v>
      </c>
      <c r="B488" t="s">
        <v>30</v>
      </c>
      <c r="C488">
        <v>173</v>
      </c>
      <c r="D488">
        <v>5554</v>
      </c>
      <c r="E488" s="2">
        <v>185.09</v>
      </c>
      <c r="F488">
        <v>22</v>
      </c>
      <c r="G488">
        <v>4</v>
      </c>
      <c r="H488">
        <v>2.3E-2</v>
      </c>
      <c r="I488" s="3">
        <v>1000</v>
      </c>
      <c r="J488" s="1">
        <v>45597</v>
      </c>
      <c r="K488" t="s">
        <v>31</v>
      </c>
      <c r="L488" t="s">
        <v>7</v>
      </c>
      <c r="M488" t="s">
        <v>35</v>
      </c>
      <c r="N488" s="1">
        <f t="shared" si="42"/>
        <v>45597</v>
      </c>
      <c r="O488" s="4">
        <f t="shared" si="43"/>
        <v>3.1148721642059778E-2</v>
      </c>
      <c r="P488">
        <f t="shared" si="44"/>
        <v>1.0698843930635837</v>
      </c>
      <c r="Q488" s="2">
        <f t="shared" si="45"/>
        <v>8.413181818181819</v>
      </c>
      <c r="R488" s="2">
        <f t="shared" si="46"/>
        <v>46.272500000000001</v>
      </c>
      <c r="S488" s="2">
        <f t="shared" si="47"/>
        <v>5.4027770273920792</v>
      </c>
    </row>
    <row r="489" spans="1:19" hidden="1">
      <c r="A489" t="s">
        <v>542</v>
      </c>
      <c r="B489" t="s">
        <v>30</v>
      </c>
      <c r="C489">
        <v>192</v>
      </c>
      <c r="D489">
        <v>3407</v>
      </c>
      <c r="E489" s="2">
        <v>223.29</v>
      </c>
      <c r="F489">
        <v>29</v>
      </c>
      <c r="G489">
        <v>9</v>
      </c>
      <c r="H489">
        <v>4.7E-2</v>
      </c>
      <c r="I489" s="3">
        <v>1538</v>
      </c>
      <c r="J489" s="1">
        <v>45621</v>
      </c>
      <c r="K489" t="s">
        <v>31</v>
      </c>
      <c r="L489" t="s">
        <v>9</v>
      </c>
      <c r="M489" t="s">
        <v>39</v>
      </c>
      <c r="N489" s="1">
        <f t="shared" si="42"/>
        <v>45621</v>
      </c>
      <c r="O489" s="4">
        <f t="shared" si="43"/>
        <v>5.6354564132668039E-2</v>
      </c>
      <c r="P489">
        <f t="shared" si="44"/>
        <v>1.1629687499999999</v>
      </c>
      <c r="Q489" s="2">
        <f t="shared" si="45"/>
        <v>7.6996551724137925</v>
      </c>
      <c r="R489" s="2">
        <f t="shared" si="46"/>
        <v>24.81</v>
      </c>
      <c r="S489" s="2">
        <f t="shared" si="47"/>
        <v>6.8879036230910478</v>
      </c>
    </row>
    <row r="490" spans="1:19" hidden="1">
      <c r="A490" t="s">
        <v>543</v>
      </c>
      <c r="B490" t="s">
        <v>30</v>
      </c>
      <c r="C490">
        <v>190</v>
      </c>
      <c r="D490">
        <v>4465</v>
      </c>
      <c r="E490" s="2">
        <v>241.38</v>
      </c>
      <c r="F490">
        <v>28</v>
      </c>
      <c r="G490">
        <v>5</v>
      </c>
      <c r="H490">
        <v>2.5999999999999999E-2</v>
      </c>
      <c r="I490" s="3">
        <v>1910</v>
      </c>
      <c r="J490" s="1">
        <v>45600</v>
      </c>
      <c r="K490" t="s">
        <v>31</v>
      </c>
      <c r="L490" t="s">
        <v>7</v>
      </c>
      <c r="M490" t="s">
        <v>46</v>
      </c>
      <c r="N490" s="1">
        <f t="shared" si="42"/>
        <v>45600</v>
      </c>
      <c r="O490" s="4">
        <f t="shared" si="43"/>
        <v>4.2553191489361701E-2</v>
      </c>
      <c r="P490">
        <f t="shared" si="44"/>
        <v>1.2704210526315789</v>
      </c>
      <c r="Q490" s="2">
        <f t="shared" si="45"/>
        <v>8.6207142857142856</v>
      </c>
      <c r="R490" s="2">
        <f t="shared" si="46"/>
        <v>48.275999999999996</v>
      </c>
      <c r="S490" s="2">
        <f t="shared" si="47"/>
        <v>7.9128345347584723</v>
      </c>
    </row>
    <row r="491" spans="1:19" hidden="1">
      <c r="A491" t="s">
        <v>544</v>
      </c>
      <c r="B491" t="s">
        <v>30</v>
      </c>
      <c r="C491">
        <v>161</v>
      </c>
      <c r="D491">
        <v>3311</v>
      </c>
      <c r="E491" s="2">
        <v>221.64</v>
      </c>
      <c r="F491">
        <v>16</v>
      </c>
      <c r="G491">
        <v>5</v>
      </c>
      <c r="H491">
        <v>3.1E-2</v>
      </c>
      <c r="I491" s="3">
        <v>1006</v>
      </c>
      <c r="J491" s="1">
        <v>45333</v>
      </c>
      <c r="K491" t="s">
        <v>31</v>
      </c>
      <c r="L491" t="s">
        <v>9</v>
      </c>
      <c r="M491" t="s">
        <v>41</v>
      </c>
      <c r="N491" s="1">
        <f t="shared" si="42"/>
        <v>45333</v>
      </c>
      <c r="O491" s="4">
        <f t="shared" si="43"/>
        <v>4.8625792811839326E-2</v>
      </c>
      <c r="P491">
        <f t="shared" si="44"/>
        <v>1.3766459627329191</v>
      </c>
      <c r="Q491" s="2">
        <f t="shared" si="45"/>
        <v>13.852499999999999</v>
      </c>
      <c r="R491" s="2">
        <f t="shared" si="46"/>
        <v>44.327999999999996</v>
      </c>
      <c r="S491" s="2">
        <f t="shared" si="47"/>
        <v>4.5388918967695364</v>
      </c>
    </row>
    <row r="492" spans="1:19" hidden="1">
      <c r="A492" t="s">
        <v>545</v>
      </c>
      <c r="B492" t="s">
        <v>30</v>
      </c>
      <c r="C492">
        <v>197</v>
      </c>
      <c r="D492">
        <v>3265</v>
      </c>
      <c r="E492" s="2">
        <v>200.4</v>
      </c>
      <c r="F492">
        <v>15</v>
      </c>
      <c r="G492">
        <v>3</v>
      </c>
      <c r="H492">
        <v>1.4999999999999999E-2</v>
      </c>
      <c r="I492" s="3">
        <v>1882</v>
      </c>
      <c r="J492" s="1">
        <v>45302</v>
      </c>
      <c r="K492" t="s">
        <v>31</v>
      </c>
      <c r="L492" t="s">
        <v>8</v>
      </c>
      <c r="M492" t="s">
        <v>32</v>
      </c>
      <c r="N492" s="1">
        <f t="shared" si="42"/>
        <v>45302</v>
      </c>
      <c r="O492" s="4">
        <f t="shared" si="43"/>
        <v>6.0336906584992342E-2</v>
      </c>
      <c r="P492">
        <f t="shared" si="44"/>
        <v>1.017258883248731</v>
      </c>
      <c r="Q492" s="2">
        <f t="shared" si="45"/>
        <v>13.360000000000001</v>
      </c>
      <c r="R492" s="2">
        <f t="shared" si="46"/>
        <v>66.8</v>
      </c>
      <c r="S492" s="2">
        <f t="shared" si="47"/>
        <v>9.39121756487026</v>
      </c>
    </row>
    <row r="493" spans="1:19" hidden="1">
      <c r="A493" t="s">
        <v>546</v>
      </c>
      <c r="B493" t="s">
        <v>30</v>
      </c>
      <c r="C493">
        <v>80</v>
      </c>
      <c r="D493">
        <v>4969</v>
      </c>
      <c r="E493" s="2">
        <v>210.7</v>
      </c>
      <c r="F493">
        <v>25</v>
      </c>
      <c r="G493">
        <v>3</v>
      </c>
      <c r="H493">
        <v>3.6999999999999998E-2</v>
      </c>
      <c r="I493" s="3">
        <v>1146</v>
      </c>
      <c r="J493" s="1">
        <v>45601</v>
      </c>
      <c r="K493" t="s">
        <v>31</v>
      </c>
      <c r="L493" t="s">
        <v>9</v>
      </c>
      <c r="M493" t="s">
        <v>46</v>
      </c>
      <c r="N493" s="1">
        <f t="shared" si="42"/>
        <v>45601</v>
      </c>
      <c r="O493" s="4">
        <f t="shared" si="43"/>
        <v>1.6099818877037632E-2</v>
      </c>
      <c r="P493">
        <f t="shared" si="44"/>
        <v>2.63375</v>
      </c>
      <c r="Q493" s="2">
        <f t="shared" si="45"/>
        <v>8.427999999999999</v>
      </c>
      <c r="R493" s="2">
        <f t="shared" si="46"/>
        <v>70.233333333333334</v>
      </c>
      <c r="S493" s="2">
        <f t="shared" si="47"/>
        <v>5.4390128144280974</v>
      </c>
    </row>
    <row r="494" spans="1:19" hidden="1">
      <c r="A494" t="s">
        <v>547</v>
      </c>
      <c r="B494" t="s">
        <v>30</v>
      </c>
      <c r="C494">
        <v>145</v>
      </c>
      <c r="D494">
        <v>5368</v>
      </c>
      <c r="E494" s="2">
        <v>200.88</v>
      </c>
      <c r="F494">
        <v>14</v>
      </c>
      <c r="G494">
        <v>4</v>
      </c>
      <c r="H494">
        <v>2.8000000000000001E-2</v>
      </c>
      <c r="I494" s="3">
        <v>1125</v>
      </c>
      <c r="J494" s="1">
        <v>45623</v>
      </c>
      <c r="K494" t="s">
        <v>31</v>
      </c>
      <c r="L494" t="s">
        <v>9</v>
      </c>
      <c r="M494" t="s">
        <v>32</v>
      </c>
      <c r="N494" s="1">
        <f t="shared" si="42"/>
        <v>45623</v>
      </c>
      <c r="O494" s="4">
        <f t="shared" si="43"/>
        <v>2.7011922503725784E-2</v>
      </c>
      <c r="P494">
        <f t="shared" si="44"/>
        <v>1.3853793103448275</v>
      </c>
      <c r="Q494" s="2">
        <f t="shared" si="45"/>
        <v>14.348571428571429</v>
      </c>
      <c r="R494" s="2">
        <f t="shared" si="46"/>
        <v>50.22</v>
      </c>
      <c r="S494" s="2">
        <f t="shared" si="47"/>
        <v>5.6003584229390686</v>
      </c>
    </row>
    <row r="495" spans="1:19" hidden="1">
      <c r="A495" t="s">
        <v>548</v>
      </c>
      <c r="B495" t="s">
        <v>30</v>
      </c>
      <c r="C495">
        <v>90</v>
      </c>
      <c r="D495">
        <v>5851</v>
      </c>
      <c r="E495" s="2">
        <v>232.94</v>
      </c>
      <c r="F495">
        <v>22</v>
      </c>
      <c r="G495">
        <v>8</v>
      </c>
      <c r="H495">
        <v>8.8999999999999996E-2</v>
      </c>
      <c r="I495" s="3">
        <v>1421</v>
      </c>
      <c r="J495" s="1">
        <v>45624</v>
      </c>
      <c r="K495" t="s">
        <v>31</v>
      </c>
      <c r="L495" t="s">
        <v>7</v>
      </c>
      <c r="M495" t="s">
        <v>32</v>
      </c>
      <c r="N495" s="1">
        <f t="shared" si="42"/>
        <v>45624</v>
      </c>
      <c r="O495" s="4">
        <f t="shared" si="43"/>
        <v>1.5381985985301657E-2</v>
      </c>
      <c r="P495">
        <f t="shared" si="44"/>
        <v>2.588222222222222</v>
      </c>
      <c r="Q495" s="2">
        <f t="shared" si="45"/>
        <v>10.588181818181818</v>
      </c>
      <c r="R495" s="2">
        <f t="shared" si="46"/>
        <v>29.1175</v>
      </c>
      <c r="S495" s="2">
        <f t="shared" si="47"/>
        <v>6.1002833347643168</v>
      </c>
    </row>
    <row r="496" spans="1:19">
      <c r="A496" t="s">
        <v>549</v>
      </c>
      <c r="B496" t="s">
        <v>30</v>
      </c>
      <c r="C496">
        <v>109</v>
      </c>
      <c r="D496">
        <v>4884</v>
      </c>
      <c r="E496" s="2">
        <v>228.13</v>
      </c>
      <c r="F496">
        <v>11</v>
      </c>
      <c r="G496">
        <v>8</v>
      </c>
      <c r="H496">
        <v>4.5999999999999999E-2</v>
      </c>
      <c r="I496" s="3">
        <v>1680</v>
      </c>
      <c r="J496" s="1">
        <v>45611</v>
      </c>
      <c r="K496" t="s">
        <v>31</v>
      </c>
      <c r="L496" t="s">
        <v>7</v>
      </c>
      <c r="M496" t="s">
        <v>39</v>
      </c>
      <c r="N496" s="1">
        <f t="shared" si="42"/>
        <v>45611</v>
      </c>
      <c r="O496" s="4">
        <f t="shared" si="43"/>
        <v>2.2317772317772318E-2</v>
      </c>
      <c r="P496">
        <f t="shared" si="44"/>
        <v>2.0929357798165138</v>
      </c>
      <c r="Q496" s="2">
        <f t="shared" si="45"/>
        <v>20.739090909090908</v>
      </c>
      <c r="R496" s="2">
        <f t="shared" si="46"/>
        <v>28.516249999999999</v>
      </c>
      <c r="S496" s="2">
        <f t="shared" si="47"/>
        <v>7.3642221540349802</v>
      </c>
    </row>
    <row r="497" spans="1:19" hidden="1">
      <c r="A497" t="s">
        <v>550</v>
      </c>
      <c r="B497" t="s">
        <v>30</v>
      </c>
      <c r="C497">
        <v>130</v>
      </c>
      <c r="D497">
        <v>5719</v>
      </c>
      <c r="E497" s="2">
        <v>215.57</v>
      </c>
      <c r="F497">
        <v>10</v>
      </c>
      <c r="G497">
        <v>5</v>
      </c>
      <c r="H497">
        <v>0.03</v>
      </c>
      <c r="I497" s="3">
        <v>1208</v>
      </c>
      <c r="J497" s="1">
        <v>45619</v>
      </c>
      <c r="K497" t="s">
        <v>31</v>
      </c>
      <c r="L497" t="s">
        <v>7</v>
      </c>
      <c r="M497" t="s">
        <v>46</v>
      </c>
      <c r="N497" s="1">
        <f t="shared" si="42"/>
        <v>45619</v>
      </c>
      <c r="O497" s="4">
        <f t="shared" si="43"/>
        <v>2.2731246721454799E-2</v>
      </c>
      <c r="P497">
        <f t="shared" si="44"/>
        <v>1.6582307692307692</v>
      </c>
      <c r="Q497" s="2">
        <f t="shared" si="45"/>
        <v>21.556999999999999</v>
      </c>
      <c r="R497" s="2">
        <f t="shared" si="46"/>
        <v>43.113999999999997</v>
      </c>
      <c r="S497" s="2">
        <f t="shared" si="47"/>
        <v>5.6037482024400429</v>
      </c>
    </row>
    <row r="498" spans="1:19" hidden="1">
      <c r="A498" t="s">
        <v>551</v>
      </c>
      <c r="B498" t="s">
        <v>30</v>
      </c>
      <c r="C498">
        <v>179</v>
      </c>
      <c r="D498">
        <v>5828</v>
      </c>
      <c r="E498" s="2">
        <v>247.84</v>
      </c>
      <c r="F498">
        <v>15</v>
      </c>
      <c r="G498">
        <v>4</v>
      </c>
      <c r="H498">
        <v>2.1999999999999999E-2</v>
      </c>
      <c r="I498" s="3">
        <v>1127</v>
      </c>
      <c r="J498" s="1">
        <v>45610</v>
      </c>
      <c r="K498" t="s">
        <v>31</v>
      </c>
      <c r="L498" t="s">
        <v>8</v>
      </c>
      <c r="M498" t="s">
        <v>46</v>
      </c>
      <c r="N498" s="1">
        <f t="shared" si="42"/>
        <v>45610</v>
      </c>
      <c r="O498" s="4">
        <f t="shared" si="43"/>
        <v>3.0713795470144131E-2</v>
      </c>
      <c r="P498">
        <f t="shared" si="44"/>
        <v>1.3845810055865921</v>
      </c>
      <c r="Q498" s="2">
        <f t="shared" si="45"/>
        <v>16.522666666666666</v>
      </c>
      <c r="R498" s="2">
        <f t="shared" si="46"/>
        <v>61.96</v>
      </c>
      <c r="S498" s="2">
        <f t="shared" si="47"/>
        <v>4.5472885732730797</v>
      </c>
    </row>
    <row r="499" spans="1:19" hidden="1">
      <c r="A499" t="s">
        <v>552</v>
      </c>
      <c r="B499" t="s">
        <v>30</v>
      </c>
      <c r="C499">
        <v>181</v>
      </c>
      <c r="D499">
        <v>4935</v>
      </c>
      <c r="E499" s="2">
        <v>239.29</v>
      </c>
      <c r="F499">
        <v>15</v>
      </c>
      <c r="G499">
        <v>5</v>
      </c>
      <c r="H499">
        <v>0.03</v>
      </c>
      <c r="I499" s="3">
        <v>1497</v>
      </c>
      <c r="J499" s="1">
        <v>45546</v>
      </c>
      <c r="K499" t="s">
        <v>31</v>
      </c>
      <c r="L499" t="s">
        <v>7</v>
      </c>
      <c r="M499" t="s">
        <v>39</v>
      </c>
      <c r="N499" s="1">
        <f t="shared" si="42"/>
        <v>45546</v>
      </c>
      <c r="O499" s="4">
        <f t="shared" si="43"/>
        <v>3.667679837892604E-2</v>
      </c>
      <c r="P499">
        <f t="shared" si="44"/>
        <v>1.3220441988950276</v>
      </c>
      <c r="Q499" s="2">
        <f t="shared" si="45"/>
        <v>15.952666666666666</v>
      </c>
      <c r="R499" s="2">
        <f t="shared" si="46"/>
        <v>47.857999999999997</v>
      </c>
      <c r="S499" s="2">
        <f t="shared" si="47"/>
        <v>6.256007355092148</v>
      </c>
    </row>
    <row r="500" spans="1:19" hidden="1">
      <c r="A500" t="s">
        <v>553</v>
      </c>
      <c r="B500" t="s">
        <v>30</v>
      </c>
      <c r="C500">
        <v>188</v>
      </c>
      <c r="D500">
        <v>4491</v>
      </c>
      <c r="E500" s="2">
        <v>201.73</v>
      </c>
      <c r="F500">
        <v>24</v>
      </c>
      <c r="G500">
        <v>7</v>
      </c>
      <c r="H500">
        <v>3.6999999999999998E-2</v>
      </c>
      <c r="I500" s="3">
        <v>1906</v>
      </c>
      <c r="J500" s="1">
        <v>45617</v>
      </c>
      <c r="K500" t="s">
        <v>31</v>
      </c>
      <c r="L500" t="s">
        <v>8</v>
      </c>
      <c r="M500" t="s">
        <v>41</v>
      </c>
      <c r="N500" s="1">
        <f t="shared" si="42"/>
        <v>45617</v>
      </c>
      <c r="O500" s="4">
        <f t="shared" si="43"/>
        <v>4.1861500779336452E-2</v>
      </c>
      <c r="P500">
        <f t="shared" si="44"/>
        <v>1.0730319148936169</v>
      </c>
      <c r="Q500" s="2">
        <f t="shared" si="45"/>
        <v>8.4054166666666656</v>
      </c>
      <c r="R500" s="2">
        <f t="shared" si="46"/>
        <v>28.818571428571428</v>
      </c>
      <c r="S500" s="2">
        <f t="shared" si="47"/>
        <v>9.4482724433648944</v>
      </c>
    </row>
    <row r="501" spans="1:19" hidden="1">
      <c r="A501" t="s">
        <v>554</v>
      </c>
      <c r="B501" t="s">
        <v>30</v>
      </c>
      <c r="C501">
        <v>139</v>
      </c>
      <c r="D501">
        <v>3659</v>
      </c>
      <c r="E501" s="2">
        <v>189.09</v>
      </c>
      <c r="F501">
        <v>16</v>
      </c>
      <c r="G501">
        <v>4</v>
      </c>
      <c r="H501">
        <v>2.9000000000000001E-2</v>
      </c>
      <c r="I501" s="3">
        <v>1892</v>
      </c>
      <c r="J501" s="1">
        <v>45625</v>
      </c>
      <c r="K501" t="s">
        <v>31</v>
      </c>
      <c r="L501" t="s">
        <v>7</v>
      </c>
      <c r="M501" t="s">
        <v>39</v>
      </c>
      <c r="N501" s="1">
        <f t="shared" si="42"/>
        <v>45625</v>
      </c>
      <c r="O501" s="4">
        <f t="shared" si="43"/>
        <v>3.7988521453949167E-2</v>
      </c>
      <c r="P501">
        <f t="shared" si="44"/>
        <v>1.3603597122302158</v>
      </c>
      <c r="Q501" s="2">
        <f t="shared" si="45"/>
        <v>11.818125</v>
      </c>
      <c r="R501" s="2">
        <f t="shared" si="46"/>
        <v>47.272500000000001</v>
      </c>
      <c r="S501" s="2">
        <f t="shared" si="47"/>
        <v>10.005817335660268</v>
      </c>
    </row>
    <row r="502" spans="1:19" hidden="1">
      <c r="A502" t="s">
        <v>555</v>
      </c>
      <c r="B502" t="s">
        <v>30</v>
      </c>
      <c r="C502">
        <v>99</v>
      </c>
      <c r="D502">
        <v>4809</v>
      </c>
      <c r="E502" s="2">
        <v>210.6</v>
      </c>
      <c r="F502">
        <v>24</v>
      </c>
      <c r="G502">
        <v>8</v>
      </c>
      <c r="H502">
        <v>8.1000000000000003E-2</v>
      </c>
      <c r="I502" s="3">
        <v>1505</v>
      </c>
      <c r="J502" s="1" t="s">
        <v>217</v>
      </c>
      <c r="K502" t="s">
        <v>31</v>
      </c>
      <c r="L502" t="s">
        <v>8</v>
      </c>
      <c r="M502" t="s">
        <v>35</v>
      </c>
      <c r="N502" s="1">
        <f t="shared" si="42"/>
        <v>45609</v>
      </c>
      <c r="O502" s="4">
        <f t="shared" si="43"/>
        <v>2.0586400499064253E-2</v>
      </c>
      <c r="P502">
        <f t="shared" si="44"/>
        <v>2.1272727272727274</v>
      </c>
      <c r="Q502" s="2">
        <f t="shared" si="45"/>
        <v>8.7750000000000004</v>
      </c>
      <c r="R502" s="2">
        <f t="shared" si="46"/>
        <v>26.324999999999999</v>
      </c>
      <c r="S502" s="2">
        <f t="shared" si="47"/>
        <v>7.1462488129154798</v>
      </c>
    </row>
    <row r="503" spans="1:19" hidden="1">
      <c r="A503" t="s">
        <v>556</v>
      </c>
      <c r="B503" t="s">
        <v>30</v>
      </c>
      <c r="C503">
        <v>95</v>
      </c>
      <c r="D503">
        <v>5844</v>
      </c>
      <c r="E503" s="2">
        <v>211.95</v>
      </c>
      <c r="F503">
        <v>10</v>
      </c>
      <c r="G503">
        <v>9</v>
      </c>
      <c r="H503">
        <v>9.5000000000000001E-2</v>
      </c>
      <c r="I503" s="3">
        <v>1444</v>
      </c>
      <c r="J503" s="1">
        <v>45604</v>
      </c>
      <c r="K503" t="s">
        <v>31</v>
      </c>
      <c r="L503" t="s">
        <v>9</v>
      </c>
      <c r="M503" t="s">
        <v>32</v>
      </c>
      <c r="N503" s="1">
        <f t="shared" si="42"/>
        <v>45604</v>
      </c>
      <c r="O503" s="4">
        <f t="shared" si="43"/>
        <v>1.6255989048596851E-2</v>
      </c>
      <c r="P503">
        <f t="shared" si="44"/>
        <v>2.2310526315789474</v>
      </c>
      <c r="Q503" s="2">
        <f t="shared" si="45"/>
        <v>21.195</v>
      </c>
      <c r="R503" s="2">
        <f t="shared" si="46"/>
        <v>23.549999999999997</v>
      </c>
      <c r="S503" s="2">
        <f t="shared" si="47"/>
        <v>6.8129275772587876</v>
      </c>
    </row>
    <row r="504" spans="1:19" hidden="1">
      <c r="A504" t="s">
        <v>557</v>
      </c>
      <c r="B504" t="s">
        <v>30</v>
      </c>
      <c r="C504">
        <v>131</v>
      </c>
      <c r="D504">
        <v>5559</v>
      </c>
      <c r="E504" s="2">
        <v>215.57</v>
      </c>
      <c r="F504">
        <v>28</v>
      </c>
      <c r="G504">
        <v>5</v>
      </c>
      <c r="H504">
        <v>3.5000000000000003E-2</v>
      </c>
      <c r="I504" s="3">
        <v>1604</v>
      </c>
      <c r="J504" s="1">
        <v>45625</v>
      </c>
      <c r="K504" t="s">
        <v>31</v>
      </c>
      <c r="L504" t="s">
        <v>7</v>
      </c>
      <c r="M504" t="s">
        <v>46</v>
      </c>
      <c r="N504" s="1">
        <f t="shared" si="42"/>
        <v>45625</v>
      </c>
      <c r="O504" s="4">
        <f t="shared" si="43"/>
        <v>2.3565389458535708E-2</v>
      </c>
      <c r="P504">
        <f t="shared" si="44"/>
        <v>1.6455725190839694</v>
      </c>
      <c r="Q504" s="2">
        <f t="shared" si="45"/>
        <v>7.6989285714285716</v>
      </c>
      <c r="R504" s="2">
        <f t="shared" si="46"/>
        <v>43.113999999999997</v>
      </c>
      <c r="S504" s="2">
        <f t="shared" si="47"/>
        <v>7.4407385072134344</v>
      </c>
    </row>
    <row r="505" spans="1:19">
      <c r="A505" t="s">
        <v>558</v>
      </c>
      <c r="B505" t="s">
        <v>30</v>
      </c>
      <c r="C505">
        <v>190</v>
      </c>
      <c r="D505">
        <v>4630</v>
      </c>
      <c r="E505" s="2">
        <v>217.6</v>
      </c>
      <c r="F505">
        <v>27</v>
      </c>
      <c r="G505">
        <v>4</v>
      </c>
      <c r="H505">
        <v>4.5999999999999999E-2</v>
      </c>
      <c r="I505" s="3">
        <v>1900</v>
      </c>
      <c r="J505" s="1">
        <v>45619</v>
      </c>
      <c r="K505" t="s">
        <v>31</v>
      </c>
      <c r="L505" t="s">
        <v>9</v>
      </c>
      <c r="M505" t="s">
        <v>39</v>
      </c>
      <c r="N505" s="1">
        <f t="shared" si="42"/>
        <v>45619</v>
      </c>
      <c r="O505" s="4">
        <f t="shared" si="43"/>
        <v>4.1036717062634988E-2</v>
      </c>
      <c r="P505">
        <f t="shared" si="44"/>
        <v>1.1452631578947368</v>
      </c>
      <c r="Q505" s="2">
        <f t="shared" si="45"/>
        <v>8.0592592592592585</v>
      </c>
      <c r="R505" s="2">
        <f t="shared" si="46"/>
        <v>54.4</v>
      </c>
      <c r="S505" s="2">
        <f t="shared" si="47"/>
        <v>8.7316176470588243</v>
      </c>
    </row>
    <row r="506" spans="1:19">
      <c r="A506" t="s">
        <v>559</v>
      </c>
      <c r="B506" t="s">
        <v>30</v>
      </c>
      <c r="C506">
        <v>123</v>
      </c>
      <c r="D506">
        <v>3340</v>
      </c>
      <c r="E506" s="2">
        <v>225.16</v>
      </c>
      <c r="F506">
        <v>23</v>
      </c>
      <c r="G506">
        <v>8</v>
      </c>
      <c r="H506">
        <v>4.5999999999999999E-2</v>
      </c>
      <c r="I506" s="3">
        <v>1563</v>
      </c>
      <c r="J506" s="1">
        <v>45622</v>
      </c>
      <c r="K506" t="s">
        <v>31</v>
      </c>
      <c r="L506" t="s">
        <v>8</v>
      </c>
      <c r="M506" t="s">
        <v>41</v>
      </c>
      <c r="N506" s="1">
        <f t="shared" si="42"/>
        <v>45622</v>
      </c>
      <c r="O506" s="4">
        <f t="shared" si="43"/>
        <v>3.6826347305389223E-2</v>
      </c>
      <c r="P506">
        <f t="shared" si="44"/>
        <v>1.8305691056910569</v>
      </c>
      <c r="Q506" s="2">
        <f t="shared" si="45"/>
        <v>9.7895652173913046</v>
      </c>
      <c r="R506" s="2">
        <f t="shared" si="46"/>
        <v>28.145</v>
      </c>
      <c r="S506" s="2">
        <f t="shared" si="47"/>
        <v>6.9417303251021494</v>
      </c>
    </row>
    <row r="507" spans="1:19" hidden="1">
      <c r="A507" t="s">
        <v>560</v>
      </c>
      <c r="B507" t="s">
        <v>30</v>
      </c>
      <c r="C507">
        <v>97</v>
      </c>
      <c r="D507">
        <v>3330</v>
      </c>
      <c r="E507" s="2">
        <v>182.98</v>
      </c>
      <c r="F507">
        <v>15</v>
      </c>
      <c r="G507">
        <v>3</v>
      </c>
      <c r="H507">
        <v>3.1E-2</v>
      </c>
      <c r="I507" s="3">
        <v>1102</v>
      </c>
      <c r="J507" s="1">
        <v>45610</v>
      </c>
      <c r="K507" t="s">
        <v>31</v>
      </c>
      <c r="L507" t="s">
        <v>9</v>
      </c>
      <c r="M507" t="s">
        <v>37</v>
      </c>
      <c r="N507" s="1">
        <f t="shared" si="42"/>
        <v>45610</v>
      </c>
      <c r="O507" s="4">
        <f t="shared" si="43"/>
        <v>2.9129129129129128E-2</v>
      </c>
      <c r="P507">
        <f t="shared" si="44"/>
        <v>1.8863917525773195</v>
      </c>
      <c r="Q507" s="2">
        <f t="shared" si="45"/>
        <v>12.198666666666666</v>
      </c>
      <c r="R507" s="2">
        <f t="shared" si="46"/>
        <v>60.993333333333332</v>
      </c>
      <c r="S507" s="2">
        <f t="shared" si="47"/>
        <v>6.0225161219805443</v>
      </c>
    </row>
    <row r="508" spans="1:19">
      <c r="A508" t="s">
        <v>561</v>
      </c>
      <c r="B508" t="s">
        <v>30</v>
      </c>
      <c r="C508">
        <v>164</v>
      </c>
      <c r="D508">
        <v>3117</v>
      </c>
      <c r="E508" s="2">
        <v>198.53</v>
      </c>
      <c r="F508">
        <v>25</v>
      </c>
      <c r="G508">
        <v>5</v>
      </c>
      <c r="H508">
        <v>4.5999999999999999E-2</v>
      </c>
      <c r="I508" s="3">
        <v>1749</v>
      </c>
      <c r="J508" s="1">
        <v>45625</v>
      </c>
      <c r="K508" t="s">
        <v>31</v>
      </c>
      <c r="L508" t="s">
        <v>8</v>
      </c>
      <c r="M508" t="s">
        <v>46</v>
      </c>
      <c r="N508" s="1">
        <f t="shared" si="42"/>
        <v>45625</v>
      </c>
      <c r="O508" s="4">
        <f t="shared" si="43"/>
        <v>5.2614693615656079E-2</v>
      </c>
      <c r="P508">
        <f t="shared" si="44"/>
        <v>1.2105487804878048</v>
      </c>
      <c r="Q508" s="2">
        <f t="shared" si="45"/>
        <v>7.9412000000000003</v>
      </c>
      <c r="R508" s="2">
        <f t="shared" si="46"/>
        <v>39.706000000000003</v>
      </c>
      <c r="S508" s="2">
        <f t="shared" si="47"/>
        <v>8.8097516748098528</v>
      </c>
    </row>
    <row r="509" spans="1:19" hidden="1">
      <c r="A509" t="s">
        <v>562</v>
      </c>
      <c r="B509" t="s">
        <v>30</v>
      </c>
      <c r="C509">
        <v>134</v>
      </c>
      <c r="D509">
        <v>3562</v>
      </c>
      <c r="E509" s="2">
        <v>247.59</v>
      </c>
      <c r="F509">
        <v>24</v>
      </c>
      <c r="G509">
        <v>10</v>
      </c>
      <c r="H509">
        <v>7.4999999999999997E-2</v>
      </c>
      <c r="I509" s="3">
        <v>1295</v>
      </c>
      <c r="J509" s="1">
        <v>45302</v>
      </c>
      <c r="K509" t="s">
        <v>31</v>
      </c>
      <c r="L509" t="s">
        <v>9</v>
      </c>
      <c r="M509" t="s">
        <v>46</v>
      </c>
      <c r="N509" s="1">
        <f t="shared" si="42"/>
        <v>45302</v>
      </c>
      <c r="O509" s="4">
        <f t="shared" si="43"/>
        <v>3.7619314991577765E-2</v>
      </c>
      <c r="P509">
        <f t="shared" si="44"/>
        <v>1.8476865671641791</v>
      </c>
      <c r="Q509" s="2">
        <f t="shared" si="45"/>
        <v>10.31625</v>
      </c>
      <c r="R509" s="2">
        <f t="shared" si="46"/>
        <v>24.759</v>
      </c>
      <c r="S509" s="2">
        <f t="shared" si="47"/>
        <v>5.2304212609556124</v>
      </c>
    </row>
    <row r="510" spans="1:19" hidden="1">
      <c r="A510" t="s">
        <v>563</v>
      </c>
      <c r="B510" t="s">
        <v>30</v>
      </c>
      <c r="C510">
        <v>117</v>
      </c>
      <c r="D510">
        <v>5144</v>
      </c>
      <c r="E510" s="2">
        <v>221.76</v>
      </c>
      <c r="F510">
        <v>23</v>
      </c>
      <c r="G510">
        <v>3</v>
      </c>
      <c r="H510">
        <v>3.7999999999999999E-2</v>
      </c>
      <c r="I510" s="3">
        <v>1338</v>
      </c>
      <c r="J510" s="1">
        <v>45607</v>
      </c>
      <c r="K510" t="s">
        <v>31</v>
      </c>
      <c r="L510" t="s">
        <v>8</v>
      </c>
      <c r="M510" t="s">
        <v>46</v>
      </c>
      <c r="N510" s="1">
        <f t="shared" si="42"/>
        <v>45607</v>
      </c>
      <c r="O510" s="4">
        <f t="shared" si="43"/>
        <v>2.2744945567651633E-2</v>
      </c>
      <c r="P510">
        <f t="shared" si="44"/>
        <v>1.8953846153846152</v>
      </c>
      <c r="Q510" s="2">
        <f t="shared" si="45"/>
        <v>9.6417391304347824</v>
      </c>
      <c r="R510" s="2">
        <f t="shared" si="46"/>
        <v>73.92</v>
      </c>
      <c r="S510" s="2">
        <f t="shared" si="47"/>
        <v>6.033549783549784</v>
      </c>
    </row>
    <row r="511" spans="1:19" hidden="1">
      <c r="A511" t="s">
        <v>564</v>
      </c>
      <c r="B511" t="s">
        <v>30</v>
      </c>
      <c r="C511">
        <v>168</v>
      </c>
      <c r="D511">
        <v>4375</v>
      </c>
      <c r="E511" s="2">
        <v>215.57</v>
      </c>
      <c r="F511">
        <v>19</v>
      </c>
      <c r="G511">
        <v>8</v>
      </c>
      <c r="H511">
        <v>4.8000000000000001E-2</v>
      </c>
      <c r="I511" s="3">
        <v>1267</v>
      </c>
      <c r="J511" s="1">
        <v>45602</v>
      </c>
      <c r="K511" t="s">
        <v>31</v>
      </c>
      <c r="L511" t="s">
        <v>8</v>
      </c>
      <c r="M511" t="s">
        <v>41</v>
      </c>
      <c r="N511" s="1">
        <f t="shared" si="42"/>
        <v>45602</v>
      </c>
      <c r="O511" s="4">
        <f t="shared" si="43"/>
        <v>3.8399999999999997E-2</v>
      </c>
      <c r="P511">
        <f t="shared" si="44"/>
        <v>1.2831547619047619</v>
      </c>
      <c r="Q511" s="2">
        <f t="shared" si="45"/>
        <v>11.34578947368421</v>
      </c>
      <c r="R511" s="2">
        <f t="shared" si="46"/>
        <v>26.946249999999999</v>
      </c>
      <c r="S511" s="2">
        <f t="shared" si="47"/>
        <v>5.877441202393654</v>
      </c>
    </row>
    <row r="512" spans="1:19" hidden="1">
      <c r="A512" t="s">
        <v>565</v>
      </c>
      <c r="B512" t="s">
        <v>30</v>
      </c>
      <c r="C512">
        <v>173</v>
      </c>
      <c r="D512">
        <v>3328</v>
      </c>
      <c r="E512" s="2">
        <v>224.17</v>
      </c>
      <c r="F512">
        <v>15</v>
      </c>
      <c r="G512">
        <v>10</v>
      </c>
      <c r="H512">
        <v>4.2999999999999997E-2</v>
      </c>
      <c r="I512" s="3">
        <v>1904</v>
      </c>
      <c r="J512" s="1">
        <v>45624</v>
      </c>
      <c r="K512" t="s">
        <v>31</v>
      </c>
      <c r="L512" t="s">
        <v>8</v>
      </c>
      <c r="M512" t="s">
        <v>41</v>
      </c>
      <c r="N512" s="1">
        <f t="shared" si="42"/>
        <v>45624</v>
      </c>
      <c r="O512" s="4">
        <f t="shared" si="43"/>
        <v>5.198317307692308E-2</v>
      </c>
      <c r="P512">
        <f t="shared" si="44"/>
        <v>1.2957803468208091</v>
      </c>
      <c r="Q512" s="2">
        <f t="shared" si="45"/>
        <v>14.944666666666667</v>
      </c>
      <c r="R512" s="2">
        <f t="shared" si="46"/>
        <v>22.416999999999998</v>
      </c>
      <c r="S512" s="2">
        <f t="shared" si="47"/>
        <v>8.4935539991970384</v>
      </c>
    </row>
    <row r="513" spans="1:19" hidden="1">
      <c r="A513" t="s">
        <v>566</v>
      </c>
      <c r="B513" t="s">
        <v>30</v>
      </c>
      <c r="C513">
        <v>158</v>
      </c>
      <c r="D513">
        <v>4336</v>
      </c>
      <c r="E513" s="2">
        <v>238.29</v>
      </c>
      <c r="F513">
        <v>26</v>
      </c>
      <c r="G513">
        <v>9</v>
      </c>
      <c r="H513">
        <v>5.1999999999999998E-2</v>
      </c>
      <c r="I513" s="3">
        <v>1245</v>
      </c>
      <c r="J513" s="1">
        <v>45626</v>
      </c>
      <c r="K513" t="s">
        <v>31</v>
      </c>
      <c r="L513" t="s">
        <v>9</v>
      </c>
      <c r="M513" t="s">
        <v>41</v>
      </c>
      <c r="N513" s="1">
        <f t="shared" si="42"/>
        <v>45626</v>
      </c>
      <c r="O513" s="4">
        <f t="shared" si="43"/>
        <v>3.6439114391143911E-2</v>
      </c>
      <c r="P513">
        <f t="shared" si="44"/>
        <v>1.5081645569620252</v>
      </c>
      <c r="Q513" s="2">
        <f t="shared" si="45"/>
        <v>9.1649999999999991</v>
      </c>
      <c r="R513" s="2">
        <f t="shared" si="46"/>
        <v>26.476666666666667</v>
      </c>
      <c r="S513" s="2">
        <f t="shared" si="47"/>
        <v>5.2247261739896764</v>
      </c>
    </row>
    <row r="514" spans="1:19" hidden="1">
      <c r="A514" t="s">
        <v>567</v>
      </c>
      <c r="B514" t="s">
        <v>30</v>
      </c>
      <c r="C514">
        <v>135</v>
      </c>
      <c r="D514">
        <v>5063</v>
      </c>
      <c r="E514" s="2">
        <v>195.58</v>
      </c>
      <c r="F514">
        <v>22</v>
      </c>
      <c r="G514">
        <v>6</v>
      </c>
      <c r="H514">
        <v>4.3999999999999997E-2</v>
      </c>
      <c r="I514" s="3">
        <v>1505</v>
      </c>
      <c r="J514" s="1" t="s">
        <v>86</v>
      </c>
      <c r="K514" t="s">
        <v>31</v>
      </c>
      <c r="L514" t="s">
        <v>9</v>
      </c>
      <c r="M514" t="s">
        <v>32</v>
      </c>
      <c r="N514" s="1">
        <f t="shared" ref="N514:N577" si="48">IF(A514="","",IF(ISNUMBER(J514),J514,IF(MID(J514,5,1)="-",DATE(LEFT(J514,4),MID(J514,6,2),RIGHT(J514,2)),IF(MID(J514,5,1)="/",DATE(LEFT(J514,4),MID(J514,6,2),RIGHT(J514,2)),DATE(RIGHT(J514,4),MID(J514,4,2),LEFT(J514,2))))))</f>
        <v>45625</v>
      </c>
      <c r="O514" s="4">
        <f t="shared" ref="O514:O577" si="49">IFERROR(C514/D514,0)</f>
        <v>2.6664033181907961E-2</v>
      </c>
      <c r="P514">
        <f t="shared" ref="P514:P577" si="50">IFERROR(E514/C514,0)</f>
        <v>1.4487407407407409</v>
      </c>
      <c r="Q514" s="2">
        <f t="shared" ref="Q514:Q577" si="51">IFERROR(E514/F514,0)</f>
        <v>8.89</v>
      </c>
      <c r="R514" s="2">
        <f t="shared" ref="R514:R577" si="52">IFERROR(E514/G514,0)</f>
        <v>32.596666666666671</v>
      </c>
      <c r="S514" s="2">
        <f t="shared" ref="S514:S577" si="53">IFERROR(I514/E514,0)</f>
        <v>7.6950608446671431</v>
      </c>
    </row>
    <row r="515" spans="1:19">
      <c r="A515" t="s">
        <v>568</v>
      </c>
      <c r="B515" t="s">
        <v>30</v>
      </c>
      <c r="C515">
        <v>182</v>
      </c>
      <c r="D515">
        <v>5993</v>
      </c>
      <c r="E515" s="2">
        <v>215.57</v>
      </c>
      <c r="F515">
        <v>19</v>
      </c>
      <c r="G515">
        <v>3</v>
      </c>
      <c r="H515">
        <v>4.5999999999999999E-2</v>
      </c>
      <c r="I515" s="3">
        <v>1254</v>
      </c>
      <c r="J515" s="1" t="s">
        <v>348</v>
      </c>
      <c r="K515" t="s">
        <v>31</v>
      </c>
      <c r="L515" t="s">
        <v>7</v>
      </c>
      <c r="M515" t="s">
        <v>39</v>
      </c>
      <c r="N515" s="1">
        <f t="shared" si="48"/>
        <v>45615</v>
      </c>
      <c r="O515" s="4">
        <f t="shared" si="49"/>
        <v>3.0368763557483729E-2</v>
      </c>
      <c r="P515">
        <f t="shared" si="50"/>
        <v>1.1844505494505495</v>
      </c>
      <c r="Q515" s="2">
        <f t="shared" si="51"/>
        <v>11.34578947368421</v>
      </c>
      <c r="R515" s="2">
        <f t="shared" si="52"/>
        <v>71.856666666666669</v>
      </c>
      <c r="S515" s="2">
        <f t="shared" si="53"/>
        <v>5.8171359651157397</v>
      </c>
    </row>
    <row r="516" spans="1:19" hidden="1">
      <c r="A516" t="s">
        <v>569</v>
      </c>
      <c r="B516" t="s">
        <v>30</v>
      </c>
      <c r="C516">
        <v>83</v>
      </c>
      <c r="D516">
        <v>3926</v>
      </c>
      <c r="E516" s="2">
        <v>237.07</v>
      </c>
      <c r="F516">
        <v>22</v>
      </c>
      <c r="G516">
        <v>5</v>
      </c>
      <c r="H516">
        <v>0.06</v>
      </c>
      <c r="I516" s="3">
        <v>1667</v>
      </c>
      <c r="J516" s="1">
        <v>45603</v>
      </c>
      <c r="K516" t="s">
        <v>31</v>
      </c>
      <c r="L516" t="s">
        <v>8</v>
      </c>
      <c r="M516" t="s">
        <v>46</v>
      </c>
      <c r="N516" s="1">
        <f t="shared" si="48"/>
        <v>45603</v>
      </c>
      <c r="O516" s="4">
        <f t="shared" si="49"/>
        <v>2.1141110545084055E-2</v>
      </c>
      <c r="P516">
        <f t="shared" si="50"/>
        <v>2.8562650602409638</v>
      </c>
      <c r="Q516" s="2">
        <f t="shared" si="51"/>
        <v>10.77590909090909</v>
      </c>
      <c r="R516" s="2">
        <f t="shared" si="52"/>
        <v>47.414000000000001</v>
      </c>
      <c r="S516" s="2">
        <f t="shared" si="53"/>
        <v>7.031678407221496</v>
      </c>
    </row>
    <row r="517" spans="1:19">
      <c r="A517" t="s">
        <v>570</v>
      </c>
      <c r="B517" t="s">
        <v>30</v>
      </c>
      <c r="C517">
        <v>85</v>
      </c>
      <c r="D517">
        <v>5570</v>
      </c>
      <c r="E517" s="2">
        <v>221.73</v>
      </c>
      <c r="F517">
        <v>14</v>
      </c>
      <c r="G517">
        <v>7</v>
      </c>
      <c r="H517">
        <v>4.5999999999999999E-2</v>
      </c>
      <c r="I517" s="3">
        <v>1292</v>
      </c>
      <c r="J517" s="1" t="s">
        <v>86</v>
      </c>
      <c r="K517" t="s">
        <v>31</v>
      </c>
      <c r="L517" t="s">
        <v>9</v>
      </c>
      <c r="M517" t="s">
        <v>37</v>
      </c>
      <c r="N517" s="1">
        <f t="shared" si="48"/>
        <v>45625</v>
      </c>
      <c r="O517" s="4">
        <f t="shared" si="49"/>
        <v>1.526032315978456E-2</v>
      </c>
      <c r="P517">
        <f t="shared" si="50"/>
        <v>2.6085882352941177</v>
      </c>
      <c r="Q517" s="2">
        <f t="shared" si="51"/>
        <v>15.837857142857143</v>
      </c>
      <c r="R517" s="2">
        <f t="shared" si="52"/>
        <v>31.675714285714285</v>
      </c>
      <c r="S517" s="2">
        <f t="shared" si="53"/>
        <v>5.8269065981148245</v>
      </c>
    </row>
    <row r="518" spans="1:19" hidden="1">
      <c r="A518" t="s">
        <v>571</v>
      </c>
      <c r="B518" t="s">
        <v>30</v>
      </c>
      <c r="C518">
        <v>98</v>
      </c>
      <c r="D518">
        <v>5571</v>
      </c>
      <c r="E518" s="2">
        <v>208.4</v>
      </c>
      <c r="F518">
        <v>15</v>
      </c>
      <c r="G518">
        <v>7</v>
      </c>
      <c r="H518">
        <v>7.0999999999999994E-2</v>
      </c>
      <c r="I518" s="3">
        <v>1890</v>
      </c>
      <c r="J518" s="1" t="s">
        <v>50</v>
      </c>
      <c r="K518" t="s">
        <v>31</v>
      </c>
      <c r="L518" t="s">
        <v>7</v>
      </c>
      <c r="M518" t="s">
        <v>46</v>
      </c>
      <c r="N518" s="1">
        <f t="shared" si="48"/>
        <v>45610</v>
      </c>
      <c r="O518" s="4">
        <f t="shared" si="49"/>
        <v>1.7591096751032129E-2</v>
      </c>
      <c r="P518">
        <f t="shared" si="50"/>
        <v>2.1265306122448981</v>
      </c>
      <c r="Q518" s="2">
        <f t="shared" si="51"/>
        <v>13.893333333333334</v>
      </c>
      <c r="R518" s="2">
        <f t="shared" si="52"/>
        <v>29.771428571428572</v>
      </c>
      <c r="S518" s="2">
        <f t="shared" si="53"/>
        <v>9.0690978886756231</v>
      </c>
    </row>
    <row r="519" spans="1:19" hidden="1">
      <c r="A519" t="s">
        <v>572</v>
      </c>
      <c r="B519" t="s">
        <v>30</v>
      </c>
      <c r="C519">
        <v>151</v>
      </c>
      <c r="D519">
        <v>5700</v>
      </c>
      <c r="E519" s="2">
        <v>182.27</v>
      </c>
      <c r="F519">
        <v>13</v>
      </c>
      <c r="G519">
        <v>3</v>
      </c>
      <c r="H519">
        <v>5.3999999999999999E-2</v>
      </c>
      <c r="I519" s="3">
        <v>1255</v>
      </c>
      <c r="J519" s="1">
        <v>45619</v>
      </c>
      <c r="K519" t="s">
        <v>31</v>
      </c>
      <c r="L519" t="s">
        <v>8</v>
      </c>
      <c r="M519" t="s">
        <v>35</v>
      </c>
      <c r="N519" s="1">
        <f t="shared" si="48"/>
        <v>45619</v>
      </c>
      <c r="O519" s="4">
        <f t="shared" si="49"/>
        <v>2.6491228070175437E-2</v>
      </c>
      <c r="P519">
        <f t="shared" si="50"/>
        <v>1.2070860927152318</v>
      </c>
      <c r="Q519" s="2">
        <f t="shared" si="51"/>
        <v>14.020769230769231</v>
      </c>
      <c r="R519" s="2">
        <f t="shared" si="52"/>
        <v>60.756666666666668</v>
      </c>
      <c r="S519" s="2">
        <f t="shared" si="53"/>
        <v>6.8853898063312666</v>
      </c>
    </row>
    <row r="520" spans="1:19" hidden="1">
      <c r="A520" t="s">
        <v>573</v>
      </c>
      <c r="B520" t="s">
        <v>30</v>
      </c>
      <c r="C520">
        <v>122</v>
      </c>
      <c r="D520">
        <v>4441</v>
      </c>
      <c r="E520" s="2">
        <v>244.38</v>
      </c>
      <c r="F520">
        <v>25</v>
      </c>
      <c r="G520">
        <v>6</v>
      </c>
      <c r="H520">
        <v>4.9000000000000002E-2</v>
      </c>
      <c r="I520" s="3">
        <v>1505</v>
      </c>
      <c r="J520" s="1">
        <v>45333</v>
      </c>
      <c r="K520" t="s">
        <v>31</v>
      </c>
      <c r="L520" t="s">
        <v>7</v>
      </c>
      <c r="M520" t="s">
        <v>46</v>
      </c>
      <c r="N520" s="1">
        <f t="shared" si="48"/>
        <v>45333</v>
      </c>
      <c r="O520" s="4">
        <f t="shared" si="49"/>
        <v>2.7471290249943707E-2</v>
      </c>
      <c r="P520">
        <f t="shared" si="50"/>
        <v>2.0031147540983607</v>
      </c>
      <c r="Q520" s="2">
        <f t="shared" si="51"/>
        <v>9.7751999999999999</v>
      </c>
      <c r="R520" s="2">
        <f t="shared" si="52"/>
        <v>40.729999999999997</v>
      </c>
      <c r="S520" s="2">
        <f t="shared" si="53"/>
        <v>6.1584417710123578</v>
      </c>
    </row>
    <row r="521" spans="1:19" hidden="1">
      <c r="A521" t="s">
        <v>574</v>
      </c>
      <c r="B521" t="s">
        <v>30</v>
      </c>
      <c r="C521">
        <v>84</v>
      </c>
      <c r="D521">
        <v>4646</v>
      </c>
      <c r="E521" s="2">
        <v>226.32</v>
      </c>
      <c r="F521">
        <v>11</v>
      </c>
      <c r="G521">
        <v>7</v>
      </c>
      <c r="H521">
        <v>5.0999999999999997E-2</v>
      </c>
      <c r="I521" s="3">
        <v>1596</v>
      </c>
      <c r="J521" s="1">
        <v>45626</v>
      </c>
      <c r="K521" t="s">
        <v>31</v>
      </c>
      <c r="L521" t="s">
        <v>9</v>
      </c>
      <c r="M521" t="s">
        <v>46</v>
      </c>
      <c r="N521" s="1">
        <f t="shared" si="48"/>
        <v>45626</v>
      </c>
      <c r="O521" s="4">
        <f t="shared" si="49"/>
        <v>1.8080068876452863E-2</v>
      </c>
      <c r="P521">
        <f t="shared" si="50"/>
        <v>2.6942857142857144</v>
      </c>
      <c r="Q521" s="2">
        <f t="shared" si="51"/>
        <v>20.574545454545454</v>
      </c>
      <c r="R521" s="2">
        <f t="shared" si="52"/>
        <v>32.331428571428567</v>
      </c>
      <c r="S521" s="2">
        <f t="shared" si="53"/>
        <v>7.0519618239660655</v>
      </c>
    </row>
    <row r="522" spans="1:19">
      <c r="A522" t="s">
        <v>575</v>
      </c>
      <c r="B522" t="s">
        <v>30</v>
      </c>
      <c r="C522">
        <v>127</v>
      </c>
      <c r="D522">
        <v>5964</v>
      </c>
      <c r="E522" s="2">
        <v>182.01</v>
      </c>
      <c r="F522">
        <v>26</v>
      </c>
      <c r="G522">
        <v>7</v>
      </c>
      <c r="H522">
        <v>4.5999999999999999E-2</v>
      </c>
      <c r="I522" s="3">
        <v>1490</v>
      </c>
      <c r="J522" s="1" t="s">
        <v>206</v>
      </c>
      <c r="K522" t="s">
        <v>31</v>
      </c>
      <c r="L522" t="s">
        <v>7</v>
      </c>
      <c r="M522" t="s">
        <v>35</v>
      </c>
      <c r="N522" s="1">
        <f t="shared" si="48"/>
        <v>45621</v>
      </c>
      <c r="O522" s="4">
        <f t="shared" si="49"/>
        <v>2.1294433266264252E-2</v>
      </c>
      <c r="P522">
        <f t="shared" si="50"/>
        <v>1.4331496062992126</v>
      </c>
      <c r="Q522" s="2">
        <f t="shared" si="51"/>
        <v>7.0003846153846148</v>
      </c>
      <c r="R522" s="2">
        <f t="shared" si="52"/>
        <v>26.001428571428569</v>
      </c>
      <c r="S522" s="2">
        <f t="shared" si="53"/>
        <v>8.1863633866271091</v>
      </c>
    </row>
    <row r="523" spans="1:19" hidden="1">
      <c r="A523" t="s">
        <v>576</v>
      </c>
      <c r="B523" t="s">
        <v>30</v>
      </c>
      <c r="C523">
        <v>148</v>
      </c>
      <c r="D523">
        <v>4725</v>
      </c>
      <c r="E523" s="2">
        <v>187.02</v>
      </c>
      <c r="F523">
        <v>25</v>
      </c>
      <c r="G523">
        <v>3</v>
      </c>
      <c r="H523">
        <v>0.02</v>
      </c>
      <c r="I523" s="3">
        <v>1586</v>
      </c>
      <c r="J523" s="1">
        <v>45611</v>
      </c>
      <c r="K523" t="s">
        <v>31</v>
      </c>
      <c r="L523" t="s">
        <v>8</v>
      </c>
      <c r="M523" t="s">
        <v>32</v>
      </c>
      <c r="N523" s="1">
        <f t="shared" si="48"/>
        <v>45611</v>
      </c>
      <c r="O523" s="4">
        <f t="shared" si="49"/>
        <v>3.1322751322751322E-2</v>
      </c>
      <c r="P523">
        <f t="shared" si="50"/>
        <v>1.2636486486486487</v>
      </c>
      <c r="Q523" s="2">
        <f t="shared" si="51"/>
        <v>7.4808000000000003</v>
      </c>
      <c r="R523" s="2">
        <f t="shared" si="52"/>
        <v>62.34</v>
      </c>
      <c r="S523" s="2">
        <f t="shared" si="53"/>
        <v>8.480376430328306</v>
      </c>
    </row>
    <row r="524" spans="1:19">
      <c r="A524" t="s">
        <v>577</v>
      </c>
      <c r="B524" t="s">
        <v>30</v>
      </c>
      <c r="C524">
        <v>85</v>
      </c>
      <c r="D524">
        <v>4230</v>
      </c>
      <c r="E524" s="2">
        <v>233.73</v>
      </c>
      <c r="F524">
        <v>18</v>
      </c>
      <c r="G524">
        <v>8</v>
      </c>
      <c r="H524">
        <v>4.5999999999999999E-2</v>
      </c>
      <c r="I524" s="3">
        <v>1998</v>
      </c>
      <c r="J524" s="1">
        <v>45604</v>
      </c>
      <c r="K524" t="s">
        <v>31</v>
      </c>
      <c r="L524" t="s">
        <v>9</v>
      </c>
      <c r="M524" t="s">
        <v>35</v>
      </c>
      <c r="N524" s="1">
        <f t="shared" si="48"/>
        <v>45604</v>
      </c>
      <c r="O524" s="4">
        <f t="shared" si="49"/>
        <v>2.0094562647754138E-2</v>
      </c>
      <c r="P524">
        <f t="shared" si="50"/>
        <v>2.7497647058823529</v>
      </c>
      <c r="Q524" s="2">
        <f t="shared" si="51"/>
        <v>12.984999999999999</v>
      </c>
      <c r="R524" s="2">
        <f t="shared" si="52"/>
        <v>29.216249999999999</v>
      </c>
      <c r="S524" s="2">
        <f t="shared" si="53"/>
        <v>8.5483249903735086</v>
      </c>
    </row>
    <row r="525" spans="1:19" hidden="1">
      <c r="A525" t="s">
        <v>578</v>
      </c>
      <c r="B525" t="s">
        <v>30</v>
      </c>
      <c r="C525">
        <v>105</v>
      </c>
      <c r="D525">
        <v>3880</v>
      </c>
      <c r="E525" s="2">
        <v>246.63</v>
      </c>
      <c r="F525">
        <v>19</v>
      </c>
      <c r="G525">
        <v>8</v>
      </c>
      <c r="H525">
        <v>5.0999999999999997E-2</v>
      </c>
      <c r="I525" s="3">
        <v>1598</v>
      </c>
      <c r="J525" s="1">
        <v>45609</v>
      </c>
      <c r="K525" t="s">
        <v>31</v>
      </c>
      <c r="L525" t="s">
        <v>8</v>
      </c>
      <c r="M525" t="s">
        <v>39</v>
      </c>
      <c r="N525" s="1">
        <f t="shared" si="48"/>
        <v>45609</v>
      </c>
      <c r="O525" s="4">
        <f t="shared" si="49"/>
        <v>2.7061855670103094E-2</v>
      </c>
      <c r="P525">
        <f t="shared" si="50"/>
        <v>2.3488571428571428</v>
      </c>
      <c r="Q525" s="2">
        <f t="shared" si="51"/>
        <v>12.980526315789474</v>
      </c>
      <c r="R525" s="2">
        <f t="shared" si="52"/>
        <v>30.828749999999999</v>
      </c>
      <c r="S525" s="2">
        <f t="shared" si="53"/>
        <v>6.4793415237400156</v>
      </c>
    </row>
    <row r="526" spans="1:19" hidden="1">
      <c r="A526" t="s">
        <v>579</v>
      </c>
      <c r="B526" t="s">
        <v>30</v>
      </c>
      <c r="C526">
        <v>187</v>
      </c>
      <c r="D526">
        <v>3842</v>
      </c>
      <c r="E526" s="2">
        <v>214.35</v>
      </c>
      <c r="F526">
        <v>28</v>
      </c>
      <c r="G526">
        <v>5</v>
      </c>
      <c r="H526">
        <v>3.1E-2</v>
      </c>
      <c r="I526" s="3">
        <v>1596</v>
      </c>
      <c r="J526" s="1">
        <v>45609</v>
      </c>
      <c r="K526" t="s">
        <v>31</v>
      </c>
      <c r="L526" t="s">
        <v>8</v>
      </c>
      <c r="M526" t="s">
        <v>41</v>
      </c>
      <c r="N526" s="1">
        <f t="shared" si="48"/>
        <v>45609</v>
      </c>
      <c r="O526" s="4">
        <f t="shared" si="49"/>
        <v>4.8672566371681415E-2</v>
      </c>
      <c r="P526">
        <f t="shared" si="50"/>
        <v>1.1462566844919786</v>
      </c>
      <c r="Q526" s="2">
        <f t="shared" si="51"/>
        <v>7.6553571428571425</v>
      </c>
      <c r="R526" s="2">
        <f t="shared" si="52"/>
        <v>42.87</v>
      </c>
      <c r="S526" s="2">
        <f t="shared" si="53"/>
        <v>7.4457662701189644</v>
      </c>
    </row>
    <row r="527" spans="1:19" hidden="1">
      <c r="A527" t="s">
        <v>580</v>
      </c>
      <c r="B527" t="s">
        <v>30</v>
      </c>
      <c r="C527">
        <v>153</v>
      </c>
      <c r="D527">
        <v>3143</v>
      </c>
      <c r="E527" s="2">
        <v>244.73</v>
      </c>
      <c r="F527">
        <v>12</v>
      </c>
      <c r="G527">
        <v>10</v>
      </c>
      <c r="H527">
        <v>6.5000000000000002E-2</v>
      </c>
      <c r="I527" s="3">
        <v>1365</v>
      </c>
      <c r="J527" s="1">
        <v>45611</v>
      </c>
      <c r="K527" t="s">
        <v>31</v>
      </c>
      <c r="L527" t="s">
        <v>8</v>
      </c>
      <c r="M527" t="s">
        <v>41</v>
      </c>
      <c r="N527" s="1">
        <f t="shared" si="48"/>
        <v>45611</v>
      </c>
      <c r="O527" s="4">
        <f t="shared" si="49"/>
        <v>4.8679605472478522E-2</v>
      </c>
      <c r="P527">
        <f t="shared" si="50"/>
        <v>1.5995424836601306</v>
      </c>
      <c r="Q527" s="2">
        <f t="shared" si="51"/>
        <v>20.394166666666667</v>
      </c>
      <c r="R527" s="2">
        <f t="shared" si="52"/>
        <v>24.472999999999999</v>
      </c>
      <c r="S527" s="2">
        <f t="shared" si="53"/>
        <v>5.5775752870510358</v>
      </c>
    </row>
    <row r="528" spans="1:19" hidden="1">
      <c r="A528" t="s">
        <v>581</v>
      </c>
      <c r="B528" t="s">
        <v>30</v>
      </c>
      <c r="C528">
        <v>143</v>
      </c>
      <c r="D528">
        <v>5781</v>
      </c>
      <c r="E528" s="2">
        <v>208.63</v>
      </c>
      <c r="F528">
        <v>21</v>
      </c>
      <c r="G528">
        <v>9</v>
      </c>
      <c r="H528">
        <v>0.05</v>
      </c>
      <c r="I528" s="3">
        <v>1443</v>
      </c>
      <c r="J528" s="1">
        <v>45622</v>
      </c>
      <c r="K528" t="s">
        <v>31</v>
      </c>
      <c r="L528" t="s">
        <v>8</v>
      </c>
      <c r="M528" t="s">
        <v>37</v>
      </c>
      <c r="N528" s="1">
        <f t="shared" si="48"/>
        <v>45622</v>
      </c>
      <c r="O528" s="4">
        <f t="shared" si="49"/>
        <v>2.4736204808856598E-2</v>
      </c>
      <c r="P528">
        <f t="shared" si="50"/>
        <v>1.4589510489510489</v>
      </c>
      <c r="Q528" s="2">
        <f t="shared" si="51"/>
        <v>9.9347619047619045</v>
      </c>
      <c r="R528" s="2">
        <f t="shared" si="52"/>
        <v>23.181111111111111</v>
      </c>
      <c r="S528" s="2">
        <f t="shared" si="53"/>
        <v>6.9165508316157789</v>
      </c>
    </row>
    <row r="529" spans="1:19" hidden="1">
      <c r="A529" t="s">
        <v>582</v>
      </c>
      <c r="B529" t="s">
        <v>30</v>
      </c>
      <c r="C529">
        <v>183</v>
      </c>
      <c r="D529">
        <v>3790</v>
      </c>
      <c r="E529" s="2">
        <v>202.48</v>
      </c>
      <c r="F529">
        <v>21</v>
      </c>
      <c r="G529">
        <v>8</v>
      </c>
      <c r="H529">
        <v>3.6999999999999998E-2</v>
      </c>
      <c r="I529" s="3">
        <v>1215</v>
      </c>
      <c r="J529" s="1" t="s">
        <v>100</v>
      </c>
      <c r="K529" t="s">
        <v>31</v>
      </c>
      <c r="L529" t="s">
        <v>7</v>
      </c>
      <c r="M529" t="s">
        <v>39</v>
      </c>
      <c r="N529" s="1">
        <f t="shared" si="48"/>
        <v>45622</v>
      </c>
      <c r="O529" s="4">
        <f t="shared" si="49"/>
        <v>4.8284960422163591E-2</v>
      </c>
      <c r="P529">
        <f t="shared" si="50"/>
        <v>1.106448087431694</v>
      </c>
      <c r="Q529" s="2">
        <f t="shared" si="51"/>
        <v>9.6419047619047618</v>
      </c>
      <c r="R529" s="2">
        <f t="shared" si="52"/>
        <v>25.31</v>
      </c>
      <c r="S529" s="2">
        <f t="shared" si="53"/>
        <v>6.0005926511260377</v>
      </c>
    </row>
    <row r="530" spans="1:19">
      <c r="A530" t="s">
        <v>583</v>
      </c>
      <c r="B530" t="s">
        <v>30</v>
      </c>
      <c r="C530">
        <v>172</v>
      </c>
      <c r="D530">
        <v>4250</v>
      </c>
      <c r="E530" s="2">
        <v>235.2</v>
      </c>
      <c r="F530">
        <v>28</v>
      </c>
      <c r="G530">
        <v>7</v>
      </c>
      <c r="H530">
        <v>4.5999999999999999E-2</v>
      </c>
      <c r="I530" s="3">
        <v>1036</v>
      </c>
      <c r="J530" s="1">
        <v>45454</v>
      </c>
      <c r="K530" t="s">
        <v>31</v>
      </c>
      <c r="L530" t="s">
        <v>8</v>
      </c>
      <c r="M530" t="s">
        <v>32</v>
      </c>
      <c r="N530" s="1">
        <f t="shared" si="48"/>
        <v>45454</v>
      </c>
      <c r="O530" s="4">
        <f t="shared" si="49"/>
        <v>4.0470588235294119E-2</v>
      </c>
      <c r="P530">
        <f t="shared" si="50"/>
        <v>1.3674418604651162</v>
      </c>
      <c r="Q530" s="2">
        <f t="shared" si="51"/>
        <v>8.4</v>
      </c>
      <c r="R530" s="2">
        <f t="shared" si="52"/>
        <v>33.6</v>
      </c>
      <c r="S530" s="2">
        <f t="shared" si="53"/>
        <v>4.4047619047619051</v>
      </c>
    </row>
    <row r="531" spans="1:19" hidden="1">
      <c r="A531" t="s">
        <v>584</v>
      </c>
      <c r="B531" t="s">
        <v>30</v>
      </c>
      <c r="C531">
        <v>98</v>
      </c>
      <c r="D531">
        <v>3800</v>
      </c>
      <c r="E531" s="2">
        <v>240.45</v>
      </c>
      <c r="F531">
        <v>16</v>
      </c>
      <c r="G531">
        <v>3</v>
      </c>
      <c r="H531">
        <v>3.1E-2</v>
      </c>
      <c r="I531" s="3">
        <v>1700</v>
      </c>
      <c r="J531" s="1">
        <v>45597</v>
      </c>
      <c r="K531" t="s">
        <v>31</v>
      </c>
      <c r="L531" t="s">
        <v>7</v>
      </c>
      <c r="M531" t="s">
        <v>35</v>
      </c>
      <c r="N531" s="1">
        <f t="shared" si="48"/>
        <v>45597</v>
      </c>
      <c r="O531" s="4">
        <f t="shared" si="49"/>
        <v>2.5789473684210525E-2</v>
      </c>
      <c r="P531">
        <f t="shared" si="50"/>
        <v>2.4535714285714283</v>
      </c>
      <c r="Q531" s="2">
        <f t="shared" si="51"/>
        <v>15.028124999999999</v>
      </c>
      <c r="R531" s="2">
        <f t="shared" si="52"/>
        <v>80.149999999999991</v>
      </c>
      <c r="S531" s="2">
        <f t="shared" si="53"/>
        <v>7.0700769390725728</v>
      </c>
    </row>
    <row r="532" spans="1:19" hidden="1">
      <c r="A532" t="s">
        <v>585</v>
      </c>
      <c r="B532" t="s">
        <v>30</v>
      </c>
      <c r="C532">
        <v>87</v>
      </c>
      <c r="D532">
        <v>4675</v>
      </c>
      <c r="E532" s="2">
        <v>200.71</v>
      </c>
      <c r="F532">
        <v>28</v>
      </c>
      <c r="G532">
        <v>6</v>
      </c>
      <c r="H532">
        <v>6.9000000000000006E-2</v>
      </c>
      <c r="I532" s="3">
        <v>1428</v>
      </c>
      <c r="J532" s="1">
        <v>45616</v>
      </c>
      <c r="K532" t="s">
        <v>31</v>
      </c>
      <c r="L532" t="s">
        <v>8</v>
      </c>
      <c r="M532" t="s">
        <v>46</v>
      </c>
      <c r="N532" s="1">
        <f t="shared" si="48"/>
        <v>45616</v>
      </c>
      <c r="O532" s="4">
        <f t="shared" si="49"/>
        <v>1.8609625668449196E-2</v>
      </c>
      <c r="P532">
        <f t="shared" si="50"/>
        <v>2.3070114942528734</v>
      </c>
      <c r="Q532" s="2">
        <f t="shared" si="51"/>
        <v>7.1682142857142859</v>
      </c>
      <c r="R532" s="2">
        <f t="shared" si="52"/>
        <v>33.451666666666668</v>
      </c>
      <c r="S532" s="2">
        <f t="shared" si="53"/>
        <v>7.1147426635444173</v>
      </c>
    </row>
    <row r="533" spans="1:19">
      <c r="A533" t="s">
        <v>586</v>
      </c>
      <c r="B533" t="s">
        <v>30</v>
      </c>
      <c r="C533">
        <v>84</v>
      </c>
      <c r="D533">
        <v>5711</v>
      </c>
      <c r="E533" s="2">
        <v>216.02</v>
      </c>
      <c r="F533">
        <v>13</v>
      </c>
      <c r="G533">
        <v>6</v>
      </c>
      <c r="H533">
        <v>4.5999999999999999E-2</v>
      </c>
      <c r="I533" s="3">
        <v>1654</v>
      </c>
      <c r="J533" s="1">
        <v>45613</v>
      </c>
      <c r="K533" t="s">
        <v>31</v>
      </c>
      <c r="L533" t="s">
        <v>7</v>
      </c>
      <c r="M533" t="s">
        <v>39</v>
      </c>
      <c r="N533" s="1">
        <f t="shared" si="48"/>
        <v>45613</v>
      </c>
      <c r="O533" s="4">
        <f t="shared" si="49"/>
        <v>1.4708457362983715E-2</v>
      </c>
      <c r="P533">
        <f t="shared" si="50"/>
        <v>2.5716666666666668</v>
      </c>
      <c r="Q533" s="2">
        <f t="shared" si="51"/>
        <v>16.616923076923079</v>
      </c>
      <c r="R533" s="2">
        <f t="shared" si="52"/>
        <v>36.003333333333337</v>
      </c>
      <c r="S533" s="2">
        <f t="shared" si="53"/>
        <v>7.6566984538468654</v>
      </c>
    </row>
    <row r="534" spans="1:19" hidden="1">
      <c r="A534" t="s">
        <v>587</v>
      </c>
      <c r="B534" t="s">
        <v>30</v>
      </c>
      <c r="C534">
        <v>151</v>
      </c>
      <c r="D534">
        <v>3022</v>
      </c>
      <c r="E534" s="2">
        <v>191.35</v>
      </c>
      <c r="F534">
        <v>13</v>
      </c>
      <c r="G534">
        <v>4</v>
      </c>
      <c r="H534">
        <v>2.5999999999999999E-2</v>
      </c>
      <c r="I534" s="3">
        <v>1133</v>
      </c>
      <c r="J534" s="1">
        <v>45614</v>
      </c>
      <c r="K534" t="s">
        <v>31</v>
      </c>
      <c r="L534" t="s">
        <v>8</v>
      </c>
      <c r="M534" t="s">
        <v>32</v>
      </c>
      <c r="N534" s="1">
        <f t="shared" si="48"/>
        <v>45614</v>
      </c>
      <c r="O534" s="4">
        <f t="shared" si="49"/>
        <v>4.9966909331568499E-2</v>
      </c>
      <c r="P534">
        <f t="shared" si="50"/>
        <v>1.2672185430463576</v>
      </c>
      <c r="Q534" s="2">
        <f t="shared" si="51"/>
        <v>14.719230769230769</v>
      </c>
      <c r="R534" s="2">
        <f t="shared" si="52"/>
        <v>47.837499999999999</v>
      </c>
      <c r="S534" s="2">
        <f t="shared" si="53"/>
        <v>5.9210870133263658</v>
      </c>
    </row>
    <row r="535" spans="1:19" hidden="1">
      <c r="A535" t="s">
        <v>588</v>
      </c>
      <c r="B535" t="s">
        <v>30</v>
      </c>
      <c r="C535">
        <v>113</v>
      </c>
      <c r="D535">
        <v>5407</v>
      </c>
      <c r="E535" s="2">
        <v>203.23</v>
      </c>
      <c r="F535">
        <v>15</v>
      </c>
      <c r="G535">
        <v>9</v>
      </c>
      <c r="H535">
        <v>3.6999999999999998E-2</v>
      </c>
      <c r="I535" s="3">
        <v>1745</v>
      </c>
      <c r="J535" s="1">
        <v>45612</v>
      </c>
      <c r="K535" t="s">
        <v>31</v>
      </c>
      <c r="L535" t="s">
        <v>7</v>
      </c>
      <c r="M535" t="s">
        <v>39</v>
      </c>
      <c r="N535" s="1">
        <f t="shared" si="48"/>
        <v>45612</v>
      </c>
      <c r="O535" s="4">
        <f t="shared" si="49"/>
        <v>2.0898834843721101E-2</v>
      </c>
      <c r="P535">
        <f t="shared" si="50"/>
        <v>1.7984955752212388</v>
      </c>
      <c r="Q535" s="2">
        <f t="shared" si="51"/>
        <v>13.548666666666666</v>
      </c>
      <c r="R535" s="2">
        <f t="shared" si="52"/>
        <v>22.58111111111111</v>
      </c>
      <c r="S535" s="2">
        <f t="shared" si="53"/>
        <v>8.5863307582541957</v>
      </c>
    </row>
    <row r="536" spans="1:19" hidden="1">
      <c r="A536" t="s">
        <v>589</v>
      </c>
      <c r="B536" t="s">
        <v>30</v>
      </c>
      <c r="C536">
        <v>89</v>
      </c>
      <c r="D536">
        <v>5095</v>
      </c>
      <c r="E536" s="2">
        <v>202.21</v>
      </c>
      <c r="F536">
        <v>22</v>
      </c>
      <c r="G536">
        <v>4</v>
      </c>
      <c r="H536">
        <v>5.6000000000000001E-2</v>
      </c>
      <c r="I536" s="3">
        <v>1065</v>
      </c>
      <c r="J536" s="1">
        <v>45603</v>
      </c>
      <c r="K536" t="s">
        <v>31</v>
      </c>
      <c r="L536" t="s">
        <v>9</v>
      </c>
      <c r="M536" t="s">
        <v>35</v>
      </c>
      <c r="N536" s="1">
        <f t="shared" si="48"/>
        <v>45603</v>
      </c>
      <c r="O536" s="4">
        <f t="shared" si="49"/>
        <v>1.7468105986261039E-2</v>
      </c>
      <c r="P536">
        <f t="shared" si="50"/>
        <v>2.2720224719101125</v>
      </c>
      <c r="Q536" s="2">
        <f t="shared" si="51"/>
        <v>9.1913636363636364</v>
      </c>
      <c r="R536" s="2">
        <f t="shared" si="52"/>
        <v>50.552500000000002</v>
      </c>
      <c r="S536" s="2">
        <f t="shared" si="53"/>
        <v>5.2668018396716283</v>
      </c>
    </row>
    <row r="537" spans="1:19" hidden="1">
      <c r="A537" t="s">
        <v>590</v>
      </c>
      <c r="B537" t="s">
        <v>30</v>
      </c>
      <c r="C537">
        <v>174</v>
      </c>
      <c r="D537">
        <v>3587</v>
      </c>
      <c r="E537" s="2">
        <v>217.67</v>
      </c>
      <c r="F537">
        <v>10</v>
      </c>
      <c r="G537">
        <v>7</v>
      </c>
      <c r="H537">
        <v>0.04</v>
      </c>
      <c r="I537" s="3">
        <v>1226</v>
      </c>
      <c r="J537" s="1" t="s">
        <v>73</v>
      </c>
      <c r="K537" t="s">
        <v>31</v>
      </c>
      <c r="L537" t="s">
        <v>8</v>
      </c>
      <c r="M537" t="s">
        <v>39</v>
      </c>
      <c r="N537" s="1">
        <f t="shared" si="48"/>
        <v>45618</v>
      </c>
      <c r="O537" s="4">
        <f t="shared" si="49"/>
        <v>4.8508502927237247E-2</v>
      </c>
      <c r="P537">
        <f t="shared" si="50"/>
        <v>1.2509770114942529</v>
      </c>
      <c r="Q537" s="2">
        <f t="shared" si="51"/>
        <v>21.766999999999999</v>
      </c>
      <c r="R537" s="2">
        <f t="shared" si="52"/>
        <v>31.095714285714283</v>
      </c>
      <c r="S537" s="2">
        <f t="shared" si="53"/>
        <v>5.6323792897505403</v>
      </c>
    </row>
    <row r="538" spans="1:19">
      <c r="A538" t="s">
        <v>591</v>
      </c>
      <c r="B538" t="s">
        <v>30</v>
      </c>
      <c r="C538">
        <v>166</v>
      </c>
      <c r="D538">
        <v>5524</v>
      </c>
      <c r="E538" s="2">
        <v>205.53</v>
      </c>
      <c r="F538">
        <v>25</v>
      </c>
      <c r="G538">
        <v>7</v>
      </c>
      <c r="H538">
        <v>4.5999999999999999E-2</v>
      </c>
      <c r="I538" s="3">
        <v>1241</v>
      </c>
      <c r="J538" s="1" t="s">
        <v>167</v>
      </c>
      <c r="K538" t="s">
        <v>31</v>
      </c>
      <c r="L538" t="s">
        <v>8</v>
      </c>
      <c r="M538" t="s">
        <v>46</v>
      </c>
      <c r="N538" s="1">
        <f t="shared" si="48"/>
        <v>45620</v>
      </c>
      <c r="O538" s="4">
        <f t="shared" si="49"/>
        <v>3.005068790731354E-2</v>
      </c>
      <c r="P538">
        <f t="shared" si="50"/>
        <v>1.238132530120482</v>
      </c>
      <c r="Q538" s="2">
        <f t="shared" si="51"/>
        <v>8.2211999999999996</v>
      </c>
      <c r="R538" s="2">
        <f t="shared" si="52"/>
        <v>29.361428571428572</v>
      </c>
      <c r="S538" s="2">
        <f t="shared" si="53"/>
        <v>6.0380479735318442</v>
      </c>
    </row>
    <row r="539" spans="1:19" hidden="1">
      <c r="A539" t="s">
        <v>592</v>
      </c>
      <c r="B539" t="s">
        <v>30</v>
      </c>
      <c r="C539">
        <v>196</v>
      </c>
      <c r="D539">
        <v>3777</v>
      </c>
      <c r="E539" s="2">
        <v>246.52</v>
      </c>
      <c r="F539">
        <v>20</v>
      </c>
      <c r="G539">
        <v>5</v>
      </c>
      <c r="H539">
        <v>2.5999999999999999E-2</v>
      </c>
      <c r="I539" s="3">
        <v>1159</v>
      </c>
      <c r="J539" s="1">
        <v>45611</v>
      </c>
      <c r="K539" t="s">
        <v>31</v>
      </c>
      <c r="L539" t="s">
        <v>7</v>
      </c>
      <c r="M539" t="s">
        <v>35</v>
      </c>
      <c r="N539" s="1">
        <f t="shared" si="48"/>
        <v>45611</v>
      </c>
      <c r="O539" s="4">
        <f t="shared" si="49"/>
        <v>5.1893036801694464E-2</v>
      </c>
      <c r="P539">
        <f t="shared" si="50"/>
        <v>1.2577551020408164</v>
      </c>
      <c r="Q539" s="2">
        <f t="shared" si="51"/>
        <v>12.326000000000001</v>
      </c>
      <c r="R539" s="2">
        <f t="shared" si="52"/>
        <v>49.304000000000002</v>
      </c>
      <c r="S539" s="2">
        <f t="shared" si="53"/>
        <v>4.7014441018984261</v>
      </c>
    </row>
    <row r="540" spans="1:19" hidden="1">
      <c r="A540" t="s">
        <v>593</v>
      </c>
      <c r="B540" t="s">
        <v>30</v>
      </c>
      <c r="C540">
        <v>97</v>
      </c>
      <c r="D540">
        <v>3480</v>
      </c>
      <c r="E540" s="2">
        <v>233.32</v>
      </c>
      <c r="F540">
        <v>22</v>
      </c>
      <c r="G540">
        <v>3</v>
      </c>
      <c r="H540">
        <v>3.1E-2</v>
      </c>
      <c r="I540" s="3">
        <v>1008</v>
      </c>
      <c r="J540" s="1">
        <v>45624</v>
      </c>
      <c r="K540" t="s">
        <v>31</v>
      </c>
      <c r="L540" t="s">
        <v>7</v>
      </c>
      <c r="M540" t="s">
        <v>37</v>
      </c>
      <c r="N540" s="1">
        <f t="shared" si="48"/>
        <v>45624</v>
      </c>
      <c r="O540" s="4">
        <f t="shared" si="49"/>
        <v>2.7873563218390806E-2</v>
      </c>
      <c r="P540">
        <f t="shared" si="50"/>
        <v>2.4053608247422678</v>
      </c>
      <c r="Q540" s="2">
        <f t="shared" si="51"/>
        <v>10.605454545454545</v>
      </c>
      <c r="R540" s="2">
        <f t="shared" si="52"/>
        <v>77.773333333333326</v>
      </c>
      <c r="S540" s="2">
        <f t="shared" si="53"/>
        <v>4.3202468712497861</v>
      </c>
    </row>
    <row r="541" spans="1:19">
      <c r="A541" t="s">
        <v>594</v>
      </c>
      <c r="B541" t="s">
        <v>30</v>
      </c>
      <c r="C541">
        <v>89</v>
      </c>
      <c r="D541">
        <v>4200</v>
      </c>
      <c r="E541" s="2">
        <v>200.98</v>
      </c>
      <c r="F541">
        <v>23</v>
      </c>
      <c r="G541">
        <v>8</v>
      </c>
      <c r="H541">
        <v>4.5999999999999999E-2</v>
      </c>
      <c r="I541" s="3">
        <v>1476</v>
      </c>
      <c r="J541" s="1" t="s">
        <v>111</v>
      </c>
      <c r="K541" t="s">
        <v>31</v>
      </c>
      <c r="L541" t="s">
        <v>8</v>
      </c>
      <c r="M541" t="s">
        <v>35</v>
      </c>
      <c r="N541" s="1">
        <f t="shared" si="48"/>
        <v>45619</v>
      </c>
      <c r="O541" s="4">
        <f t="shared" si="49"/>
        <v>2.119047619047619E-2</v>
      </c>
      <c r="P541">
        <f t="shared" si="50"/>
        <v>2.258202247191011</v>
      </c>
      <c r="Q541" s="2">
        <f t="shared" si="51"/>
        <v>8.7382608695652166</v>
      </c>
      <c r="R541" s="2">
        <f t="shared" si="52"/>
        <v>25.122499999999999</v>
      </c>
      <c r="S541" s="2">
        <f t="shared" si="53"/>
        <v>7.3440143297840583</v>
      </c>
    </row>
    <row r="542" spans="1:19" hidden="1">
      <c r="A542" t="s">
        <v>595</v>
      </c>
      <c r="B542" t="s">
        <v>30</v>
      </c>
      <c r="C542">
        <v>130</v>
      </c>
      <c r="D542">
        <v>5384</v>
      </c>
      <c r="E542" s="2">
        <v>218.6</v>
      </c>
      <c r="F542">
        <v>24</v>
      </c>
      <c r="G542">
        <v>8</v>
      </c>
      <c r="H542">
        <v>6.2E-2</v>
      </c>
      <c r="I542" s="3">
        <v>1943</v>
      </c>
      <c r="J542" s="1">
        <v>45624</v>
      </c>
      <c r="K542" t="s">
        <v>31</v>
      </c>
      <c r="L542" t="s">
        <v>8</v>
      </c>
      <c r="M542" t="s">
        <v>32</v>
      </c>
      <c r="N542" s="1">
        <f t="shared" si="48"/>
        <v>45624</v>
      </c>
      <c r="O542" s="4">
        <f t="shared" si="49"/>
        <v>2.4145616641901933E-2</v>
      </c>
      <c r="P542">
        <f t="shared" si="50"/>
        <v>1.6815384615384614</v>
      </c>
      <c r="Q542" s="2">
        <f t="shared" si="51"/>
        <v>9.1083333333333325</v>
      </c>
      <c r="R542" s="2">
        <f t="shared" si="52"/>
        <v>27.324999999999999</v>
      </c>
      <c r="S542" s="2">
        <f t="shared" si="53"/>
        <v>8.8883806038426361</v>
      </c>
    </row>
    <row r="543" spans="1:19" hidden="1">
      <c r="A543" t="s">
        <v>596</v>
      </c>
      <c r="B543" t="s">
        <v>30</v>
      </c>
      <c r="C543">
        <v>103</v>
      </c>
      <c r="D543">
        <v>4766</v>
      </c>
      <c r="E543" s="2">
        <v>245.34</v>
      </c>
      <c r="F543">
        <v>11</v>
      </c>
      <c r="G543">
        <v>8</v>
      </c>
      <c r="H543">
        <v>7.8E-2</v>
      </c>
      <c r="I543" s="3">
        <v>1488</v>
      </c>
      <c r="J543" s="1">
        <v>45604</v>
      </c>
      <c r="K543" t="s">
        <v>31</v>
      </c>
      <c r="L543" t="s">
        <v>7</v>
      </c>
      <c r="M543" t="s">
        <v>46</v>
      </c>
      <c r="N543" s="1">
        <f t="shared" si="48"/>
        <v>45604</v>
      </c>
      <c r="O543" s="4">
        <f t="shared" si="49"/>
        <v>2.1611414183801931E-2</v>
      </c>
      <c r="P543">
        <f t="shared" si="50"/>
        <v>2.3819417475728155</v>
      </c>
      <c r="Q543" s="2">
        <f t="shared" si="51"/>
        <v>22.303636363636365</v>
      </c>
      <c r="R543" s="2">
        <f t="shared" si="52"/>
        <v>30.6675</v>
      </c>
      <c r="S543" s="2">
        <f t="shared" si="53"/>
        <v>6.0650525800929325</v>
      </c>
    </row>
    <row r="544" spans="1:19" hidden="1">
      <c r="A544" t="s">
        <v>597</v>
      </c>
      <c r="B544" t="s">
        <v>30</v>
      </c>
      <c r="C544">
        <v>138</v>
      </c>
      <c r="D544">
        <v>3322</v>
      </c>
      <c r="E544" s="2">
        <v>196.83</v>
      </c>
      <c r="F544">
        <v>17</v>
      </c>
      <c r="G544">
        <v>8</v>
      </c>
      <c r="H544">
        <v>5.8000000000000003E-2</v>
      </c>
      <c r="I544" s="3">
        <v>1505</v>
      </c>
      <c r="J544" s="1">
        <v>45597</v>
      </c>
      <c r="K544" t="s">
        <v>31</v>
      </c>
      <c r="L544" t="s">
        <v>7</v>
      </c>
      <c r="M544" t="s">
        <v>41</v>
      </c>
      <c r="N544" s="1">
        <f t="shared" si="48"/>
        <v>45597</v>
      </c>
      <c r="O544" s="4">
        <f t="shared" si="49"/>
        <v>4.1541240216736906E-2</v>
      </c>
      <c r="P544">
        <f t="shared" si="50"/>
        <v>1.4263043478260871</v>
      </c>
      <c r="Q544" s="2">
        <f t="shared" si="51"/>
        <v>11.578235294117647</v>
      </c>
      <c r="R544" s="2">
        <f t="shared" si="52"/>
        <v>24.603750000000002</v>
      </c>
      <c r="S544" s="2">
        <f t="shared" si="53"/>
        <v>7.6461921455062738</v>
      </c>
    </row>
    <row r="545" spans="1:19" hidden="1">
      <c r="A545" t="s">
        <v>598</v>
      </c>
      <c r="B545" t="s">
        <v>30</v>
      </c>
      <c r="C545">
        <v>127</v>
      </c>
      <c r="D545">
        <v>4625</v>
      </c>
      <c r="E545" s="2">
        <v>207.62</v>
      </c>
      <c r="F545">
        <v>17</v>
      </c>
      <c r="G545">
        <v>3</v>
      </c>
      <c r="H545">
        <v>2.4E-2</v>
      </c>
      <c r="I545" s="3">
        <v>1811</v>
      </c>
      <c r="J545" s="1">
        <v>45613</v>
      </c>
      <c r="K545" t="s">
        <v>31</v>
      </c>
      <c r="L545" t="s">
        <v>7</v>
      </c>
      <c r="M545" t="s">
        <v>32</v>
      </c>
      <c r="N545" s="1">
        <f t="shared" si="48"/>
        <v>45613</v>
      </c>
      <c r="O545" s="4">
        <f t="shared" si="49"/>
        <v>2.7459459459459459E-2</v>
      </c>
      <c r="P545">
        <f t="shared" si="50"/>
        <v>1.6348031496062994</v>
      </c>
      <c r="Q545" s="2">
        <f t="shared" si="51"/>
        <v>12.212941176470588</v>
      </c>
      <c r="R545" s="2">
        <f t="shared" si="52"/>
        <v>69.206666666666663</v>
      </c>
      <c r="S545" s="2">
        <f t="shared" si="53"/>
        <v>8.7226664097871112</v>
      </c>
    </row>
    <row r="546" spans="1:19" hidden="1">
      <c r="A546" t="s">
        <v>599</v>
      </c>
      <c r="B546" t="s">
        <v>30</v>
      </c>
      <c r="C546">
        <v>170</v>
      </c>
      <c r="D546">
        <v>4689</v>
      </c>
      <c r="E546" s="2">
        <v>195.98</v>
      </c>
      <c r="F546">
        <v>26</v>
      </c>
      <c r="G546">
        <v>6</v>
      </c>
      <c r="H546">
        <v>3.5000000000000003E-2</v>
      </c>
      <c r="I546" s="3">
        <v>1873</v>
      </c>
      <c r="J546" s="1">
        <v>45610</v>
      </c>
      <c r="K546" t="s">
        <v>31</v>
      </c>
      <c r="L546" t="s">
        <v>7</v>
      </c>
      <c r="M546" t="s">
        <v>37</v>
      </c>
      <c r="N546" s="1">
        <f t="shared" si="48"/>
        <v>45610</v>
      </c>
      <c r="O546" s="4">
        <f t="shared" si="49"/>
        <v>3.6255065045851992E-2</v>
      </c>
      <c r="P546">
        <f t="shared" si="50"/>
        <v>1.1528235294117646</v>
      </c>
      <c r="Q546" s="2">
        <f t="shared" si="51"/>
        <v>7.537692307692307</v>
      </c>
      <c r="R546" s="2">
        <f t="shared" si="52"/>
        <v>32.663333333333334</v>
      </c>
      <c r="S546" s="2">
        <f t="shared" si="53"/>
        <v>9.5570976630268394</v>
      </c>
    </row>
    <row r="547" spans="1:19">
      <c r="A547" t="s">
        <v>600</v>
      </c>
      <c r="B547" t="s">
        <v>30</v>
      </c>
      <c r="C547">
        <v>115</v>
      </c>
      <c r="D547">
        <v>3764</v>
      </c>
      <c r="E547" s="2">
        <v>197.47</v>
      </c>
      <c r="F547">
        <v>20</v>
      </c>
      <c r="G547">
        <v>5</v>
      </c>
      <c r="H547">
        <v>4.5999999999999999E-2</v>
      </c>
      <c r="I547" s="3">
        <v>1952</v>
      </c>
      <c r="J547" s="1">
        <v>45623</v>
      </c>
      <c r="K547" t="s">
        <v>31</v>
      </c>
      <c r="L547" t="s">
        <v>7</v>
      </c>
      <c r="M547" t="s">
        <v>32</v>
      </c>
      <c r="N547" s="1">
        <f t="shared" si="48"/>
        <v>45623</v>
      </c>
      <c r="O547" s="4">
        <f t="shared" si="49"/>
        <v>3.0552603613177472E-2</v>
      </c>
      <c r="P547">
        <f t="shared" si="50"/>
        <v>1.7171304347826086</v>
      </c>
      <c r="Q547" s="2">
        <f t="shared" si="51"/>
        <v>9.8734999999999999</v>
      </c>
      <c r="R547" s="2">
        <f t="shared" si="52"/>
        <v>39.494</v>
      </c>
      <c r="S547" s="2">
        <f t="shared" si="53"/>
        <v>9.8850458297462911</v>
      </c>
    </row>
    <row r="548" spans="1:19" hidden="1">
      <c r="A548" t="s">
        <v>601</v>
      </c>
      <c r="B548" t="s">
        <v>30</v>
      </c>
      <c r="C548">
        <v>132</v>
      </c>
      <c r="D548">
        <v>3365</v>
      </c>
      <c r="E548" s="2">
        <v>198.01</v>
      </c>
      <c r="F548">
        <v>17</v>
      </c>
      <c r="G548">
        <v>9</v>
      </c>
      <c r="H548">
        <v>6.8000000000000005E-2</v>
      </c>
      <c r="I548" s="3">
        <v>1161</v>
      </c>
      <c r="J548" s="1">
        <v>45610</v>
      </c>
      <c r="K548" t="s">
        <v>31</v>
      </c>
      <c r="L548" t="s">
        <v>7</v>
      </c>
      <c r="M548" t="s">
        <v>46</v>
      </c>
      <c r="N548" s="1">
        <f t="shared" si="48"/>
        <v>45610</v>
      </c>
      <c r="O548" s="4">
        <f t="shared" si="49"/>
        <v>3.9227340267459138E-2</v>
      </c>
      <c r="P548">
        <f t="shared" si="50"/>
        <v>1.5000757575757575</v>
      </c>
      <c r="Q548" s="2">
        <f t="shared" si="51"/>
        <v>11.647647058823528</v>
      </c>
      <c r="R548" s="2">
        <f t="shared" si="52"/>
        <v>22.001111111111111</v>
      </c>
      <c r="S548" s="2">
        <f t="shared" si="53"/>
        <v>5.8633402353416493</v>
      </c>
    </row>
    <row r="549" spans="1:19" hidden="1">
      <c r="A549" t="s">
        <v>602</v>
      </c>
      <c r="B549" t="s">
        <v>30</v>
      </c>
      <c r="C549">
        <v>168</v>
      </c>
      <c r="D549">
        <v>3392</v>
      </c>
      <c r="E549" s="2">
        <v>230.77</v>
      </c>
      <c r="F549">
        <v>15</v>
      </c>
      <c r="G549">
        <v>9</v>
      </c>
      <c r="H549">
        <v>5.3999999999999999E-2</v>
      </c>
      <c r="I549" s="3">
        <v>1504</v>
      </c>
      <c r="J549" s="1">
        <v>45607</v>
      </c>
      <c r="K549" t="s">
        <v>31</v>
      </c>
      <c r="L549" t="s">
        <v>8</v>
      </c>
      <c r="M549" t="s">
        <v>41</v>
      </c>
      <c r="N549" s="1">
        <f t="shared" si="48"/>
        <v>45607</v>
      </c>
      <c r="O549" s="4">
        <f t="shared" si="49"/>
        <v>4.9528301886792456E-2</v>
      </c>
      <c r="P549">
        <f t="shared" si="50"/>
        <v>1.3736309523809525</v>
      </c>
      <c r="Q549" s="2">
        <f t="shared" si="51"/>
        <v>15.384666666666668</v>
      </c>
      <c r="R549" s="2">
        <f t="shared" si="52"/>
        <v>25.641111111111112</v>
      </c>
      <c r="S549" s="2">
        <f t="shared" si="53"/>
        <v>6.517311608961303</v>
      </c>
    </row>
    <row r="550" spans="1:19">
      <c r="A550" t="s">
        <v>603</v>
      </c>
      <c r="B550" t="s">
        <v>30</v>
      </c>
      <c r="C550">
        <v>145</v>
      </c>
      <c r="D550">
        <v>5978</v>
      </c>
      <c r="E550" s="2">
        <v>223.3</v>
      </c>
      <c r="F550">
        <v>30</v>
      </c>
      <c r="G550">
        <v>10</v>
      </c>
      <c r="H550">
        <v>4.5999999999999999E-2</v>
      </c>
      <c r="I550" s="3">
        <v>1859</v>
      </c>
      <c r="J550" s="1">
        <v>45616</v>
      </c>
      <c r="K550" t="s">
        <v>31</v>
      </c>
      <c r="L550" t="s">
        <v>8</v>
      </c>
      <c r="M550" t="s">
        <v>41</v>
      </c>
      <c r="N550" s="1">
        <f t="shared" si="48"/>
        <v>45616</v>
      </c>
      <c r="O550" s="4">
        <f t="shared" si="49"/>
        <v>2.425560388089662E-2</v>
      </c>
      <c r="P550">
        <f t="shared" si="50"/>
        <v>1.54</v>
      </c>
      <c r="Q550" s="2">
        <f t="shared" si="51"/>
        <v>7.4433333333333334</v>
      </c>
      <c r="R550" s="2">
        <f t="shared" si="52"/>
        <v>22.330000000000002</v>
      </c>
      <c r="S550" s="2">
        <f t="shared" si="53"/>
        <v>8.3251231527093594</v>
      </c>
    </row>
    <row r="551" spans="1:19" hidden="1">
      <c r="A551" t="s">
        <v>604</v>
      </c>
      <c r="B551" t="s">
        <v>30</v>
      </c>
      <c r="C551">
        <v>163</v>
      </c>
      <c r="D551">
        <v>3340</v>
      </c>
      <c r="E551" s="2">
        <v>217.35</v>
      </c>
      <c r="F551">
        <v>26</v>
      </c>
      <c r="G551">
        <v>7</v>
      </c>
      <c r="H551">
        <v>4.2999999999999997E-2</v>
      </c>
      <c r="I551" s="3">
        <v>1751</v>
      </c>
      <c r="J551" s="1" t="s">
        <v>167</v>
      </c>
      <c r="K551" t="s">
        <v>31</v>
      </c>
      <c r="L551" t="s">
        <v>9</v>
      </c>
      <c r="M551" t="s">
        <v>39</v>
      </c>
      <c r="N551" s="1">
        <f t="shared" si="48"/>
        <v>45620</v>
      </c>
      <c r="O551" s="4">
        <f t="shared" si="49"/>
        <v>4.8802395209580837E-2</v>
      </c>
      <c r="P551">
        <f t="shared" si="50"/>
        <v>1.3334355828220859</v>
      </c>
      <c r="Q551" s="2">
        <f t="shared" si="51"/>
        <v>8.3596153846153847</v>
      </c>
      <c r="R551" s="2">
        <f t="shared" si="52"/>
        <v>31.05</v>
      </c>
      <c r="S551" s="2">
        <f t="shared" si="53"/>
        <v>8.056130664826318</v>
      </c>
    </row>
    <row r="552" spans="1:19" hidden="1">
      <c r="A552" t="s">
        <v>605</v>
      </c>
      <c r="B552" t="s">
        <v>30</v>
      </c>
      <c r="C552">
        <v>84</v>
      </c>
      <c r="D552">
        <v>4407</v>
      </c>
      <c r="E552" s="2">
        <v>192.52</v>
      </c>
      <c r="F552">
        <v>19</v>
      </c>
      <c r="G552">
        <v>10</v>
      </c>
      <c r="H552">
        <v>0.11899999999999999</v>
      </c>
      <c r="I552" s="3">
        <v>1221</v>
      </c>
      <c r="J552" s="1">
        <v>45599</v>
      </c>
      <c r="K552" t="s">
        <v>31</v>
      </c>
      <c r="L552" t="s">
        <v>9</v>
      </c>
      <c r="M552" t="s">
        <v>32</v>
      </c>
      <c r="N552" s="1">
        <f t="shared" si="48"/>
        <v>45599</v>
      </c>
      <c r="O552" s="4">
        <f t="shared" si="49"/>
        <v>1.9060585432266849E-2</v>
      </c>
      <c r="P552">
        <f t="shared" si="50"/>
        <v>2.2919047619047621</v>
      </c>
      <c r="Q552" s="2">
        <f t="shared" si="51"/>
        <v>10.132631578947368</v>
      </c>
      <c r="R552" s="2">
        <f t="shared" si="52"/>
        <v>19.252000000000002</v>
      </c>
      <c r="S552" s="2">
        <f t="shared" si="53"/>
        <v>6.3421982131726571</v>
      </c>
    </row>
    <row r="553" spans="1:19" hidden="1">
      <c r="A553" t="s">
        <v>606</v>
      </c>
      <c r="B553" t="s">
        <v>30</v>
      </c>
      <c r="C553">
        <v>124</v>
      </c>
      <c r="D553">
        <v>3180</v>
      </c>
      <c r="E553" s="2">
        <v>180.8</v>
      </c>
      <c r="F553">
        <v>17</v>
      </c>
      <c r="G553">
        <v>6</v>
      </c>
      <c r="H553">
        <v>4.8000000000000001E-2</v>
      </c>
      <c r="I553" s="3">
        <v>1822</v>
      </c>
      <c r="J553" s="1">
        <v>45607</v>
      </c>
      <c r="K553" t="s">
        <v>31</v>
      </c>
      <c r="L553" t="s">
        <v>8</v>
      </c>
      <c r="M553" t="s">
        <v>41</v>
      </c>
      <c r="N553" s="1">
        <f t="shared" si="48"/>
        <v>45607</v>
      </c>
      <c r="O553" s="4">
        <f t="shared" si="49"/>
        <v>3.8993710691823898E-2</v>
      </c>
      <c r="P553">
        <f t="shared" si="50"/>
        <v>1.4580645161290324</v>
      </c>
      <c r="Q553" s="2">
        <f t="shared" si="51"/>
        <v>10.63529411764706</v>
      </c>
      <c r="R553" s="2">
        <f t="shared" si="52"/>
        <v>30.133333333333336</v>
      </c>
      <c r="S553" s="2">
        <f t="shared" si="53"/>
        <v>10.077433628318584</v>
      </c>
    </row>
    <row r="554" spans="1:19" hidden="1">
      <c r="A554" t="s">
        <v>607</v>
      </c>
      <c r="B554" t="s">
        <v>30</v>
      </c>
      <c r="C554">
        <v>162</v>
      </c>
      <c r="D554">
        <v>4947</v>
      </c>
      <c r="E554" s="2">
        <v>233.76</v>
      </c>
      <c r="F554">
        <v>23</v>
      </c>
      <c r="G554">
        <v>6</v>
      </c>
      <c r="H554">
        <v>4.4999999999999998E-2</v>
      </c>
      <c r="I554" s="3">
        <v>1973</v>
      </c>
      <c r="J554" s="1">
        <v>45611</v>
      </c>
      <c r="K554" t="s">
        <v>31</v>
      </c>
      <c r="L554" t="s">
        <v>9</v>
      </c>
      <c r="M554" t="s">
        <v>35</v>
      </c>
      <c r="N554" s="1">
        <f t="shared" si="48"/>
        <v>45611</v>
      </c>
      <c r="O554" s="4">
        <f t="shared" si="49"/>
        <v>3.274711946634324E-2</v>
      </c>
      <c r="P554">
        <f t="shared" si="50"/>
        <v>1.442962962962963</v>
      </c>
      <c r="Q554" s="2">
        <f t="shared" si="51"/>
        <v>10.163478260869566</v>
      </c>
      <c r="R554" s="2">
        <f t="shared" si="52"/>
        <v>38.96</v>
      </c>
      <c r="S554" s="2">
        <f t="shared" si="53"/>
        <v>8.4402806297056809</v>
      </c>
    </row>
    <row r="555" spans="1:19" hidden="1">
      <c r="A555" t="s">
        <v>608</v>
      </c>
      <c r="B555" t="s">
        <v>30</v>
      </c>
      <c r="C555">
        <v>119</v>
      </c>
      <c r="D555">
        <v>4480</v>
      </c>
      <c r="E555" s="2">
        <v>184.25</v>
      </c>
      <c r="F555">
        <v>20</v>
      </c>
      <c r="G555">
        <v>3</v>
      </c>
      <c r="H555">
        <v>2.5000000000000001E-2</v>
      </c>
      <c r="I555" s="3">
        <v>1985</v>
      </c>
      <c r="J555" s="1" t="s">
        <v>73</v>
      </c>
      <c r="K555" t="s">
        <v>31</v>
      </c>
      <c r="L555" t="s">
        <v>8</v>
      </c>
      <c r="M555" t="s">
        <v>41</v>
      </c>
      <c r="N555" s="1">
        <f t="shared" si="48"/>
        <v>45618</v>
      </c>
      <c r="O555" s="4">
        <f t="shared" si="49"/>
        <v>2.6562499999999999E-2</v>
      </c>
      <c r="P555">
        <f t="shared" si="50"/>
        <v>1.5483193277310925</v>
      </c>
      <c r="Q555" s="2">
        <f t="shared" si="51"/>
        <v>9.2125000000000004</v>
      </c>
      <c r="R555" s="2">
        <f t="shared" si="52"/>
        <v>61.416666666666664</v>
      </c>
      <c r="S555" s="2">
        <f t="shared" si="53"/>
        <v>10.773405698778832</v>
      </c>
    </row>
    <row r="556" spans="1:19" hidden="1">
      <c r="A556" t="s">
        <v>609</v>
      </c>
      <c r="B556" t="s">
        <v>30</v>
      </c>
      <c r="C556">
        <v>151</v>
      </c>
      <c r="D556">
        <v>5595</v>
      </c>
      <c r="E556" s="2">
        <v>246.66</v>
      </c>
      <c r="F556">
        <v>24</v>
      </c>
      <c r="G556">
        <v>4</v>
      </c>
      <c r="H556">
        <v>2.5999999999999999E-2</v>
      </c>
      <c r="I556" s="3">
        <v>1921</v>
      </c>
      <c r="J556" s="1">
        <v>45625</v>
      </c>
      <c r="K556" t="s">
        <v>31</v>
      </c>
      <c r="L556" t="s">
        <v>7</v>
      </c>
      <c r="M556" t="s">
        <v>32</v>
      </c>
      <c r="N556" s="1">
        <f t="shared" si="48"/>
        <v>45625</v>
      </c>
      <c r="O556" s="4">
        <f t="shared" si="49"/>
        <v>2.6988382484361036E-2</v>
      </c>
      <c r="P556">
        <f t="shared" si="50"/>
        <v>1.6335099337748344</v>
      </c>
      <c r="Q556" s="2">
        <f t="shared" si="51"/>
        <v>10.2775</v>
      </c>
      <c r="R556" s="2">
        <f t="shared" si="52"/>
        <v>61.664999999999999</v>
      </c>
      <c r="S556" s="2">
        <f t="shared" si="53"/>
        <v>7.7880483256304229</v>
      </c>
    </row>
    <row r="557" spans="1:19" hidden="1">
      <c r="A557" t="s">
        <v>610</v>
      </c>
      <c r="B557" t="s">
        <v>30</v>
      </c>
      <c r="C557">
        <v>190</v>
      </c>
      <c r="D557">
        <v>4808</v>
      </c>
      <c r="E557" s="2">
        <v>199.94</v>
      </c>
      <c r="F557">
        <v>16</v>
      </c>
      <c r="G557">
        <v>6</v>
      </c>
      <c r="H557">
        <v>3.2000000000000001E-2</v>
      </c>
      <c r="I557" s="3">
        <v>1454</v>
      </c>
      <c r="J557" s="1">
        <v>45599</v>
      </c>
      <c r="K557" t="s">
        <v>31</v>
      </c>
      <c r="L557" t="s">
        <v>7</v>
      </c>
      <c r="M557" t="s">
        <v>37</v>
      </c>
      <c r="N557" s="1">
        <f t="shared" si="48"/>
        <v>45599</v>
      </c>
      <c r="O557" s="4">
        <f t="shared" si="49"/>
        <v>3.951747088186356E-2</v>
      </c>
      <c r="P557">
        <f t="shared" si="50"/>
        <v>1.0523157894736841</v>
      </c>
      <c r="Q557" s="2">
        <f t="shared" si="51"/>
        <v>12.49625</v>
      </c>
      <c r="R557" s="2">
        <f t="shared" si="52"/>
        <v>33.323333333333331</v>
      </c>
      <c r="S557" s="2">
        <f t="shared" si="53"/>
        <v>7.2721816544963493</v>
      </c>
    </row>
    <row r="558" spans="1:19" hidden="1">
      <c r="A558" t="s">
        <v>611</v>
      </c>
      <c r="B558" t="s">
        <v>30</v>
      </c>
      <c r="C558">
        <v>138</v>
      </c>
      <c r="D558">
        <v>3382</v>
      </c>
      <c r="E558" s="2">
        <v>204.12</v>
      </c>
      <c r="F558">
        <v>27</v>
      </c>
      <c r="G558">
        <v>7</v>
      </c>
      <c r="H558">
        <v>5.0999999999999997E-2</v>
      </c>
      <c r="I558" s="3">
        <v>1386</v>
      </c>
      <c r="J558" s="1">
        <v>45423</v>
      </c>
      <c r="K558" t="s">
        <v>31</v>
      </c>
      <c r="L558" t="s">
        <v>9</v>
      </c>
      <c r="M558" t="s">
        <v>32</v>
      </c>
      <c r="N558" s="1">
        <f t="shared" si="48"/>
        <v>45423</v>
      </c>
      <c r="O558" s="4">
        <f t="shared" si="49"/>
        <v>4.0804257835600238E-2</v>
      </c>
      <c r="P558">
        <f t="shared" si="50"/>
        <v>1.4791304347826086</v>
      </c>
      <c r="Q558" s="2">
        <f t="shared" si="51"/>
        <v>7.5600000000000005</v>
      </c>
      <c r="R558" s="2">
        <f t="shared" si="52"/>
        <v>29.16</v>
      </c>
      <c r="S558" s="2">
        <f t="shared" si="53"/>
        <v>6.7901234567901234</v>
      </c>
    </row>
    <row r="559" spans="1:19" hidden="1">
      <c r="A559" t="s">
        <v>612</v>
      </c>
      <c r="B559" t="s">
        <v>30</v>
      </c>
      <c r="C559">
        <v>100</v>
      </c>
      <c r="D559">
        <v>4643</v>
      </c>
      <c r="E559" s="2">
        <v>214.46</v>
      </c>
      <c r="F559">
        <v>16</v>
      </c>
      <c r="G559">
        <v>9</v>
      </c>
      <c r="H559">
        <v>0.09</v>
      </c>
      <c r="I559" s="3">
        <v>1179</v>
      </c>
      <c r="J559" s="1">
        <v>45599</v>
      </c>
      <c r="K559" t="s">
        <v>31</v>
      </c>
      <c r="L559" t="s">
        <v>9</v>
      </c>
      <c r="M559" t="s">
        <v>41</v>
      </c>
      <c r="N559" s="1">
        <f t="shared" si="48"/>
        <v>45599</v>
      </c>
      <c r="O559" s="4">
        <f t="shared" si="49"/>
        <v>2.1537798836958864E-2</v>
      </c>
      <c r="P559">
        <f t="shared" si="50"/>
        <v>2.1446000000000001</v>
      </c>
      <c r="Q559" s="2">
        <f t="shared" si="51"/>
        <v>13.40375</v>
      </c>
      <c r="R559" s="2">
        <f t="shared" si="52"/>
        <v>23.828888888888891</v>
      </c>
      <c r="S559" s="2">
        <f t="shared" si="53"/>
        <v>5.4975286766763034</v>
      </c>
    </row>
    <row r="560" spans="1:19">
      <c r="A560" t="s">
        <v>613</v>
      </c>
      <c r="B560" t="s">
        <v>30</v>
      </c>
      <c r="C560">
        <v>187</v>
      </c>
      <c r="D560">
        <v>5400</v>
      </c>
      <c r="E560" s="2">
        <v>210</v>
      </c>
      <c r="F560">
        <v>14</v>
      </c>
      <c r="G560">
        <v>7</v>
      </c>
      <c r="H560">
        <v>4.5999999999999999E-2</v>
      </c>
      <c r="I560" s="3">
        <v>1945</v>
      </c>
      <c r="J560" s="1">
        <v>45611</v>
      </c>
      <c r="K560" t="s">
        <v>31</v>
      </c>
      <c r="L560" t="s">
        <v>7</v>
      </c>
      <c r="M560" t="s">
        <v>46</v>
      </c>
      <c r="N560" s="1">
        <f t="shared" si="48"/>
        <v>45611</v>
      </c>
      <c r="O560" s="4">
        <f t="shared" si="49"/>
        <v>3.4629629629629628E-2</v>
      </c>
      <c r="P560">
        <f t="shared" si="50"/>
        <v>1.1229946524064172</v>
      </c>
      <c r="Q560" s="2">
        <f t="shared" si="51"/>
        <v>15</v>
      </c>
      <c r="R560" s="2">
        <f t="shared" si="52"/>
        <v>30</v>
      </c>
      <c r="S560" s="2">
        <f t="shared" si="53"/>
        <v>9.2619047619047628</v>
      </c>
    </row>
    <row r="561" spans="1:19">
      <c r="A561" t="s">
        <v>614</v>
      </c>
      <c r="B561" t="s">
        <v>30</v>
      </c>
      <c r="C561">
        <v>176</v>
      </c>
      <c r="D561">
        <v>3400</v>
      </c>
      <c r="E561" s="2">
        <v>191.5</v>
      </c>
      <c r="F561">
        <v>29</v>
      </c>
      <c r="G561">
        <v>3</v>
      </c>
      <c r="H561">
        <v>4.5999999999999999E-2</v>
      </c>
      <c r="I561" s="3">
        <v>1429</v>
      </c>
      <c r="J561" s="1" t="s">
        <v>357</v>
      </c>
      <c r="K561" t="s">
        <v>31</v>
      </c>
      <c r="L561" t="s">
        <v>8</v>
      </c>
      <c r="M561" t="s">
        <v>41</v>
      </c>
      <c r="N561" s="1">
        <f t="shared" si="48"/>
        <v>45624</v>
      </c>
      <c r="O561" s="4">
        <f t="shared" si="49"/>
        <v>5.1764705882352942E-2</v>
      </c>
      <c r="P561">
        <f t="shared" si="50"/>
        <v>1.0880681818181819</v>
      </c>
      <c r="Q561" s="2">
        <f t="shared" si="51"/>
        <v>6.6034482758620694</v>
      </c>
      <c r="R561" s="2">
        <f t="shared" si="52"/>
        <v>63.833333333333336</v>
      </c>
      <c r="S561" s="2">
        <f t="shared" si="53"/>
        <v>7.462140992167102</v>
      </c>
    </row>
    <row r="562" spans="1:19" hidden="1">
      <c r="A562" t="s">
        <v>615</v>
      </c>
      <c r="B562" t="s">
        <v>30</v>
      </c>
      <c r="C562">
        <v>117</v>
      </c>
      <c r="D562">
        <v>4223</v>
      </c>
      <c r="E562" s="2">
        <v>215.57</v>
      </c>
      <c r="F562">
        <v>28</v>
      </c>
      <c r="G562">
        <v>6</v>
      </c>
      <c r="H562">
        <v>5.8999999999999997E-2</v>
      </c>
      <c r="I562" s="3">
        <v>1489</v>
      </c>
      <c r="J562" s="1">
        <v>45606</v>
      </c>
      <c r="K562" t="s">
        <v>31</v>
      </c>
      <c r="L562" t="s">
        <v>8</v>
      </c>
      <c r="M562" t="s">
        <v>39</v>
      </c>
      <c r="N562" s="1">
        <f t="shared" si="48"/>
        <v>45606</v>
      </c>
      <c r="O562" s="4">
        <f t="shared" si="49"/>
        <v>2.7705422685294814E-2</v>
      </c>
      <c r="P562">
        <f t="shared" si="50"/>
        <v>1.8424786324786324</v>
      </c>
      <c r="Q562" s="2">
        <f t="shared" si="51"/>
        <v>7.6989285714285716</v>
      </c>
      <c r="R562" s="2">
        <f t="shared" si="52"/>
        <v>35.928333333333335</v>
      </c>
      <c r="S562" s="2">
        <f t="shared" si="53"/>
        <v>6.907269100524192</v>
      </c>
    </row>
    <row r="563" spans="1:19" hidden="1">
      <c r="A563" t="s">
        <v>616</v>
      </c>
      <c r="B563" t="s">
        <v>30</v>
      </c>
      <c r="C563">
        <v>196</v>
      </c>
      <c r="D563">
        <v>4518.5</v>
      </c>
      <c r="E563" s="2">
        <v>206.31</v>
      </c>
      <c r="F563">
        <v>24</v>
      </c>
      <c r="G563">
        <v>8</v>
      </c>
      <c r="H563">
        <v>5.0999999999999997E-2</v>
      </c>
      <c r="I563" s="3">
        <v>1426</v>
      </c>
      <c r="J563" s="1">
        <v>45619</v>
      </c>
      <c r="K563" t="s">
        <v>31</v>
      </c>
      <c r="L563" t="s">
        <v>9</v>
      </c>
      <c r="M563" t="s">
        <v>37</v>
      </c>
      <c r="N563" s="1">
        <f t="shared" si="48"/>
        <v>45619</v>
      </c>
      <c r="O563" s="4">
        <f t="shared" si="49"/>
        <v>4.3377226955848176E-2</v>
      </c>
      <c r="P563">
        <f t="shared" si="50"/>
        <v>1.0526020408163266</v>
      </c>
      <c r="Q563" s="2">
        <f t="shared" si="51"/>
        <v>8.5962499999999995</v>
      </c>
      <c r="R563" s="2">
        <f t="shared" si="52"/>
        <v>25.78875</v>
      </c>
      <c r="S563" s="2">
        <f t="shared" si="53"/>
        <v>6.9119286510590854</v>
      </c>
    </row>
    <row r="564" spans="1:19">
      <c r="A564" t="s">
        <v>617</v>
      </c>
      <c r="B564" t="s">
        <v>30</v>
      </c>
      <c r="C564">
        <v>155</v>
      </c>
      <c r="D564">
        <v>3864</v>
      </c>
      <c r="E564" s="2">
        <v>222.17</v>
      </c>
      <c r="F564">
        <v>12</v>
      </c>
      <c r="G564">
        <v>3</v>
      </c>
      <c r="H564">
        <v>4.5999999999999999E-2</v>
      </c>
      <c r="I564" s="3">
        <v>1407</v>
      </c>
      <c r="J564" s="1">
        <v>45617</v>
      </c>
      <c r="K564" t="s">
        <v>31</v>
      </c>
      <c r="L564" t="s">
        <v>8</v>
      </c>
      <c r="M564" t="s">
        <v>39</v>
      </c>
      <c r="N564" s="1">
        <f t="shared" si="48"/>
        <v>45617</v>
      </c>
      <c r="O564" s="4">
        <f t="shared" si="49"/>
        <v>4.0113871635610768E-2</v>
      </c>
      <c r="P564">
        <f t="shared" si="50"/>
        <v>1.4333548387096773</v>
      </c>
      <c r="Q564" s="2">
        <f t="shared" si="51"/>
        <v>18.514166666666664</v>
      </c>
      <c r="R564" s="2">
        <f t="shared" si="52"/>
        <v>74.056666666666658</v>
      </c>
      <c r="S564" s="2">
        <f t="shared" si="53"/>
        <v>6.3329882522392769</v>
      </c>
    </row>
    <row r="565" spans="1:19" hidden="1">
      <c r="A565" t="s">
        <v>618</v>
      </c>
      <c r="B565" t="s">
        <v>30</v>
      </c>
      <c r="C565">
        <v>188</v>
      </c>
      <c r="D565">
        <v>3838</v>
      </c>
      <c r="E565" s="2">
        <v>240.99</v>
      </c>
      <c r="F565">
        <v>15</v>
      </c>
      <c r="G565">
        <v>3</v>
      </c>
      <c r="H565">
        <v>1.6E-2</v>
      </c>
      <c r="I565" s="3">
        <v>1951</v>
      </c>
      <c r="J565" s="1">
        <v>45576</v>
      </c>
      <c r="K565" t="s">
        <v>31</v>
      </c>
      <c r="L565" t="s">
        <v>8</v>
      </c>
      <c r="M565" t="s">
        <v>35</v>
      </c>
      <c r="N565" s="1">
        <f t="shared" si="48"/>
        <v>45576</v>
      </c>
      <c r="O565" s="4">
        <f t="shared" si="49"/>
        <v>4.8983845752996351E-2</v>
      </c>
      <c r="P565">
        <f t="shared" si="50"/>
        <v>1.2818617021276597</v>
      </c>
      <c r="Q565" s="2">
        <f t="shared" si="51"/>
        <v>16.065999999999999</v>
      </c>
      <c r="R565" s="2">
        <f t="shared" si="52"/>
        <v>80.33</v>
      </c>
      <c r="S565" s="2">
        <f t="shared" si="53"/>
        <v>8.0957716087804474</v>
      </c>
    </row>
    <row r="566" spans="1:19" hidden="1">
      <c r="A566" t="s">
        <v>619</v>
      </c>
      <c r="B566" t="s">
        <v>30</v>
      </c>
      <c r="C566">
        <v>81</v>
      </c>
      <c r="D566">
        <v>5659</v>
      </c>
      <c r="E566" s="2">
        <v>222.98</v>
      </c>
      <c r="F566">
        <v>25</v>
      </c>
      <c r="G566">
        <v>4</v>
      </c>
      <c r="H566">
        <v>5.7000000000000002E-2</v>
      </c>
      <c r="I566" s="3">
        <v>1654</v>
      </c>
      <c r="J566" s="1">
        <v>45615</v>
      </c>
      <c r="K566" t="s">
        <v>31</v>
      </c>
      <c r="L566" t="s">
        <v>9</v>
      </c>
      <c r="M566" t="s">
        <v>37</v>
      </c>
      <c r="N566" s="1">
        <f t="shared" si="48"/>
        <v>45615</v>
      </c>
      <c r="O566" s="4">
        <f t="shared" si="49"/>
        <v>1.4313482947517229E-2</v>
      </c>
      <c r="P566">
        <f t="shared" si="50"/>
        <v>2.7528395061728395</v>
      </c>
      <c r="Q566" s="2">
        <f t="shared" si="51"/>
        <v>8.9192</v>
      </c>
      <c r="R566" s="2">
        <f t="shared" si="52"/>
        <v>55.744999999999997</v>
      </c>
      <c r="S566" s="2">
        <f t="shared" si="53"/>
        <v>7.4177056238227648</v>
      </c>
    </row>
    <row r="567" spans="1:19" hidden="1">
      <c r="A567" t="s">
        <v>620</v>
      </c>
      <c r="B567" t="s">
        <v>30</v>
      </c>
      <c r="C567">
        <v>125</v>
      </c>
      <c r="D567">
        <v>4794</v>
      </c>
      <c r="E567" s="2">
        <v>215.57</v>
      </c>
      <c r="F567">
        <v>28</v>
      </c>
      <c r="G567">
        <v>7</v>
      </c>
      <c r="H567">
        <v>5.0999999999999997E-2</v>
      </c>
      <c r="I567" s="3">
        <v>1453</v>
      </c>
      <c r="J567" s="1">
        <v>45618</v>
      </c>
      <c r="K567" t="s">
        <v>31</v>
      </c>
      <c r="L567" t="s">
        <v>7</v>
      </c>
      <c r="M567" t="s">
        <v>37</v>
      </c>
      <c r="N567" s="1">
        <f t="shared" si="48"/>
        <v>45618</v>
      </c>
      <c r="O567" s="4">
        <f t="shared" si="49"/>
        <v>2.6074259491030455E-2</v>
      </c>
      <c r="P567">
        <f t="shared" si="50"/>
        <v>1.7245599999999999</v>
      </c>
      <c r="Q567" s="2">
        <f t="shared" si="51"/>
        <v>7.6989285714285716</v>
      </c>
      <c r="R567" s="2">
        <f t="shared" si="52"/>
        <v>30.795714285714286</v>
      </c>
      <c r="S567" s="2">
        <f t="shared" si="53"/>
        <v>6.7402699819084289</v>
      </c>
    </row>
    <row r="568" spans="1:19" hidden="1">
      <c r="A568" t="s">
        <v>621</v>
      </c>
      <c r="B568" t="s">
        <v>30</v>
      </c>
      <c r="C568">
        <v>158</v>
      </c>
      <c r="D568">
        <v>5214</v>
      </c>
      <c r="E568" s="2">
        <v>222.28</v>
      </c>
      <c r="F568">
        <v>21</v>
      </c>
      <c r="G568">
        <v>3</v>
      </c>
      <c r="H568">
        <v>1.9E-2</v>
      </c>
      <c r="I568" s="3">
        <v>1630</v>
      </c>
      <c r="J568" s="1">
        <v>45362</v>
      </c>
      <c r="K568" t="s">
        <v>31</v>
      </c>
      <c r="L568" t="s">
        <v>7</v>
      </c>
      <c r="M568" t="s">
        <v>35</v>
      </c>
      <c r="N568" s="1">
        <f t="shared" si="48"/>
        <v>45362</v>
      </c>
      <c r="O568" s="4">
        <f t="shared" si="49"/>
        <v>3.0303030303030304E-2</v>
      </c>
      <c r="P568">
        <f t="shared" si="50"/>
        <v>1.4068354430379746</v>
      </c>
      <c r="Q568" s="2">
        <f t="shared" si="51"/>
        <v>10.584761904761905</v>
      </c>
      <c r="R568" s="2">
        <f t="shared" si="52"/>
        <v>74.093333333333334</v>
      </c>
      <c r="S568" s="2">
        <f t="shared" si="53"/>
        <v>7.3330933957171132</v>
      </c>
    </row>
    <row r="569" spans="1:19" hidden="1">
      <c r="A569" t="s">
        <v>622</v>
      </c>
      <c r="B569" t="s">
        <v>30</v>
      </c>
      <c r="C569">
        <v>133</v>
      </c>
      <c r="D569">
        <v>5762</v>
      </c>
      <c r="E569" s="2">
        <v>196.02</v>
      </c>
      <c r="F569">
        <v>10</v>
      </c>
      <c r="G569">
        <v>5</v>
      </c>
      <c r="H569">
        <v>3.7999999999999999E-2</v>
      </c>
      <c r="I569" s="3">
        <v>1505</v>
      </c>
      <c r="J569" s="1">
        <v>45599</v>
      </c>
      <c r="K569" t="s">
        <v>31</v>
      </c>
      <c r="L569" t="s">
        <v>9</v>
      </c>
      <c r="M569" t="s">
        <v>35</v>
      </c>
      <c r="N569" s="1">
        <f t="shared" si="48"/>
        <v>45599</v>
      </c>
      <c r="O569" s="4">
        <f t="shared" si="49"/>
        <v>2.3082263103089206E-2</v>
      </c>
      <c r="P569">
        <f t="shared" si="50"/>
        <v>1.4738345864661655</v>
      </c>
      <c r="Q569" s="2">
        <f t="shared" si="51"/>
        <v>19.602</v>
      </c>
      <c r="R569" s="2">
        <f t="shared" si="52"/>
        <v>39.204000000000001</v>
      </c>
      <c r="S569" s="2">
        <f t="shared" si="53"/>
        <v>7.6777879808182838</v>
      </c>
    </row>
    <row r="570" spans="1:19" hidden="1">
      <c r="A570" t="s">
        <v>623</v>
      </c>
      <c r="B570" t="s">
        <v>30</v>
      </c>
      <c r="C570">
        <v>128</v>
      </c>
      <c r="D570">
        <v>5026</v>
      </c>
      <c r="E570" s="2">
        <v>239.88</v>
      </c>
      <c r="F570">
        <v>15</v>
      </c>
      <c r="G570">
        <v>9</v>
      </c>
      <c r="H570">
        <v>7.0000000000000007E-2</v>
      </c>
      <c r="I570" s="3">
        <v>1745</v>
      </c>
      <c r="J570" s="1">
        <v>45621</v>
      </c>
      <c r="K570" t="s">
        <v>31</v>
      </c>
      <c r="L570" t="s">
        <v>8</v>
      </c>
      <c r="M570" t="s">
        <v>46</v>
      </c>
      <c r="N570" s="1">
        <f t="shared" si="48"/>
        <v>45621</v>
      </c>
      <c r="O570" s="4">
        <f t="shared" si="49"/>
        <v>2.5467568643056108E-2</v>
      </c>
      <c r="P570">
        <f t="shared" si="50"/>
        <v>1.8740625</v>
      </c>
      <c r="Q570" s="2">
        <f t="shared" si="51"/>
        <v>15.991999999999999</v>
      </c>
      <c r="R570" s="2">
        <f t="shared" si="52"/>
        <v>26.653333333333332</v>
      </c>
      <c r="S570" s="2">
        <f t="shared" si="53"/>
        <v>7.2744705686176419</v>
      </c>
    </row>
    <row r="571" spans="1:19" hidden="1">
      <c r="A571" t="s">
        <v>624</v>
      </c>
      <c r="B571" t="s">
        <v>30</v>
      </c>
      <c r="C571">
        <v>148</v>
      </c>
      <c r="D571">
        <v>3883</v>
      </c>
      <c r="E571" s="2">
        <v>181.4</v>
      </c>
      <c r="F571">
        <v>30</v>
      </c>
      <c r="G571">
        <v>4</v>
      </c>
      <c r="H571">
        <v>2.7E-2</v>
      </c>
      <c r="I571" s="3">
        <v>1966</v>
      </c>
      <c r="J571" s="1">
        <v>45612</v>
      </c>
      <c r="K571" t="s">
        <v>31</v>
      </c>
      <c r="L571" t="s">
        <v>7</v>
      </c>
      <c r="M571" t="s">
        <v>46</v>
      </c>
      <c r="N571" s="1">
        <f t="shared" si="48"/>
        <v>45612</v>
      </c>
      <c r="O571" s="4">
        <f t="shared" si="49"/>
        <v>3.811485964460469E-2</v>
      </c>
      <c r="P571">
        <f t="shared" si="50"/>
        <v>1.2256756756756757</v>
      </c>
      <c r="Q571" s="2">
        <f t="shared" si="51"/>
        <v>6.0466666666666669</v>
      </c>
      <c r="R571" s="2">
        <f t="shared" si="52"/>
        <v>45.35</v>
      </c>
      <c r="S571" s="2">
        <f t="shared" si="53"/>
        <v>10.83792723263506</v>
      </c>
    </row>
    <row r="572" spans="1:19">
      <c r="A572" t="s">
        <v>625</v>
      </c>
      <c r="B572" t="s">
        <v>30</v>
      </c>
      <c r="C572">
        <v>92</v>
      </c>
      <c r="D572">
        <v>4605</v>
      </c>
      <c r="E572" s="2">
        <v>234.69</v>
      </c>
      <c r="F572">
        <v>29</v>
      </c>
      <c r="G572">
        <v>3</v>
      </c>
      <c r="H572">
        <v>4.5999999999999999E-2</v>
      </c>
      <c r="I572" s="3">
        <v>1264</v>
      </c>
      <c r="J572" s="1">
        <v>45626</v>
      </c>
      <c r="K572" t="s">
        <v>31</v>
      </c>
      <c r="L572" t="s">
        <v>8</v>
      </c>
      <c r="M572" t="s">
        <v>39</v>
      </c>
      <c r="N572" s="1">
        <f t="shared" si="48"/>
        <v>45626</v>
      </c>
      <c r="O572" s="4">
        <f t="shared" si="49"/>
        <v>1.9978284473398479E-2</v>
      </c>
      <c r="P572">
        <f t="shared" si="50"/>
        <v>2.5509782608695653</v>
      </c>
      <c r="Q572" s="2">
        <f t="shared" si="51"/>
        <v>8.0927586206896542</v>
      </c>
      <c r="R572" s="2">
        <f t="shared" si="52"/>
        <v>78.23</v>
      </c>
      <c r="S572" s="2">
        <f t="shared" si="53"/>
        <v>5.3858281136818782</v>
      </c>
    </row>
    <row r="573" spans="1:19">
      <c r="A573" t="s">
        <v>626</v>
      </c>
      <c r="B573" t="s">
        <v>30</v>
      </c>
      <c r="C573">
        <v>147</v>
      </c>
      <c r="D573">
        <v>4518.5</v>
      </c>
      <c r="E573" s="2">
        <v>205.83</v>
      </c>
      <c r="F573">
        <v>25</v>
      </c>
      <c r="G573">
        <v>8</v>
      </c>
      <c r="H573">
        <v>4.5999999999999999E-2</v>
      </c>
      <c r="I573" s="3">
        <v>1728</v>
      </c>
      <c r="J573" s="1">
        <v>45598</v>
      </c>
      <c r="K573" t="s">
        <v>31</v>
      </c>
      <c r="L573" t="s">
        <v>7</v>
      </c>
      <c r="M573" t="s">
        <v>35</v>
      </c>
      <c r="N573" s="1">
        <f t="shared" si="48"/>
        <v>45598</v>
      </c>
      <c r="O573" s="4">
        <f t="shared" si="49"/>
        <v>3.2532920216886134E-2</v>
      </c>
      <c r="P573">
        <f t="shared" si="50"/>
        <v>1.4002040816326531</v>
      </c>
      <c r="Q573" s="2">
        <f t="shared" si="51"/>
        <v>8.2332000000000001</v>
      </c>
      <c r="R573" s="2">
        <f t="shared" si="52"/>
        <v>25.728750000000002</v>
      </c>
      <c r="S573" s="2">
        <f t="shared" si="53"/>
        <v>8.3952776563183207</v>
      </c>
    </row>
    <row r="574" spans="1:19" hidden="1">
      <c r="A574" t="s">
        <v>627</v>
      </c>
      <c r="B574" t="s">
        <v>30</v>
      </c>
      <c r="C574">
        <v>136</v>
      </c>
      <c r="D574">
        <v>5454</v>
      </c>
      <c r="E574" s="2">
        <v>247.7</v>
      </c>
      <c r="F574">
        <v>13</v>
      </c>
      <c r="G574">
        <v>6</v>
      </c>
      <c r="H574">
        <v>4.3999999999999997E-2</v>
      </c>
      <c r="I574" s="3">
        <v>1687</v>
      </c>
      <c r="J574" s="1">
        <v>45602</v>
      </c>
      <c r="K574" t="s">
        <v>31</v>
      </c>
      <c r="L574" t="s">
        <v>8</v>
      </c>
      <c r="M574" t="s">
        <v>37</v>
      </c>
      <c r="N574" s="1">
        <f t="shared" si="48"/>
        <v>45602</v>
      </c>
      <c r="O574" s="4">
        <f t="shared" si="49"/>
        <v>2.4935826916024934E-2</v>
      </c>
      <c r="P574">
        <f t="shared" si="50"/>
        <v>1.8213235294117647</v>
      </c>
      <c r="Q574" s="2">
        <f t="shared" si="51"/>
        <v>19.053846153846152</v>
      </c>
      <c r="R574" s="2">
        <f t="shared" si="52"/>
        <v>41.283333333333331</v>
      </c>
      <c r="S574" s="2">
        <f t="shared" si="53"/>
        <v>6.8106580540976989</v>
      </c>
    </row>
    <row r="575" spans="1:19" hidden="1">
      <c r="A575" t="s">
        <v>628</v>
      </c>
      <c r="B575" t="s">
        <v>30</v>
      </c>
      <c r="C575">
        <v>132</v>
      </c>
      <c r="D575">
        <v>4957</v>
      </c>
      <c r="E575" s="2">
        <v>220.43</v>
      </c>
      <c r="F575">
        <v>28</v>
      </c>
      <c r="G575">
        <v>6</v>
      </c>
      <c r="H575">
        <v>4.4999999999999998E-2</v>
      </c>
      <c r="I575" s="3">
        <v>1218</v>
      </c>
      <c r="J575" s="1">
        <v>45362</v>
      </c>
      <c r="K575" t="s">
        <v>31</v>
      </c>
      <c r="L575" t="s">
        <v>8</v>
      </c>
      <c r="M575" t="s">
        <v>41</v>
      </c>
      <c r="N575" s="1">
        <f t="shared" si="48"/>
        <v>45362</v>
      </c>
      <c r="O575" s="4">
        <f t="shared" si="49"/>
        <v>2.6629009481541253E-2</v>
      </c>
      <c r="P575">
        <f t="shared" si="50"/>
        <v>1.6699242424242424</v>
      </c>
      <c r="Q575" s="2">
        <f t="shared" si="51"/>
        <v>7.8725000000000005</v>
      </c>
      <c r="R575" s="2">
        <f t="shared" si="52"/>
        <v>36.738333333333337</v>
      </c>
      <c r="S575" s="2">
        <f t="shared" si="53"/>
        <v>5.5255636710066689</v>
      </c>
    </row>
    <row r="576" spans="1:19" hidden="1">
      <c r="A576" t="s">
        <v>629</v>
      </c>
      <c r="B576" t="s">
        <v>30</v>
      </c>
      <c r="C576">
        <v>173</v>
      </c>
      <c r="D576">
        <v>4518.5</v>
      </c>
      <c r="E576" s="2">
        <v>241.61</v>
      </c>
      <c r="F576">
        <v>28</v>
      </c>
      <c r="G576">
        <v>3</v>
      </c>
      <c r="H576">
        <v>1.7000000000000001E-2</v>
      </c>
      <c r="I576" s="3">
        <v>1191</v>
      </c>
      <c r="J576" s="1">
        <v>45609</v>
      </c>
      <c r="K576" t="s">
        <v>31</v>
      </c>
      <c r="L576" t="s">
        <v>9</v>
      </c>
      <c r="M576" t="s">
        <v>32</v>
      </c>
      <c r="N576" s="1">
        <f t="shared" si="48"/>
        <v>45609</v>
      </c>
      <c r="O576" s="4">
        <f t="shared" si="49"/>
        <v>3.8287042160008854E-2</v>
      </c>
      <c r="P576">
        <f t="shared" si="50"/>
        <v>1.3965895953757226</v>
      </c>
      <c r="Q576" s="2">
        <f t="shared" si="51"/>
        <v>8.6289285714285722</v>
      </c>
      <c r="R576" s="2">
        <f t="shared" si="52"/>
        <v>80.536666666666676</v>
      </c>
      <c r="S576" s="2">
        <f t="shared" si="53"/>
        <v>4.9294317288191714</v>
      </c>
    </row>
    <row r="577" spans="1:19" hidden="1">
      <c r="A577" t="s">
        <v>630</v>
      </c>
      <c r="B577" t="s">
        <v>30</v>
      </c>
      <c r="C577">
        <v>85</v>
      </c>
      <c r="D577">
        <v>4747</v>
      </c>
      <c r="E577" s="2">
        <v>224.35</v>
      </c>
      <c r="F577">
        <v>26</v>
      </c>
      <c r="G577">
        <v>5</v>
      </c>
      <c r="H577">
        <v>5.8999999999999997E-2</v>
      </c>
      <c r="I577" s="3">
        <v>1087</v>
      </c>
      <c r="J577" s="1">
        <v>45302</v>
      </c>
      <c r="K577" t="s">
        <v>31</v>
      </c>
      <c r="L577" t="s">
        <v>9</v>
      </c>
      <c r="M577" t="s">
        <v>35</v>
      </c>
      <c r="N577" s="1">
        <f t="shared" si="48"/>
        <v>45302</v>
      </c>
      <c r="O577" s="4">
        <f t="shared" si="49"/>
        <v>1.7906045923741312E-2</v>
      </c>
      <c r="P577">
        <f t="shared" si="50"/>
        <v>2.6394117647058821</v>
      </c>
      <c r="Q577" s="2">
        <f t="shared" si="51"/>
        <v>8.6288461538461529</v>
      </c>
      <c r="R577" s="2">
        <f t="shared" si="52"/>
        <v>44.87</v>
      </c>
      <c r="S577" s="2">
        <f t="shared" si="53"/>
        <v>4.8451080900378871</v>
      </c>
    </row>
    <row r="578" spans="1:19" hidden="1">
      <c r="A578" t="s">
        <v>631</v>
      </c>
      <c r="B578" t="s">
        <v>30</v>
      </c>
      <c r="C578">
        <v>129</v>
      </c>
      <c r="D578">
        <v>5874</v>
      </c>
      <c r="E578" s="2">
        <v>200.17</v>
      </c>
      <c r="F578">
        <v>12</v>
      </c>
      <c r="G578">
        <v>5</v>
      </c>
      <c r="H578">
        <v>3.9E-2</v>
      </c>
      <c r="I578" s="3">
        <v>1405</v>
      </c>
      <c r="J578" s="1">
        <v>45625</v>
      </c>
      <c r="K578" t="s">
        <v>31</v>
      </c>
      <c r="L578" t="s">
        <v>9</v>
      </c>
      <c r="M578" t="s">
        <v>41</v>
      </c>
      <c r="N578" s="1">
        <f t="shared" ref="N578:N641" si="54">IF(A578="","",IF(ISNUMBER(J578),J578,IF(MID(J578,5,1)="-",DATE(LEFT(J578,4),MID(J578,6,2),RIGHT(J578,2)),IF(MID(J578,5,1)="/",DATE(LEFT(J578,4),MID(J578,6,2),RIGHT(J578,2)),DATE(RIGHT(J578,4),MID(J578,4,2),LEFT(J578,2))))))</f>
        <v>45625</v>
      </c>
      <c r="O578" s="4">
        <f t="shared" ref="O578:O641" si="55">IFERROR(C578/D578,0)</f>
        <v>2.1961184882533197E-2</v>
      </c>
      <c r="P578">
        <f t="shared" ref="P578:P641" si="56">IFERROR(E578/C578,0)</f>
        <v>1.551705426356589</v>
      </c>
      <c r="Q578" s="2">
        <f t="shared" ref="Q578:Q641" si="57">IFERROR(E578/F578,0)</f>
        <v>16.680833333333332</v>
      </c>
      <c r="R578" s="2">
        <f t="shared" ref="R578:R641" si="58">IFERROR(E578/G578,0)</f>
        <v>40.033999999999999</v>
      </c>
      <c r="S578" s="2">
        <f t="shared" ref="S578:S641" si="59">IFERROR(I578/E578,0)</f>
        <v>7.0190338212519361</v>
      </c>
    </row>
    <row r="579" spans="1:19">
      <c r="A579" t="s">
        <v>632</v>
      </c>
      <c r="B579" t="s">
        <v>30</v>
      </c>
      <c r="C579">
        <v>181</v>
      </c>
      <c r="D579">
        <v>4730</v>
      </c>
      <c r="E579" s="2">
        <v>243.35</v>
      </c>
      <c r="F579">
        <v>16</v>
      </c>
      <c r="G579">
        <v>4</v>
      </c>
      <c r="H579">
        <v>4.5999999999999999E-2</v>
      </c>
      <c r="I579" s="3">
        <v>1975</v>
      </c>
      <c r="J579" s="1">
        <v>45616</v>
      </c>
      <c r="K579" t="s">
        <v>31</v>
      </c>
      <c r="L579" t="s">
        <v>8</v>
      </c>
      <c r="M579" t="s">
        <v>41</v>
      </c>
      <c r="N579" s="1">
        <f t="shared" si="54"/>
        <v>45616</v>
      </c>
      <c r="O579" s="4">
        <f t="shared" si="55"/>
        <v>3.8266384778012683E-2</v>
      </c>
      <c r="P579">
        <f t="shared" si="56"/>
        <v>1.344475138121547</v>
      </c>
      <c r="Q579" s="2">
        <f t="shared" si="57"/>
        <v>15.209375</v>
      </c>
      <c r="R579" s="2">
        <f t="shared" si="58"/>
        <v>60.837499999999999</v>
      </c>
      <c r="S579" s="2">
        <f t="shared" si="59"/>
        <v>8.1158824738031647</v>
      </c>
    </row>
    <row r="580" spans="1:19" hidden="1">
      <c r="A580" t="s">
        <v>633</v>
      </c>
      <c r="B580" t="s">
        <v>30</v>
      </c>
      <c r="C580">
        <v>85</v>
      </c>
      <c r="D580">
        <v>5341</v>
      </c>
      <c r="E580" s="2">
        <v>249.64</v>
      </c>
      <c r="F580">
        <v>21</v>
      </c>
      <c r="G580">
        <v>6</v>
      </c>
      <c r="H580">
        <v>3.2000000000000001E-2</v>
      </c>
      <c r="I580" s="3">
        <v>1388</v>
      </c>
      <c r="J580" s="1">
        <v>45606</v>
      </c>
      <c r="K580" t="s">
        <v>31</v>
      </c>
      <c r="L580" t="s">
        <v>8</v>
      </c>
      <c r="M580" t="s">
        <v>41</v>
      </c>
      <c r="N580" s="1">
        <f t="shared" si="54"/>
        <v>45606</v>
      </c>
      <c r="O580" s="4">
        <f t="shared" si="55"/>
        <v>1.5914622729825877E-2</v>
      </c>
      <c r="P580">
        <f t="shared" si="56"/>
        <v>2.9369411764705879</v>
      </c>
      <c r="Q580" s="2">
        <f t="shared" si="57"/>
        <v>11.887619047619047</v>
      </c>
      <c r="R580" s="2">
        <f t="shared" si="58"/>
        <v>41.606666666666662</v>
      </c>
      <c r="S580" s="2">
        <f t="shared" si="59"/>
        <v>5.5600064092292909</v>
      </c>
    </row>
    <row r="581" spans="1:19">
      <c r="A581" t="s">
        <v>634</v>
      </c>
      <c r="B581" t="s">
        <v>30</v>
      </c>
      <c r="C581">
        <v>92</v>
      </c>
      <c r="D581">
        <v>4327</v>
      </c>
      <c r="E581" s="2">
        <v>188.6</v>
      </c>
      <c r="F581">
        <v>14</v>
      </c>
      <c r="G581">
        <v>7</v>
      </c>
      <c r="H581">
        <v>4.5999999999999999E-2</v>
      </c>
      <c r="I581" s="3">
        <v>1140</v>
      </c>
      <c r="J581" s="1">
        <v>45618</v>
      </c>
      <c r="K581" t="s">
        <v>31</v>
      </c>
      <c r="L581" t="s">
        <v>9</v>
      </c>
      <c r="M581" t="s">
        <v>39</v>
      </c>
      <c r="N581" s="1">
        <f t="shared" si="54"/>
        <v>45618</v>
      </c>
      <c r="O581" s="4">
        <f t="shared" si="55"/>
        <v>2.1261844233880285E-2</v>
      </c>
      <c r="P581">
        <f t="shared" si="56"/>
        <v>2.0499999999999998</v>
      </c>
      <c r="Q581" s="2">
        <f t="shared" si="57"/>
        <v>13.471428571428572</v>
      </c>
      <c r="R581" s="2">
        <f t="shared" si="58"/>
        <v>26.942857142857143</v>
      </c>
      <c r="S581" s="2">
        <f t="shared" si="59"/>
        <v>6.0445387062566276</v>
      </c>
    </row>
    <row r="582" spans="1:19" hidden="1">
      <c r="A582" t="s">
        <v>635</v>
      </c>
      <c r="B582" t="s">
        <v>30</v>
      </c>
      <c r="C582">
        <v>192</v>
      </c>
      <c r="D582">
        <v>4518.5</v>
      </c>
      <c r="E582" s="2">
        <v>180.82</v>
      </c>
      <c r="F582">
        <v>27</v>
      </c>
      <c r="G582">
        <v>4</v>
      </c>
      <c r="H582">
        <v>2.1000000000000001E-2</v>
      </c>
      <c r="I582" s="3">
        <v>1847</v>
      </c>
      <c r="J582" s="1">
        <v>45546</v>
      </c>
      <c r="K582" t="s">
        <v>31</v>
      </c>
      <c r="L582" t="s">
        <v>8</v>
      </c>
      <c r="M582" t="s">
        <v>39</v>
      </c>
      <c r="N582" s="1">
        <f t="shared" si="54"/>
        <v>45546</v>
      </c>
      <c r="O582" s="4">
        <f t="shared" si="55"/>
        <v>4.2491977426136994E-2</v>
      </c>
      <c r="P582">
        <f t="shared" si="56"/>
        <v>0.94177083333333333</v>
      </c>
      <c r="Q582" s="2">
        <f t="shared" si="57"/>
        <v>6.6970370370370365</v>
      </c>
      <c r="R582" s="2">
        <f t="shared" si="58"/>
        <v>45.204999999999998</v>
      </c>
      <c r="S582" s="2">
        <f t="shared" si="59"/>
        <v>10.214578033403384</v>
      </c>
    </row>
    <row r="583" spans="1:19" hidden="1">
      <c r="A583" t="s">
        <v>636</v>
      </c>
      <c r="B583" t="s">
        <v>30</v>
      </c>
      <c r="C583">
        <v>146</v>
      </c>
      <c r="D583">
        <v>4484</v>
      </c>
      <c r="E583" s="2">
        <v>194.67</v>
      </c>
      <c r="F583">
        <v>27</v>
      </c>
      <c r="G583">
        <v>9</v>
      </c>
      <c r="H583">
        <v>5.1999999999999998E-2</v>
      </c>
      <c r="I583" s="3">
        <v>1234</v>
      </c>
      <c r="J583" s="1">
        <v>45598</v>
      </c>
      <c r="K583" t="s">
        <v>31</v>
      </c>
      <c r="L583" t="s">
        <v>9</v>
      </c>
      <c r="M583" t="s">
        <v>39</v>
      </c>
      <c r="N583" s="1">
        <f t="shared" si="54"/>
        <v>45598</v>
      </c>
      <c r="O583" s="4">
        <f t="shared" si="55"/>
        <v>3.2560214094558428E-2</v>
      </c>
      <c r="P583">
        <f t="shared" si="56"/>
        <v>1.3333561643835616</v>
      </c>
      <c r="Q583" s="2">
        <f t="shared" si="57"/>
        <v>7.21</v>
      </c>
      <c r="R583" s="2">
        <f t="shared" si="58"/>
        <v>21.63</v>
      </c>
      <c r="S583" s="2">
        <f t="shared" si="59"/>
        <v>6.3389325525247857</v>
      </c>
    </row>
    <row r="584" spans="1:19" hidden="1">
      <c r="A584" t="s">
        <v>637</v>
      </c>
      <c r="B584" t="s">
        <v>30</v>
      </c>
      <c r="C584">
        <v>178</v>
      </c>
      <c r="D584">
        <v>4311</v>
      </c>
      <c r="E584" s="2">
        <v>205.46</v>
      </c>
      <c r="F584">
        <v>18</v>
      </c>
      <c r="G584">
        <v>4</v>
      </c>
      <c r="H584">
        <v>2.1999999999999999E-2</v>
      </c>
      <c r="I584" s="3">
        <v>1671</v>
      </c>
      <c r="J584" s="1">
        <v>45614</v>
      </c>
      <c r="K584" t="s">
        <v>31</v>
      </c>
      <c r="L584" t="s">
        <v>9</v>
      </c>
      <c r="M584" t="s">
        <v>46</v>
      </c>
      <c r="N584" s="1">
        <f t="shared" si="54"/>
        <v>45614</v>
      </c>
      <c r="O584" s="4">
        <f t="shared" si="55"/>
        <v>4.1289723961957785E-2</v>
      </c>
      <c r="P584">
        <f t="shared" si="56"/>
        <v>1.1542696629213482</v>
      </c>
      <c r="Q584" s="2">
        <f t="shared" si="57"/>
        <v>11.414444444444445</v>
      </c>
      <c r="R584" s="2">
        <f t="shared" si="58"/>
        <v>51.365000000000002</v>
      </c>
      <c r="S584" s="2">
        <f t="shared" si="59"/>
        <v>8.1329699211525348</v>
      </c>
    </row>
    <row r="585" spans="1:19" hidden="1">
      <c r="A585" t="s">
        <v>638</v>
      </c>
      <c r="B585" t="s">
        <v>30</v>
      </c>
      <c r="C585">
        <v>197</v>
      </c>
      <c r="D585">
        <v>3009</v>
      </c>
      <c r="E585" s="2">
        <v>233.44</v>
      </c>
      <c r="F585">
        <v>22</v>
      </c>
      <c r="G585">
        <v>9</v>
      </c>
      <c r="H585">
        <v>4.5999999999999999E-2</v>
      </c>
      <c r="I585" s="3">
        <v>1374</v>
      </c>
      <c r="J585" s="1" t="s">
        <v>105</v>
      </c>
      <c r="K585" t="s">
        <v>31</v>
      </c>
      <c r="L585" t="s">
        <v>9</v>
      </c>
      <c r="M585" t="s">
        <v>46</v>
      </c>
      <c r="N585" s="1">
        <f t="shared" si="54"/>
        <v>45614</v>
      </c>
      <c r="O585" s="4">
        <f t="shared" si="55"/>
        <v>6.5470255898969751E-2</v>
      </c>
      <c r="P585">
        <f t="shared" si="56"/>
        <v>1.18497461928934</v>
      </c>
      <c r="Q585" s="2">
        <f t="shared" si="57"/>
        <v>10.610909090909091</v>
      </c>
      <c r="R585" s="2">
        <f t="shared" si="58"/>
        <v>25.937777777777779</v>
      </c>
      <c r="S585" s="2">
        <f t="shared" si="59"/>
        <v>5.885880740233036</v>
      </c>
    </row>
    <row r="586" spans="1:19" hidden="1">
      <c r="A586" t="s">
        <v>639</v>
      </c>
      <c r="B586" t="s">
        <v>30</v>
      </c>
      <c r="C586">
        <v>176</v>
      </c>
      <c r="D586">
        <v>3110</v>
      </c>
      <c r="E586" s="2">
        <v>205.23</v>
      </c>
      <c r="F586">
        <v>23</v>
      </c>
      <c r="G586">
        <v>5</v>
      </c>
      <c r="H586">
        <v>2.8000000000000001E-2</v>
      </c>
      <c r="I586" s="3">
        <v>1746</v>
      </c>
      <c r="J586" s="1">
        <v>45615</v>
      </c>
      <c r="K586" t="s">
        <v>31</v>
      </c>
      <c r="L586" t="s">
        <v>7</v>
      </c>
      <c r="M586" t="s">
        <v>41</v>
      </c>
      <c r="N586" s="1">
        <f t="shared" si="54"/>
        <v>45615</v>
      </c>
      <c r="O586" s="4">
        <f t="shared" si="55"/>
        <v>5.6591639871382639E-2</v>
      </c>
      <c r="P586">
        <f t="shared" si="56"/>
        <v>1.1660795454545454</v>
      </c>
      <c r="Q586" s="2">
        <f t="shared" si="57"/>
        <v>8.923043478260869</v>
      </c>
      <c r="R586" s="2">
        <f t="shared" si="58"/>
        <v>41.045999999999999</v>
      </c>
      <c r="S586" s="2">
        <f t="shared" si="59"/>
        <v>8.5075281391609412</v>
      </c>
    </row>
    <row r="587" spans="1:19">
      <c r="A587" t="s">
        <v>640</v>
      </c>
      <c r="B587" t="s">
        <v>30</v>
      </c>
      <c r="C587">
        <v>98</v>
      </c>
      <c r="D587">
        <v>3365</v>
      </c>
      <c r="E587" s="2">
        <v>224.28</v>
      </c>
      <c r="F587">
        <v>27</v>
      </c>
      <c r="G587">
        <v>9</v>
      </c>
      <c r="H587">
        <v>4.5999999999999999E-2</v>
      </c>
      <c r="I587" s="3">
        <v>1108</v>
      </c>
      <c r="J587" s="1" t="s">
        <v>115</v>
      </c>
      <c r="K587" t="s">
        <v>31</v>
      </c>
      <c r="L587" t="s">
        <v>7</v>
      </c>
      <c r="M587" t="s">
        <v>39</v>
      </c>
      <c r="N587" s="1">
        <f t="shared" si="54"/>
        <v>45623</v>
      </c>
      <c r="O587" s="4">
        <f t="shared" si="55"/>
        <v>2.912332838038633E-2</v>
      </c>
      <c r="P587">
        <f t="shared" si="56"/>
        <v>2.2885714285714287</v>
      </c>
      <c r="Q587" s="2">
        <f t="shared" si="57"/>
        <v>8.3066666666666666</v>
      </c>
      <c r="R587" s="2">
        <f t="shared" si="58"/>
        <v>24.92</v>
      </c>
      <c r="S587" s="2">
        <f t="shared" si="59"/>
        <v>4.9402532548599964</v>
      </c>
    </row>
    <row r="588" spans="1:19" hidden="1">
      <c r="A588" t="s">
        <v>641</v>
      </c>
      <c r="B588" t="s">
        <v>30</v>
      </c>
      <c r="C588">
        <v>105</v>
      </c>
      <c r="D588">
        <v>3274</v>
      </c>
      <c r="E588" s="2">
        <v>187.89</v>
      </c>
      <c r="F588">
        <v>24</v>
      </c>
      <c r="G588">
        <v>4</v>
      </c>
      <c r="H588">
        <v>3.7999999999999999E-2</v>
      </c>
      <c r="I588" s="3">
        <v>1360</v>
      </c>
      <c r="J588" s="1">
        <v>45605</v>
      </c>
      <c r="K588" t="s">
        <v>31</v>
      </c>
      <c r="L588" t="s">
        <v>7</v>
      </c>
      <c r="M588" t="s">
        <v>32</v>
      </c>
      <c r="N588" s="1">
        <f t="shared" si="54"/>
        <v>45605</v>
      </c>
      <c r="O588" s="4">
        <f t="shared" si="55"/>
        <v>3.2070861331704337E-2</v>
      </c>
      <c r="P588">
        <f t="shared" si="56"/>
        <v>1.7894285714285714</v>
      </c>
      <c r="Q588" s="2">
        <f t="shared" si="57"/>
        <v>7.8287499999999994</v>
      </c>
      <c r="R588" s="2">
        <f t="shared" si="58"/>
        <v>46.972499999999997</v>
      </c>
      <c r="S588" s="2">
        <f t="shared" si="59"/>
        <v>7.2382777156847098</v>
      </c>
    </row>
    <row r="589" spans="1:19" hidden="1">
      <c r="A589" t="s">
        <v>642</v>
      </c>
      <c r="B589" t="s">
        <v>30</v>
      </c>
      <c r="C589">
        <v>113</v>
      </c>
      <c r="D589">
        <v>3231</v>
      </c>
      <c r="E589" s="2">
        <v>210.13</v>
      </c>
      <c r="F589">
        <v>19</v>
      </c>
      <c r="G589">
        <v>10</v>
      </c>
      <c r="H589">
        <v>4.1000000000000002E-2</v>
      </c>
      <c r="I589" s="3">
        <v>1234</v>
      </c>
      <c r="J589" s="1">
        <v>45611</v>
      </c>
      <c r="K589" t="s">
        <v>31</v>
      </c>
      <c r="L589" t="s">
        <v>7</v>
      </c>
      <c r="M589" t="s">
        <v>41</v>
      </c>
      <c r="N589" s="1">
        <f t="shared" si="54"/>
        <v>45611</v>
      </c>
      <c r="O589" s="4">
        <f t="shared" si="55"/>
        <v>3.4973692355307957E-2</v>
      </c>
      <c r="P589">
        <f t="shared" si="56"/>
        <v>1.8595575221238938</v>
      </c>
      <c r="Q589" s="2">
        <f t="shared" si="57"/>
        <v>11.059473684210525</v>
      </c>
      <c r="R589" s="2">
        <f t="shared" si="58"/>
        <v>21.012999999999998</v>
      </c>
      <c r="S589" s="2">
        <f t="shared" si="59"/>
        <v>5.8725550849474137</v>
      </c>
    </row>
    <row r="590" spans="1:19">
      <c r="A590" t="s">
        <v>643</v>
      </c>
      <c r="B590" t="s">
        <v>30</v>
      </c>
      <c r="C590">
        <v>139</v>
      </c>
      <c r="D590">
        <v>3440</v>
      </c>
      <c r="E590" s="2">
        <v>246.53</v>
      </c>
      <c r="F590">
        <v>13</v>
      </c>
      <c r="G590">
        <v>10</v>
      </c>
      <c r="H590">
        <v>4.5999999999999999E-2</v>
      </c>
      <c r="I590" s="3">
        <v>1217</v>
      </c>
      <c r="J590" s="1" t="s">
        <v>115</v>
      </c>
      <c r="K590" t="s">
        <v>31</v>
      </c>
      <c r="L590" t="s">
        <v>9</v>
      </c>
      <c r="M590" t="s">
        <v>41</v>
      </c>
      <c r="N590" s="1">
        <f t="shared" si="54"/>
        <v>45623</v>
      </c>
      <c r="O590" s="4">
        <f t="shared" si="55"/>
        <v>4.0406976744186043E-2</v>
      </c>
      <c r="P590">
        <f t="shared" si="56"/>
        <v>1.7735971223021583</v>
      </c>
      <c r="Q590" s="2">
        <f t="shared" si="57"/>
        <v>18.963846153846156</v>
      </c>
      <c r="R590" s="2">
        <f t="shared" si="58"/>
        <v>24.652999999999999</v>
      </c>
      <c r="S590" s="2">
        <f t="shared" si="59"/>
        <v>4.9365188820833161</v>
      </c>
    </row>
    <row r="591" spans="1:19" hidden="1">
      <c r="A591" t="s">
        <v>644</v>
      </c>
      <c r="B591" t="s">
        <v>30</v>
      </c>
      <c r="C591">
        <v>88</v>
      </c>
      <c r="D591">
        <v>5196</v>
      </c>
      <c r="E591" s="2">
        <v>197.32</v>
      </c>
      <c r="F591">
        <v>26</v>
      </c>
      <c r="G591">
        <v>5</v>
      </c>
      <c r="H591">
        <v>5.7000000000000002E-2</v>
      </c>
      <c r="I591" s="3">
        <v>1438</v>
      </c>
      <c r="J591" s="1">
        <v>45599</v>
      </c>
      <c r="K591" t="s">
        <v>31</v>
      </c>
      <c r="L591" t="s">
        <v>7</v>
      </c>
      <c r="M591" t="s">
        <v>41</v>
      </c>
      <c r="N591" s="1">
        <f t="shared" si="54"/>
        <v>45599</v>
      </c>
      <c r="O591" s="4">
        <f t="shared" si="55"/>
        <v>1.6936104695919937E-2</v>
      </c>
      <c r="P591">
        <f t="shared" si="56"/>
        <v>2.2422727272727272</v>
      </c>
      <c r="Q591" s="2">
        <f t="shared" si="57"/>
        <v>7.5892307692307686</v>
      </c>
      <c r="R591" s="2">
        <f t="shared" si="58"/>
        <v>39.463999999999999</v>
      </c>
      <c r="S591" s="2">
        <f t="shared" si="59"/>
        <v>7.2876545712548149</v>
      </c>
    </row>
    <row r="592" spans="1:19" hidden="1">
      <c r="A592" t="s">
        <v>645</v>
      </c>
      <c r="B592" t="s">
        <v>30</v>
      </c>
      <c r="C592">
        <v>106</v>
      </c>
      <c r="D592">
        <v>5321</v>
      </c>
      <c r="E592" s="2">
        <v>239.76</v>
      </c>
      <c r="F592">
        <v>11</v>
      </c>
      <c r="G592">
        <v>7</v>
      </c>
      <c r="H592">
        <v>6.6000000000000003E-2</v>
      </c>
      <c r="I592" s="3">
        <v>1910</v>
      </c>
      <c r="J592" s="1" t="s">
        <v>167</v>
      </c>
      <c r="K592" t="s">
        <v>31</v>
      </c>
      <c r="L592" t="s">
        <v>7</v>
      </c>
      <c r="M592" t="s">
        <v>39</v>
      </c>
      <c r="N592" s="1">
        <f t="shared" si="54"/>
        <v>45620</v>
      </c>
      <c r="O592" s="4">
        <f t="shared" si="55"/>
        <v>1.9921067468520955E-2</v>
      </c>
      <c r="P592">
        <f t="shared" si="56"/>
        <v>2.2618867924528301</v>
      </c>
      <c r="Q592" s="2">
        <f t="shared" si="57"/>
        <v>21.796363636363637</v>
      </c>
      <c r="R592" s="2">
        <f t="shared" si="58"/>
        <v>34.251428571428569</v>
      </c>
      <c r="S592" s="2">
        <f t="shared" si="59"/>
        <v>7.9662996329663001</v>
      </c>
    </row>
    <row r="593" spans="1:19" hidden="1">
      <c r="A593" t="s">
        <v>646</v>
      </c>
      <c r="B593" t="s">
        <v>30</v>
      </c>
      <c r="C593">
        <v>148</v>
      </c>
      <c r="D593">
        <v>5841</v>
      </c>
      <c r="E593" s="2">
        <v>243.09</v>
      </c>
      <c r="F593">
        <v>15</v>
      </c>
      <c r="G593">
        <v>7</v>
      </c>
      <c r="H593">
        <v>4.7E-2</v>
      </c>
      <c r="I593" s="3">
        <v>1535</v>
      </c>
      <c r="J593" s="1" t="s">
        <v>86</v>
      </c>
      <c r="K593" t="s">
        <v>31</v>
      </c>
      <c r="L593" t="s">
        <v>8</v>
      </c>
      <c r="M593" t="s">
        <v>37</v>
      </c>
      <c r="N593" s="1">
        <f t="shared" si="54"/>
        <v>45625</v>
      </c>
      <c r="O593" s="4">
        <f t="shared" si="55"/>
        <v>2.5338127033042286E-2</v>
      </c>
      <c r="P593">
        <f t="shared" si="56"/>
        <v>1.6425000000000001</v>
      </c>
      <c r="Q593" s="2">
        <f t="shared" si="57"/>
        <v>16.206</v>
      </c>
      <c r="R593" s="2">
        <f t="shared" si="58"/>
        <v>34.727142857142859</v>
      </c>
      <c r="S593" s="2">
        <f t="shared" si="59"/>
        <v>6.3145337117939855</v>
      </c>
    </row>
    <row r="594" spans="1:19" hidden="1">
      <c r="A594" t="s">
        <v>647</v>
      </c>
      <c r="B594" t="s">
        <v>30</v>
      </c>
      <c r="C594">
        <v>174</v>
      </c>
      <c r="D594">
        <v>4518.5</v>
      </c>
      <c r="E594" s="2">
        <v>227.96</v>
      </c>
      <c r="F594">
        <v>25</v>
      </c>
      <c r="G594">
        <v>5</v>
      </c>
      <c r="H594">
        <v>2.9000000000000001E-2</v>
      </c>
      <c r="I594" s="3">
        <v>1566</v>
      </c>
      <c r="J594" s="1">
        <v>45611</v>
      </c>
      <c r="K594" t="s">
        <v>31</v>
      </c>
      <c r="L594" t="s">
        <v>9</v>
      </c>
      <c r="M594" t="s">
        <v>41</v>
      </c>
      <c r="N594" s="1">
        <f t="shared" si="54"/>
        <v>45611</v>
      </c>
      <c r="O594" s="4">
        <f t="shared" si="55"/>
        <v>3.8508354542436653E-2</v>
      </c>
      <c r="P594">
        <f t="shared" si="56"/>
        <v>1.3101149425287357</v>
      </c>
      <c r="Q594" s="2">
        <f t="shared" si="57"/>
        <v>9.1184000000000012</v>
      </c>
      <c r="R594" s="2">
        <f t="shared" si="58"/>
        <v>45.591999999999999</v>
      </c>
      <c r="S594" s="2">
        <f t="shared" si="59"/>
        <v>6.8696262502193361</v>
      </c>
    </row>
    <row r="595" spans="1:19" hidden="1">
      <c r="A595" t="s">
        <v>648</v>
      </c>
      <c r="B595" t="s">
        <v>30</v>
      </c>
      <c r="C595">
        <v>196</v>
      </c>
      <c r="D595">
        <v>5776</v>
      </c>
      <c r="E595" s="2">
        <v>227.24</v>
      </c>
      <c r="F595">
        <v>30</v>
      </c>
      <c r="G595">
        <v>4</v>
      </c>
      <c r="H595">
        <v>0.02</v>
      </c>
      <c r="I595" s="3">
        <v>1505</v>
      </c>
      <c r="J595" s="1">
        <v>45393</v>
      </c>
      <c r="K595" t="s">
        <v>31</v>
      </c>
      <c r="L595" t="s">
        <v>8</v>
      </c>
      <c r="M595" t="s">
        <v>39</v>
      </c>
      <c r="N595" s="1">
        <f t="shared" si="54"/>
        <v>45393</v>
      </c>
      <c r="O595" s="4">
        <f t="shared" si="55"/>
        <v>3.3933518005540168E-2</v>
      </c>
      <c r="P595">
        <f t="shared" si="56"/>
        <v>1.1593877551020408</v>
      </c>
      <c r="Q595" s="2">
        <f t="shared" si="57"/>
        <v>7.5746666666666673</v>
      </c>
      <c r="R595" s="2">
        <f t="shared" si="58"/>
        <v>56.81</v>
      </c>
      <c r="S595" s="2">
        <f t="shared" si="59"/>
        <v>6.6229537053335674</v>
      </c>
    </row>
    <row r="596" spans="1:19" hidden="1">
      <c r="A596" t="s">
        <v>649</v>
      </c>
      <c r="B596" t="s">
        <v>30</v>
      </c>
      <c r="C596">
        <v>128</v>
      </c>
      <c r="D596">
        <v>4729</v>
      </c>
      <c r="E596" s="2">
        <v>243.45</v>
      </c>
      <c r="F596">
        <v>25</v>
      </c>
      <c r="G596">
        <v>9</v>
      </c>
      <c r="H596">
        <v>3.1E-2</v>
      </c>
      <c r="I596" s="3">
        <v>1782</v>
      </c>
      <c r="J596" s="1">
        <v>45619</v>
      </c>
      <c r="K596" t="s">
        <v>31</v>
      </c>
      <c r="L596" t="s">
        <v>7</v>
      </c>
      <c r="M596" t="s">
        <v>32</v>
      </c>
      <c r="N596" s="1">
        <f t="shared" si="54"/>
        <v>45619</v>
      </c>
      <c r="O596" s="4">
        <f t="shared" si="55"/>
        <v>2.7067033199407908E-2</v>
      </c>
      <c r="P596">
        <f t="shared" si="56"/>
        <v>1.9019531249999999</v>
      </c>
      <c r="Q596" s="2">
        <f t="shared" si="57"/>
        <v>9.7379999999999995</v>
      </c>
      <c r="R596" s="2">
        <f t="shared" si="58"/>
        <v>27.049999999999997</v>
      </c>
      <c r="S596" s="2">
        <f t="shared" si="59"/>
        <v>7.3197781885397415</v>
      </c>
    </row>
    <row r="597" spans="1:19" hidden="1">
      <c r="A597" t="s">
        <v>650</v>
      </c>
      <c r="B597" t="s">
        <v>30</v>
      </c>
      <c r="C597">
        <v>163</v>
      </c>
      <c r="D597">
        <v>5371</v>
      </c>
      <c r="E597" s="2">
        <v>215.89</v>
      </c>
      <c r="F597">
        <v>29</v>
      </c>
      <c r="G597">
        <v>7</v>
      </c>
      <c r="H597">
        <v>4.2999999999999997E-2</v>
      </c>
      <c r="I597" s="3">
        <v>1906</v>
      </c>
      <c r="J597" s="1">
        <v>45601</v>
      </c>
      <c r="K597" t="s">
        <v>31</v>
      </c>
      <c r="L597" t="s">
        <v>9</v>
      </c>
      <c r="M597" t="s">
        <v>35</v>
      </c>
      <c r="N597" s="1">
        <f t="shared" si="54"/>
        <v>45601</v>
      </c>
      <c r="O597" s="4">
        <f t="shared" si="55"/>
        <v>3.0348166077080619E-2</v>
      </c>
      <c r="P597">
        <f t="shared" si="56"/>
        <v>1.3244785276073618</v>
      </c>
      <c r="Q597" s="2">
        <f t="shared" si="57"/>
        <v>7.4444827586206888</v>
      </c>
      <c r="R597" s="2">
        <f t="shared" si="58"/>
        <v>30.841428571428569</v>
      </c>
      <c r="S597" s="2">
        <f t="shared" si="59"/>
        <v>8.8285701051461398</v>
      </c>
    </row>
    <row r="598" spans="1:19" hidden="1">
      <c r="A598" t="s">
        <v>651</v>
      </c>
      <c r="B598" t="s">
        <v>30</v>
      </c>
      <c r="C598">
        <v>183</v>
      </c>
      <c r="D598">
        <v>5268</v>
      </c>
      <c r="E598" s="2">
        <v>203.65</v>
      </c>
      <c r="F598">
        <v>17</v>
      </c>
      <c r="G598">
        <v>5</v>
      </c>
      <c r="H598">
        <v>2.7E-2</v>
      </c>
      <c r="I598" s="3">
        <v>1731</v>
      </c>
      <c r="J598" s="1">
        <v>45608</v>
      </c>
      <c r="K598" t="s">
        <v>31</v>
      </c>
      <c r="L598" t="s">
        <v>8</v>
      </c>
      <c r="M598" t="s">
        <v>32</v>
      </c>
      <c r="N598" s="1">
        <f t="shared" si="54"/>
        <v>45608</v>
      </c>
      <c r="O598" s="4">
        <f t="shared" si="55"/>
        <v>3.4738041002277904E-2</v>
      </c>
      <c r="P598">
        <f t="shared" si="56"/>
        <v>1.1128415300546448</v>
      </c>
      <c r="Q598" s="2">
        <f t="shared" si="57"/>
        <v>11.979411764705883</v>
      </c>
      <c r="R598" s="2">
        <f t="shared" si="58"/>
        <v>40.730000000000004</v>
      </c>
      <c r="S598" s="2">
        <f t="shared" si="59"/>
        <v>8.499877240363368</v>
      </c>
    </row>
    <row r="599" spans="1:19" hidden="1">
      <c r="A599" t="s">
        <v>652</v>
      </c>
      <c r="B599" t="s">
        <v>30</v>
      </c>
      <c r="C599">
        <v>196</v>
      </c>
      <c r="D599">
        <v>5386</v>
      </c>
      <c r="E599" s="2">
        <v>224.31</v>
      </c>
      <c r="F599">
        <v>23</v>
      </c>
      <c r="G599">
        <v>4</v>
      </c>
      <c r="H599">
        <v>0.02</v>
      </c>
      <c r="I599" s="3">
        <v>1423</v>
      </c>
      <c r="J599" s="1">
        <v>45626</v>
      </c>
      <c r="K599" t="s">
        <v>31</v>
      </c>
      <c r="L599" t="s">
        <v>9</v>
      </c>
      <c r="M599" t="s">
        <v>32</v>
      </c>
      <c r="N599" s="1">
        <f t="shared" si="54"/>
        <v>45626</v>
      </c>
      <c r="O599" s="4">
        <f t="shared" si="55"/>
        <v>3.6390642406238398E-2</v>
      </c>
      <c r="P599">
        <f t="shared" si="56"/>
        <v>1.1444387755102041</v>
      </c>
      <c r="Q599" s="2">
        <f t="shared" si="57"/>
        <v>9.7526086956521745</v>
      </c>
      <c r="R599" s="2">
        <f t="shared" si="58"/>
        <v>56.077500000000001</v>
      </c>
      <c r="S599" s="2">
        <f t="shared" si="59"/>
        <v>6.3438990682537559</v>
      </c>
    </row>
    <row r="600" spans="1:19">
      <c r="A600" t="s">
        <v>653</v>
      </c>
      <c r="B600" t="s">
        <v>30</v>
      </c>
      <c r="C600">
        <v>121</v>
      </c>
      <c r="D600">
        <v>4432</v>
      </c>
      <c r="E600" s="2">
        <v>218.71</v>
      </c>
      <c r="F600">
        <v>25</v>
      </c>
      <c r="G600">
        <v>10</v>
      </c>
      <c r="H600">
        <v>4.5999999999999999E-2</v>
      </c>
      <c r="I600" s="3">
        <v>1568</v>
      </c>
      <c r="J600" s="1">
        <v>45609</v>
      </c>
      <c r="K600" t="s">
        <v>31</v>
      </c>
      <c r="L600" t="s">
        <v>7</v>
      </c>
      <c r="M600" t="s">
        <v>46</v>
      </c>
      <c r="N600" s="1">
        <f t="shared" si="54"/>
        <v>45609</v>
      </c>
      <c r="O600" s="4">
        <f t="shared" si="55"/>
        <v>2.7301444043321299E-2</v>
      </c>
      <c r="P600">
        <f t="shared" si="56"/>
        <v>1.8075206611570249</v>
      </c>
      <c r="Q600" s="2">
        <f t="shared" si="57"/>
        <v>8.7484000000000002</v>
      </c>
      <c r="R600" s="2">
        <f t="shared" si="58"/>
        <v>21.871000000000002</v>
      </c>
      <c r="S600" s="2">
        <f t="shared" si="59"/>
        <v>7.1693109597183486</v>
      </c>
    </row>
    <row r="601" spans="1:19" hidden="1">
      <c r="A601" t="s">
        <v>654</v>
      </c>
      <c r="B601" t="s">
        <v>30</v>
      </c>
      <c r="C601">
        <v>174</v>
      </c>
      <c r="D601">
        <v>3031</v>
      </c>
      <c r="E601" s="2">
        <v>242.32</v>
      </c>
      <c r="F601">
        <v>25</v>
      </c>
      <c r="G601">
        <v>6</v>
      </c>
      <c r="H601">
        <v>3.4000000000000002E-2</v>
      </c>
      <c r="I601" s="3">
        <v>1381</v>
      </c>
      <c r="J601" s="1">
        <v>45604</v>
      </c>
      <c r="K601" t="s">
        <v>31</v>
      </c>
      <c r="L601" t="s">
        <v>8</v>
      </c>
      <c r="M601" t="s">
        <v>41</v>
      </c>
      <c r="N601" s="1">
        <f t="shared" si="54"/>
        <v>45604</v>
      </c>
      <c r="O601" s="4">
        <f t="shared" si="55"/>
        <v>5.7406796436819535E-2</v>
      </c>
      <c r="P601">
        <f t="shared" si="56"/>
        <v>1.3926436781609195</v>
      </c>
      <c r="Q601" s="2">
        <f t="shared" si="57"/>
        <v>9.6928000000000001</v>
      </c>
      <c r="R601" s="2">
        <f t="shared" si="58"/>
        <v>40.386666666666663</v>
      </c>
      <c r="S601" s="2">
        <f t="shared" si="59"/>
        <v>5.6990756025090787</v>
      </c>
    </row>
    <row r="602" spans="1:19">
      <c r="A602" t="s">
        <v>655</v>
      </c>
      <c r="B602" t="s">
        <v>30</v>
      </c>
      <c r="C602">
        <v>142</v>
      </c>
      <c r="D602">
        <v>5999</v>
      </c>
      <c r="E602" s="2">
        <v>214.05</v>
      </c>
      <c r="F602">
        <v>27</v>
      </c>
      <c r="G602">
        <v>7</v>
      </c>
      <c r="H602">
        <v>4.5999999999999999E-2</v>
      </c>
      <c r="I602" s="3">
        <v>1064</v>
      </c>
      <c r="J602" s="1">
        <v>45617</v>
      </c>
      <c r="K602" t="s">
        <v>31</v>
      </c>
      <c r="L602" t="s">
        <v>7</v>
      </c>
      <c r="M602" t="s">
        <v>46</v>
      </c>
      <c r="N602" s="1">
        <f t="shared" si="54"/>
        <v>45617</v>
      </c>
      <c r="O602" s="4">
        <f t="shared" si="55"/>
        <v>2.3670611768628103E-2</v>
      </c>
      <c r="P602">
        <f t="shared" si="56"/>
        <v>1.5073943661971831</v>
      </c>
      <c r="Q602" s="2">
        <f t="shared" si="57"/>
        <v>7.927777777777778</v>
      </c>
      <c r="R602" s="2">
        <f t="shared" si="58"/>
        <v>30.578571428571429</v>
      </c>
      <c r="S602" s="2">
        <f t="shared" si="59"/>
        <v>4.9708012146694696</v>
      </c>
    </row>
    <row r="603" spans="1:19" hidden="1">
      <c r="A603" t="s">
        <v>656</v>
      </c>
      <c r="B603" t="s">
        <v>30</v>
      </c>
      <c r="C603">
        <v>118</v>
      </c>
      <c r="D603">
        <v>3274</v>
      </c>
      <c r="E603" s="2">
        <v>222.62</v>
      </c>
      <c r="F603">
        <v>10</v>
      </c>
      <c r="G603">
        <v>3</v>
      </c>
      <c r="H603">
        <v>2.5000000000000001E-2</v>
      </c>
      <c r="I603" s="3">
        <v>1716</v>
      </c>
      <c r="J603" s="1">
        <v>45546</v>
      </c>
      <c r="K603" t="s">
        <v>31</v>
      </c>
      <c r="L603" t="s">
        <v>9</v>
      </c>
      <c r="M603" t="s">
        <v>46</v>
      </c>
      <c r="N603" s="1">
        <f t="shared" si="54"/>
        <v>45546</v>
      </c>
      <c r="O603" s="4">
        <f t="shared" si="55"/>
        <v>3.6041539401343921E-2</v>
      </c>
      <c r="P603">
        <f t="shared" si="56"/>
        <v>1.8866101694915254</v>
      </c>
      <c r="Q603" s="2">
        <f t="shared" si="57"/>
        <v>22.262</v>
      </c>
      <c r="R603" s="2">
        <f t="shared" si="58"/>
        <v>74.206666666666663</v>
      </c>
      <c r="S603" s="2">
        <f t="shared" si="59"/>
        <v>7.7082023178510468</v>
      </c>
    </row>
    <row r="604" spans="1:19" hidden="1">
      <c r="A604" t="s">
        <v>657</v>
      </c>
      <c r="B604" t="s">
        <v>30</v>
      </c>
      <c r="C604">
        <v>118</v>
      </c>
      <c r="D604">
        <v>5889</v>
      </c>
      <c r="E604" s="2">
        <v>193.01</v>
      </c>
      <c r="F604">
        <v>17</v>
      </c>
      <c r="G604">
        <v>10</v>
      </c>
      <c r="H604">
        <v>8.5000000000000006E-2</v>
      </c>
      <c r="I604" s="3">
        <v>1789</v>
      </c>
      <c r="J604" s="1">
        <v>45606</v>
      </c>
      <c r="K604" t="s">
        <v>31</v>
      </c>
      <c r="L604" t="s">
        <v>7</v>
      </c>
      <c r="M604" t="s">
        <v>41</v>
      </c>
      <c r="N604" s="1">
        <f t="shared" si="54"/>
        <v>45606</v>
      </c>
      <c r="O604" s="4">
        <f t="shared" si="55"/>
        <v>2.0037357785702158E-2</v>
      </c>
      <c r="P604">
        <f t="shared" si="56"/>
        <v>1.6356779661016949</v>
      </c>
      <c r="Q604" s="2">
        <f t="shared" si="57"/>
        <v>11.353529411764706</v>
      </c>
      <c r="R604" s="2">
        <f t="shared" si="58"/>
        <v>19.300999999999998</v>
      </c>
      <c r="S604" s="2">
        <f t="shared" si="59"/>
        <v>9.2689497953473925</v>
      </c>
    </row>
    <row r="605" spans="1:19" hidden="1">
      <c r="A605" t="s">
        <v>658</v>
      </c>
      <c r="B605" t="s">
        <v>30</v>
      </c>
      <c r="C605">
        <v>149</v>
      </c>
      <c r="D605">
        <v>5601</v>
      </c>
      <c r="E605" s="2">
        <v>222.01</v>
      </c>
      <c r="F605">
        <v>15</v>
      </c>
      <c r="G605">
        <v>6</v>
      </c>
      <c r="H605">
        <v>0.04</v>
      </c>
      <c r="I605" s="3">
        <v>1514</v>
      </c>
      <c r="J605" s="1" t="s">
        <v>206</v>
      </c>
      <c r="K605" t="s">
        <v>31</v>
      </c>
      <c r="L605" t="s">
        <v>7</v>
      </c>
      <c r="M605" t="s">
        <v>46</v>
      </c>
      <c r="N605" s="1">
        <f t="shared" si="54"/>
        <v>45621</v>
      </c>
      <c r="O605" s="4">
        <f t="shared" si="55"/>
        <v>2.6602392429923228E-2</v>
      </c>
      <c r="P605">
        <f t="shared" si="56"/>
        <v>1.49</v>
      </c>
      <c r="Q605" s="2">
        <f t="shared" si="57"/>
        <v>14.800666666666666</v>
      </c>
      <c r="R605" s="2">
        <f t="shared" si="58"/>
        <v>37.001666666666665</v>
      </c>
      <c r="S605" s="2">
        <f t="shared" si="59"/>
        <v>6.8195126345660109</v>
      </c>
    </row>
    <row r="606" spans="1:19" hidden="1">
      <c r="A606" t="s">
        <v>659</v>
      </c>
      <c r="B606" t="s">
        <v>30</v>
      </c>
      <c r="C606">
        <v>127</v>
      </c>
      <c r="D606">
        <v>4295</v>
      </c>
      <c r="E606" s="2">
        <v>212.6</v>
      </c>
      <c r="F606">
        <v>26</v>
      </c>
      <c r="G606">
        <v>10</v>
      </c>
      <c r="H606">
        <v>7.9000000000000001E-2</v>
      </c>
      <c r="I606" s="3">
        <v>1713</v>
      </c>
      <c r="J606" s="1" t="s">
        <v>348</v>
      </c>
      <c r="K606" t="s">
        <v>31</v>
      </c>
      <c r="L606" t="s">
        <v>9</v>
      </c>
      <c r="M606" t="s">
        <v>35</v>
      </c>
      <c r="N606" s="1">
        <f t="shared" si="54"/>
        <v>45615</v>
      </c>
      <c r="O606" s="4">
        <f t="shared" si="55"/>
        <v>2.9569266589057043E-2</v>
      </c>
      <c r="P606">
        <f t="shared" si="56"/>
        <v>1.6740157480314961</v>
      </c>
      <c r="Q606" s="2">
        <f t="shared" si="57"/>
        <v>8.1769230769230763</v>
      </c>
      <c r="R606" s="2">
        <f t="shared" si="58"/>
        <v>21.259999999999998</v>
      </c>
      <c r="S606" s="2">
        <f t="shared" si="59"/>
        <v>8.057384760112889</v>
      </c>
    </row>
    <row r="607" spans="1:19">
      <c r="A607" t="s">
        <v>660</v>
      </c>
      <c r="B607" t="s">
        <v>30</v>
      </c>
      <c r="C607">
        <v>195</v>
      </c>
      <c r="D607">
        <v>5135</v>
      </c>
      <c r="E607" s="2">
        <v>226.37</v>
      </c>
      <c r="F607">
        <v>17</v>
      </c>
      <c r="G607">
        <v>3</v>
      </c>
      <c r="H607">
        <v>4.5999999999999999E-2</v>
      </c>
      <c r="I607" s="3">
        <v>1505</v>
      </c>
      <c r="J607" s="1">
        <v>45620</v>
      </c>
      <c r="K607" t="s">
        <v>31</v>
      </c>
      <c r="L607" t="s">
        <v>7</v>
      </c>
      <c r="M607" t="s">
        <v>39</v>
      </c>
      <c r="N607" s="1">
        <f t="shared" si="54"/>
        <v>45620</v>
      </c>
      <c r="O607" s="4">
        <f t="shared" si="55"/>
        <v>3.7974683544303799E-2</v>
      </c>
      <c r="P607">
        <f t="shared" si="56"/>
        <v>1.1608717948717948</v>
      </c>
      <c r="Q607" s="2">
        <f t="shared" si="57"/>
        <v>13.315882352941177</v>
      </c>
      <c r="R607" s="2">
        <f t="shared" si="58"/>
        <v>75.456666666666663</v>
      </c>
      <c r="S607" s="2">
        <f t="shared" si="59"/>
        <v>6.6484074744886685</v>
      </c>
    </row>
    <row r="608" spans="1:19">
      <c r="A608" t="s">
        <v>661</v>
      </c>
      <c r="B608" t="s">
        <v>30</v>
      </c>
      <c r="C608">
        <v>173</v>
      </c>
      <c r="D608">
        <v>5233</v>
      </c>
      <c r="E608" s="2">
        <v>229.38</v>
      </c>
      <c r="F608">
        <v>28</v>
      </c>
      <c r="G608">
        <v>7</v>
      </c>
      <c r="H608">
        <v>4.5999999999999999E-2</v>
      </c>
      <c r="I608" s="3">
        <v>1322</v>
      </c>
      <c r="J608" s="1">
        <v>45612</v>
      </c>
      <c r="K608" t="s">
        <v>31</v>
      </c>
      <c r="L608" t="s">
        <v>8</v>
      </c>
      <c r="M608" t="s">
        <v>32</v>
      </c>
      <c r="N608" s="1">
        <f t="shared" si="54"/>
        <v>45612</v>
      </c>
      <c r="O608" s="4">
        <f t="shared" si="55"/>
        <v>3.305943053697688E-2</v>
      </c>
      <c r="P608">
        <f t="shared" si="56"/>
        <v>1.3258959537572255</v>
      </c>
      <c r="Q608" s="2">
        <f t="shared" si="57"/>
        <v>8.1921428571428567</v>
      </c>
      <c r="R608" s="2">
        <f t="shared" si="58"/>
        <v>32.768571428571427</v>
      </c>
      <c r="S608" s="2">
        <f t="shared" si="59"/>
        <v>5.7633621065480867</v>
      </c>
    </row>
    <row r="609" spans="1:19" hidden="1">
      <c r="A609" t="s">
        <v>662</v>
      </c>
      <c r="B609" t="s">
        <v>30</v>
      </c>
      <c r="C609">
        <v>131</v>
      </c>
      <c r="D609">
        <v>5727</v>
      </c>
      <c r="E609" s="2">
        <v>218.65</v>
      </c>
      <c r="F609">
        <v>28</v>
      </c>
      <c r="G609">
        <v>4</v>
      </c>
      <c r="H609">
        <v>3.1E-2</v>
      </c>
      <c r="I609" s="3">
        <v>1631</v>
      </c>
      <c r="J609" s="1">
        <v>45603</v>
      </c>
      <c r="K609" t="s">
        <v>31</v>
      </c>
      <c r="L609" t="s">
        <v>8</v>
      </c>
      <c r="M609" t="s">
        <v>39</v>
      </c>
      <c r="N609" s="1">
        <f t="shared" si="54"/>
        <v>45603</v>
      </c>
      <c r="O609" s="4">
        <f t="shared" si="55"/>
        <v>2.2874105116116639E-2</v>
      </c>
      <c r="P609">
        <f t="shared" si="56"/>
        <v>1.669083969465649</v>
      </c>
      <c r="Q609" s="2">
        <f t="shared" si="57"/>
        <v>7.8089285714285719</v>
      </c>
      <c r="R609" s="2">
        <f t="shared" si="58"/>
        <v>54.662500000000001</v>
      </c>
      <c r="S609" s="2">
        <f t="shared" si="59"/>
        <v>7.4594100160073173</v>
      </c>
    </row>
    <row r="610" spans="1:19" hidden="1">
      <c r="A610" t="s">
        <v>663</v>
      </c>
      <c r="B610" t="s">
        <v>30</v>
      </c>
      <c r="C610">
        <v>105</v>
      </c>
      <c r="D610">
        <v>4691</v>
      </c>
      <c r="E610" s="2">
        <v>213.15</v>
      </c>
      <c r="F610">
        <v>21</v>
      </c>
      <c r="G610">
        <v>3</v>
      </c>
      <c r="H610">
        <v>3.5000000000000003E-2</v>
      </c>
      <c r="I610" s="3">
        <v>1276</v>
      </c>
      <c r="J610" s="1">
        <v>45618</v>
      </c>
      <c r="K610" t="s">
        <v>31</v>
      </c>
      <c r="L610" t="s">
        <v>7</v>
      </c>
      <c r="M610" t="s">
        <v>46</v>
      </c>
      <c r="N610" s="1">
        <f t="shared" si="54"/>
        <v>45618</v>
      </c>
      <c r="O610" s="4">
        <f t="shared" si="55"/>
        <v>2.2383287145597952E-2</v>
      </c>
      <c r="P610">
        <f t="shared" si="56"/>
        <v>2.0300000000000002</v>
      </c>
      <c r="Q610" s="2">
        <f t="shared" si="57"/>
        <v>10.15</v>
      </c>
      <c r="R610" s="2">
        <f t="shared" si="58"/>
        <v>71.05</v>
      </c>
      <c r="S610" s="2">
        <f t="shared" si="59"/>
        <v>5.9863945578231288</v>
      </c>
    </row>
    <row r="611" spans="1:19">
      <c r="A611" t="s">
        <v>664</v>
      </c>
      <c r="B611" t="s">
        <v>30</v>
      </c>
      <c r="C611">
        <v>104</v>
      </c>
      <c r="D611">
        <v>3409</v>
      </c>
      <c r="E611" s="2">
        <v>207.63</v>
      </c>
      <c r="F611">
        <v>19</v>
      </c>
      <c r="G611">
        <v>4</v>
      </c>
      <c r="H611">
        <v>4.5999999999999999E-2</v>
      </c>
      <c r="I611" s="3">
        <v>1195</v>
      </c>
      <c r="J611" s="1">
        <v>45612</v>
      </c>
      <c r="K611" t="s">
        <v>31</v>
      </c>
      <c r="L611" t="s">
        <v>8</v>
      </c>
      <c r="M611" t="s">
        <v>46</v>
      </c>
      <c r="N611" s="1">
        <f t="shared" si="54"/>
        <v>45612</v>
      </c>
      <c r="O611" s="4">
        <f t="shared" si="55"/>
        <v>3.0507480199471988E-2</v>
      </c>
      <c r="P611">
        <f t="shared" si="56"/>
        <v>1.9964423076923077</v>
      </c>
      <c r="Q611" s="2">
        <f t="shared" si="57"/>
        <v>10.927894736842106</v>
      </c>
      <c r="R611" s="2">
        <f t="shared" si="58"/>
        <v>51.907499999999999</v>
      </c>
      <c r="S611" s="2">
        <f t="shared" si="59"/>
        <v>5.7554303328035452</v>
      </c>
    </row>
    <row r="612" spans="1:19" hidden="1">
      <c r="A612" t="s">
        <v>665</v>
      </c>
      <c r="B612" t="s">
        <v>30</v>
      </c>
      <c r="C612">
        <v>139</v>
      </c>
      <c r="D612">
        <v>4333</v>
      </c>
      <c r="E612" s="2">
        <v>230.05</v>
      </c>
      <c r="F612">
        <v>19</v>
      </c>
      <c r="G612">
        <v>6</v>
      </c>
      <c r="H612">
        <v>4.2999999999999997E-2</v>
      </c>
      <c r="I612" s="3">
        <v>1407</v>
      </c>
      <c r="J612" s="1" t="s">
        <v>94</v>
      </c>
      <c r="K612" t="s">
        <v>31</v>
      </c>
      <c r="L612" t="s">
        <v>7</v>
      </c>
      <c r="M612" t="s">
        <v>46</v>
      </c>
      <c r="N612" s="1">
        <f t="shared" si="54"/>
        <v>45617</v>
      </c>
      <c r="O612" s="4">
        <f t="shared" si="55"/>
        <v>3.2079390722363259E-2</v>
      </c>
      <c r="P612">
        <f t="shared" si="56"/>
        <v>1.6550359712230216</v>
      </c>
      <c r="Q612" s="2">
        <f t="shared" si="57"/>
        <v>12.107894736842105</v>
      </c>
      <c r="R612" s="2">
        <f t="shared" si="58"/>
        <v>38.341666666666669</v>
      </c>
      <c r="S612" s="2">
        <f t="shared" si="59"/>
        <v>6.1160617257118011</v>
      </c>
    </row>
    <row r="613" spans="1:19" hidden="1">
      <c r="A613" t="s">
        <v>666</v>
      </c>
      <c r="B613" t="s">
        <v>30</v>
      </c>
      <c r="C613">
        <v>110</v>
      </c>
      <c r="D613">
        <v>4430</v>
      </c>
      <c r="E613" s="2">
        <v>197.84</v>
      </c>
      <c r="F613">
        <v>23</v>
      </c>
      <c r="G613">
        <v>5</v>
      </c>
      <c r="H613">
        <v>4.4999999999999998E-2</v>
      </c>
      <c r="I613" s="3">
        <v>1505</v>
      </c>
      <c r="J613" s="1">
        <v>45611</v>
      </c>
      <c r="K613" t="s">
        <v>31</v>
      </c>
      <c r="L613" t="s">
        <v>8</v>
      </c>
      <c r="M613" t="s">
        <v>32</v>
      </c>
      <c r="N613" s="1">
        <f t="shared" si="54"/>
        <v>45611</v>
      </c>
      <c r="O613" s="4">
        <f t="shared" si="55"/>
        <v>2.4830699774266364E-2</v>
      </c>
      <c r="P613">
        <f t="shared" si="56"/>
        <v>1.7985454545454547</v>
      </c>
      <c r="Q613" s="2">
        <f t="shared" si="57"/>
        <v>8.6017391304347832</v>
      </c>
      <c r="R613" s="2">
        <f t="shared" si="58"/>
        <v>39.567999999999998</v>
      </c>
      <c r="S613" s="2">
        <f t="shared" si="59"/>
        <v>7.6071572988273353</v>
      </c>
    </row>
    <row r="614" spans="1:19" hidden="1">
      <c r="A614" t="s">
        <v>667</v>
      </c>
      <c r="B614" t="s">
        <v>30</v>
      </c>
      <c r="C614">
        <v>193</v>
      </c>
      <c r="D614">
        <v>4860</v>
      </c>
      <c r="E614" s="2">
        <v>181.27</v>
      </c>
      <c r="F614">
        <v>14</v>
      </c>
      <c r="G614">
        <v>5</v>
      </c>
      <c r="H614">
        <v>2.5999999999999999E-2</v>
      </c>
      <c r="I614" s="3">
        <v>1505</v>
      </c>
      <c r="J614" s="1">
        <v>45612</v>
      </c>
      <c r="K614" t="s">
        <v>31</v>
      </c>
      <c r="L614" t="s">
        <v>7</v>
      </c>
      <c r="M614" t="s">
        <v>41</v>
      </c>
      <c r="N614" s="1">
        <f t="shared" si="54"/>
        <v>45612</v>
      </c>
      <c r="O614" s="4">
        <f t="shared" si="55"/>
        <v>3.9711934156378602E-2</v>
      </c>
      <c r="P614">
        <f t="shared" si="56"/>
        <v>0.93922279792746122</v>
      </c>
      <c r="Q614" s="2">
        <f t="shared" si="57"/>
        <v>12.947857142857144</v>
      </c>
      <c r="R614" s="2">
        <f t="shared" si="58"/>
        <v>36.254000000000005</v>
      </c>
      <c r="S614" s="2">
        <f t="shared" si="59"/>
        <v>8.3025321343851708</v>
      </c>
    </row>
    <row r="615" spans="1:19" hidden="1">
      <c r="A615" t="s">
        <v>668</v>
      </c>
      <c r="B615" t="s">
        <v>30</v>
      </c>
      <c r="C615">
        <v>109</v>
      </c>
      <c r="D615">
        <v>4396</v>
      </c>
      <c r="E615" s="2">
        <v>188.6</v>
      </c>
      <c r="F615">
        <v>11</v>
      </c>
      <c r="G615">
        <v>10</v>
      </c>
      <c r="H615">
        <v>9.1999999999999998E-2</v>
      </c>
      <c r="I615" s="3">
        <v>1451</v>
      </c>
      <c r="J615" s="1" t="s">
        <v>105</v>
      </c>
      <c r="K615" t="s">
        <v>31</v>
      </c>
      <c r="L615" t="s">
        <v>8</v>
      </c>
      <c r="M615" t="s">
        <v>39</v>
      </c>
      <c r="N615" s="1">
        <f t="shared" si="54"/>
        <v>45614</v>
      </c>
      <c r="O615" s="4">
        <f t="shared" si="55"/>
        <v>2.4795268425841673E-2</v>
      </c>
      <c r="P615">
        <f t="shared" si="56"/>
        <v>1.7302752293577981</v>
      </c>
      <c r="Q615" s="2">
        <f t="shared" si="57"/>
        <v>17.145454545454545</v>
      </c>
      <c r="R615" s="2">
        <f t="shared" si="58"/>
        <v>18.86</v>
      </c>
      <c r="S615" s="2">
        <f t="shared" si="59"/>
        <v>7.6935312831389187</v>
      </c>
    </row>
    <row r="616" spans="1:19" hidden="1">
      <c r="A616" t="s">
        <v>669</v>
      </c>
      <c r="B616" t="s">
        <v>30</v>
      </c>
      <c r="C616">
        <v>141</v>
      </c>
      <c r="D616">
        <v>5000</v>
      </c>
      <c r="E616" s="2">
        <v>223.7</v>
      </c>
      <c r="F616">
        <v>29</v>
      </c>
      <c r="G616">
        <v>10</v>
      </c>
      <c r="H616">
        <v>7.0999999999999994E-2</v>
      </c>
      <c r="I616" s="3">
        <v>1909</v>
      </c>
      <c r="J616" s="1">
        <v>45608</v>
      </c>
      <c r="K616" t="s">
        <v>31</v>
      </c>
      <c r="L616" t="s">
        <v>9</v>
      </c>
      <c r="M616" t="s">
        <v>37</v>
      </c>
      <c r="N616" s="1">
        <f t="shared" si="54"/>
        <v>45608</v>
      </c>
      <c r="O616" s="4">
        <f t="shared" si="55"/>
        <v>2.8199999999999999E-2</v>
      </c>
      <c r="P616">
        <f t="shared" si="56"/>
        <v>1.5865248226950355</v>
      </c>
      <c r="Q616" s="2">
        <f t="shared" si="57"/>
        <v>7.7137931034482756</v>
      </c>
      <c r="R616" s="2">
        <f t="shared" si="58"/>
        <v>22.369999999999997</v>
      </c>
      <c r="S616" s="2">
        <f t="shared" si="59"/>
        <v>8.5337505587840869</v>
      </c>
    </row>
    <row r="617" spans="1:19" hidden="1">
      <c r="A617" t="s">
        <v>670</v>
      </c>
      <c r="B617" t="s">
        <v>30</v>
      </c>
      <c r="C617">
        <v>182</v>
      </c>
      <c r="D617">
        <v>3487</v>
      </c>
      <c r="E617" s="2">
        <v>211.71</v>
      </c>
      <c r="F617">
        <v>23</v>
      </c>
      <c r="G617">
        <v>7</v>
      </c>
      <c r="H617">
        <v>3.7999999999999999E-2</v>
      </c>
      <c r="I617" s="3">
        <v>1027</v>
      </c>
      <c r="J617" s="1">
        <v>45620</v>
      </c>
      <c r="K617" t="s">
        <v>31</v>
      </c>
      <c r="L617" t="s">
        <v>8</v>
      </c>
      <c r="M617" t="s">
        <v>37</v>
      </c>
      <c r="N617" s="1">
        <f t="shared" si="54"/>
        <v>45620</v>
      </c>
      <c r="O617" s="4">
        <f t="shared" si="55"/>
        <v>5.2193862919414968E-2</v>
      </c>
      <c r="P617">
        <f t="shared" si="56"/>
        <v>1.1632417582417582</v>
      </c>
      <c r="Q617" s="2">
        <f t="shared" si="57"/>
        <v>9.2047826086956519</v>
      </c>
      <c r="R617" s="2">
        <f t="shared" si="58"/>
        <v>30.244285714285716</v>
      </c>
      <c r="S617" s="2">
        <f t="shared" si="59"/>
        <v>4.8509753908648623</v>
      </c>
    </row>
    <row r="618" spans="1:19" hidden="1">
      <c r="A618" t="s">
        <v>671</v>
      </c>
      <c r="B618" t="s">
        <v>30</v>
      </c>
      <c r="C618">
        <v>179</v>
      </c>
      <c r="D618">
        <v>4236</v>
      </c>
      <c r="E618" s="2">
        <v>245.01</v>
      </c>
      <c r="F618">
        <v>23</v>
      </c>
      <c r="G618">
        <v>7</v>
      </c>
      <c r="H618">
        <v>3.9E-2</v>
      </c>
      <c r="I618" s="3">
        <v>1822</v>
      </c>
      <c r="J618" s="1">
        <v>45603</v>
      </c>
      <c r="K618" t="s">
        <v>31</v>
      </c>
      <c r="L618" t="s">
        <v>8</v>
      </c>
      <c r="M618" t="s">
        <v>32</v>
      </c>
      <c r="N618" s="1">
        <f t="shared" si="54"/>
        <v>45603</v>
      </c>
      <c r="O618" s="4">
        <f t="shared" si="55"/>
        <v>4.2256846081208686E-2</v>
      </c>
      <c r="P618">
        <f t="shared" si="56"/>
        <v>1.3687709497206704</v>
      </c>
      <c r="Q618" s="2">
        <f t="shared" si="57"/>
        <v>10.652608695652173</v>
      </c>
      <c r="R618" s="2">
        <f t="shared" si="58"/>
        <v>35.001428571428569</v>
      </c>
      <c r="S618" s="2">
        <f t="shared" si="59"/>
        <v>7.4364311660748541</v>
      </c>
    </row>
    <row r="619" spans="1:19" hidden="1">
      <c r="A619" t="s">
        <v>672</v>
      </c>
      <c r="B619" t="s">
        <v>30</v>
      </c>
      <c r="C619">
        <v>89</v>
      </c>
      <c r="D619">
        <v>5349</v>
      </c>
      <c r="E619" s="2">
        <v>215.57</v>
      </c>
      <c r="F619">
        <v>20</v>
      </c>
      <c r="G619">
        <v>8</v>
      </c>
      <c r="H619">
        <v>0.09</v>
      </c>
      <c r="I619" s="3">
        <v>1371</v>
      </c>
      <c r="J619" s="1" t="s">
        <v>357</v>
      </c>
      <c r="K619" t="s">
        <v>31</v>
      </c>
      <c r="L619" t="s">
        <v>9</v>
      </c>
      <c r="M619" t="s">
        <v>37</v>
      </c>
      <c r="N619" s="1">
        <f t="shared" si="54"/>
        <v>45624</v>
      </c>
      <c r="O619" s="4">
        <f t="shared" si="55"/>
        <v>1.6638624041876986E-2</v>
      </c>
      <c r="P619">
        <f t="shared" si="56"/>
        <v>2.4221348314606739</v>
      </c>
      <c r="Q619" s="2">
        <f t="shared" si="57"/>
        <v>10.778499999999999</v>
      </c>
      <c r="R619" s="2">
        <f t="shared" si="58"/>
        <v>26.946249999999999</v>
      </c>
      <c r="S619" s="2">
        <f t="shared" si="59"/>
        <v>6.3598831006169689</v>
      </c>
    </row>
    <row r="620" spans="1:19">
      <c r="A620" t="s">
        <v>673</v>
      </c>
      <c r="B620" t="s">
        <v>30</v>
      </c>
      <c r="C620">
        <v>181</v>
      </c>
      <c r="D620">
        <v>5678</v>
      </c>
      <c r="E620" s="2">
        <v>226.89</v>
      </c>
      <c r="F620">
        <v>22</v>
      </c>
      <c r="G620">
        <v>10</v>
      </c>
      <c r="H620">
        <v>4.5999999999999999E-2</v>
      </c>
      <c r="I620" s="3">
        <v>1992</v>
      </c>
      <c r="J620" s="1">
        <v>45598</v>
      </c>
      <c r="K620" t="s">
        <v>31</v>
      </c>
      <c r="L620" t="s">
        <v>9</v>
      </c>
      <c r="M620" t="s">
        <v>39</v>
      </c>
      <c r="N620" s="1">
        <f t="shared" si="54"/>
        <v>45598</v>
      </c>
      <c r="O620" s="4">
        <f t="shared" si="55"/>
        <v>3.187742162733357E-2</v>
      </c>
      <c r="P620">
        <f t="shared" si="56"/>
        <v>1.2535359116022098</v>
      </c>
      <c r="Q620" s="2">
        <f t="shared" si="57"/>
        <v>10.313181818181818</v>
      </c>
      <c r="R620" s="2">
        <f t="shared" si="58"/>
        <v>22.689</v>
      </c>
      <c r="S620" s="2">
        <f t="shared" si="59"/>
        <v>8.7795848208382914</v>
      </c>
    </row>
    <row r="621" spans="1:19" hidden="1">
      <c r="A621" t="s">
        <v>674</v>
      </c>
      <c r="B621" t="s">
        <v>30</v>
      </c>
      <c r="C621">
        <v>85</v>
      </c>
      <c r="D621">
        <v>5247</v>
      </c>
      <c r="E621" s="2">
        <v>219.97</v>
      </c>
      <c r="F621">
        <v>15</v>
      </c>
      <c r="G621">
        <v>7</v>
      </c>
      <c r="H621">
        <v>8.2000000000000003E-2</v>
      </c>
      <c r="I621" s="3">
        <v>1612</v>
      </c>
      <c r="J621" s="1">
        <v>45616</v>
      </c>
      <c r="K621" t="s">
        <v>31</v>
      </c>
      <c r="L621" t="s">
        <v>7</v>
      </c>
      <c r="M621" t="s">
        <v>46</v>
      </c>
      <c r="N621" s="1">
        <f t="shared" si="54"/>
        <v>45616</v>
      </c>
      <c r="O621" s="4">
        <f t="shared" si="55"/>
        <v>1.6199733180865258E-2</v>
      </c>
      <c r="P621">
        <f t="shared" si="56"/>
        <v>2.5878823529411763</v>
      </c>
      <c r="Q621" s="2">
        <f t="shared" si="57"/>
        <v>14.664666666666667</v>
      </c>
      <c r="R621" s="2">
        <f t="shared" si="58"/>
        <v>31.424285714285713</v>
      </c>
      <c r="S621" s="2">
        <f t="shared" si="59"/>
        <v>7.3282720370959673</v>
      </c>
    </row>
    <row r="622" spans="1:19" hidden="1">
      <c r="A622" t="s">
        <v>675</v>
      </c>
      <c r="B622" t="s">
        <v>30</v>
      </c>
      <c r="C622">
        <v>179</v>
      </c>
      <c r="D622">
        <v>3685</v>
      </c>
      <c r="E622" s="2">
        <v>202.66</v>
      </c>
      <c r="F622">
        <v>15</v>
      </c>
      <c r="G622">
        <v>7</v>
      </c>
      <c r="H622">
        <v>3.9E-2</v>
      </c>
      <c r="I622" s="3">
        <v>1634</v>
      </c>
      <c r="J622" s="1">
        <v>45614</v>
      </c>
      <c r="K622" t="s">
        <v>31</v>
      </c>
      <c r="L622" t="s">
        <v>7</v>
      </c>
      <c r="M622" t="s">
        <v>35</v>
      </c>
      <c r="N622" s="1">
        <f t="shared" si="54"/>
        <v>45614</v>
      </c>
      <c r="O622" s="4">
        <f t="shared" si="55"/>
        <v>4.85753052917232E-2</v>
      </c>
      <c r="P622">
        <f t="shared" si="56"/>
        <v>1.1321787709497206</v>
      </c>
      <c r="Q622" s="2">
        <f t="shared" si="57"/>
        <v>13.510666666666667</v>
      </c>
      <c r="R622" s="2">
        <f t="shared" si="58"/>
        <v>28.951428571428572</v>
      </c>
      <c r="S622" s="2">
        <f t="shared" si="59"/>
        <v>8.0627652225402144</v>
      </c>
    </row>
    <row r="623" spans="1:19" hidden="1">
      <c r="A623" t="s">
        <v>676</v>
      </c>
      <c r="B623" t="s">
        <v>30</v>
      </c>
      <c r="C623">
        <v>172</v>
      </c>
      <c r="D623">
        <v>5862</v>
      </c>
      <c r="E623" s="2">
        <v>202</v>
      </c>
      <c r="F623">
        <v>23</v>
      </c>
      <c r="G623">
        <v>4</v>
      </c>
      <c r="H623">
        <v>2.3E-2</v>
      </c>
      <c r="I623" s="3">
        <v>1469</v>
      </c>
      <c r="J623" s="1">
        <v>45624</v>
      </c>
      <c r="K623" t="s">
        <v>31</v>
      </c>
      <c r="L623" t="s">
        <v>7</v>
      </c>
      <c r="M623" t="s">
        <v>41</v>
      </c>
      <c r="N623" s="1">
        <f t="shared" si="54"/>
        <v>45624</v>
      </c>
      <c r="O623" s="4">
        <f t="shared" si="55"/>
        <v>2.9341521664960766E-2</v>
      </c>
      <c r="P623">
        <f t="shared" si="56"/>
        <v>1.1744186046511629</v>
      </c>
      <c r="Q623" s="2">
        <f t="shared" si="57"/>
        <v>8.7826086956521738</v>
      </c>
      <c r="R623" s="2">
        <f t="shared" si="58"/>
        <v>50.5</v>
      </c>
      <c r="S623" s="2">
        <f t="shared" si="59"/>
        <v>7.2722772277227721</v>
      </c>
    </row>
    <row r="624" spans="1:19" hidden="1">
      <c r="A624" t="s">
        <v>677</v>
      </c>
      <c r="B624" t="s">
        <v>30</v>
      </c>
      <c r="C624">
        <v>196</v>
      </c>
      <c r="D624">
        <v>5040</v>
      </c>
      <c r="E624" s="2">
        <v>197.08</v>
      </c>
      <c r="F624">
        <v>11</v>
      </c>
      <c r="G624">
        <v>9</v>
      </c>
      <c r="H624">
        <v>4.5999999999999999E-2</v>
      </c>
      <c r="I624" s="3">
        <v>1774</v>
      </c>
      <c r="J624" s="1" t="s">
        <v>73</v>
      </c>
      <c r="K624" t="s">
        <v>31</v>
      </c>
      <c r="L624" t="s">
        <v>7</v>
      </c>
      <c r="M624" t="s">
        <v>35</v>
      </c>
      <c r="N624" s="1">
        <f t="shared" si="54"/>
        <v>45618</v>
      </c>
      <c r="O624" s="4">
        <f t="shared" si="55"/>
        <v>3.888888888888889E-2</v>
      </c>
      <c r="P624">
        <f t="shared" si="56"/>
        <v>1.0055102040816326</v>
      </c>
      <c r="Q624" s="2">
        <f t="shared" si="57"/>
        <v>17.916363636363638</v>
      </c>
      <c r="R624" s="2">
        <f t="shared" si="58"/>
        <v>21.89777777777778</v>
      </c>
      <c r="S624" s="2">
        <f t="shared" si="59"/>
        <v>9.0014207428455446</v>
      </c>
    </row>
    <row r="625" spans="1:19" hidden="1">
      <c r="A625" t="s">
        <v>678</v>
      </c>
      <c r="B625" t="s">
        <v>30</v>
      </c>
      <c r="C625">
        <v>139</v>
      </c>
      <c r="D625">
        <v>3423</v>
      </c>
      <c r="E625" s="2">
        <v>223.95</v>
      </c>
      <c r="F625">
        <v>30</v>
      </c>
      <c r="G625">
        <v>4</v>
      </c>
      <c r="H625">
        <v>5.5E-2</v>
      </c>
      <c r="I625" s="3">
        <v>1480</v>
      </c>
      <c r="J625" s="1">
        <v>45599</v>
      </c>
      <c r="K625" t="s">
        <v>31</v>
      </c>
      <c r="L625" t="s">
        <v>7</v>
      </c>
      <c r="M625" t="s">
        <v>46</v>
      </c>
      <c r="N625" s="1">
        <f t="shared" si="54"/>
        <v>45599</v>
      </c>
      <c r="O625" s="4">
        <f t="shared" si="55"/>
        <v>4.0607654104586617E-2</v>
      </c>
      <c r="P625">
        <f t="shared" si="56"/>
        <v>1.6111510791366905</v>
      </c>
      <c r="Q625" s="2">
        <f t="shared" si="57"/>
        <v>7.4649999999999999</v>
      </c>
      <c r="R625" s="2">
        <f t="shared" si="58"/>
        <v>55.987499999999997</v>
      </c>
      <c r="S625" s="2">
        <f t="shared" si="59"/>
        <v>6.6086179950881894</v>
      </c>
    </row>
    <row r="626" spans="1:19">
      <c r="A626" t="s">
        <v>679</v>
      </c>
      <c r="B626" t="s">
        <v>30</v>
      </c>
      <c r="C626">
        <v>135</v>
      </c>
      <c r="D626">
        <v>5981</v>
      </c>
      <c r="E626" s="2">
        <v>228.66</v>
      </c>
      <c r="F626">
        <v>26</v>
      </c>
      <c r="G626">
        <v>6</v>
      </c>
      <c r="H626">
        <v>4.5999999999999999E-2</v>
      </c>
      <c r="I626" s="3">
        <v>1515</v>
      </c>
      <c r="J626" s="1">
        <v>45637</v>
      </c>
      <c r="K626" t="s">
        <v>31</v>
      </c>
      <c r="L626" t="s">
        <v>7</v>
      </c>
      <c r="M626" t="s">
        <v>39</v>
      </c>
      <c r="N626" s="1">
        <f t="shared" si="54"/>
        <v>45637</v>
      </c>
      <c r="O626" s="4">
        <f t="shared" si="55"/>
        <v>2.2571476341748872E-2</v>
      </c>
      <c r="P626">
        <f t="shared" si="56"/>
        <v>1.6937777777777778</v>
      </c>
      <c r="Q626" s="2">
        <f t="shared" si="57"/>
        <v>8.7946153846153852</v>
      </c>
      <c r="R626" s="2">
        <f t="shared" si="58"/>
        <v>38.11</v>
      </c>
      <c r="S626" s="2">
        <f t="shared" si="59"/>
        <v>6.6255575964313831</v>
      </c>
    </row>
    <row r="627" spans="1:19" hidden="1">
      <c r="A627" t="s">
        <v>680</v>
      </c>
      <c r="B627" t="s">
        <v>30</v>
      </c>
      <c r="C627">
        <v>97</v>
      </c>
      <c r="D627">
        <v>3495</v>
      </c>
      <c r="E627" s="2">
        <v>230.83</v>
      </c>
      <c r="F627">
        <v>16</v>
      </c>
      <c r="G627">
        <v>6</v>
      </c>
      <c r="H627">
        <v>6.2E-2</v>
      </c>
      <c r="I627" s="3">
        <v>1675</v>
      </c>
      <c r="J627" s="1">
        <v>45619</v>
      </c>
      <c r="K627" t="s">
        <v>31</v>
      </c>
      <c r="L627" t="s">
        <v>9</v>
      </c>
      <c r="M627" t="s">
        <v>46</v>
      </c>
      <c r="N627" s="1">
        <f t="shared" si="54"/>
        <v>45619</v>
      </c>
      <c r="O627" s="4">
        <f t="shared" si="55"/>
        <v>2.7753934191702433E-2</v>
      </c>
      <c r="P627">
        <f t="shared" si="56"/>
        <v>2.3796907216494847</v>
      </c>
      <c r="Q627" s="2">
        <f t="shared" si="57"/>
        <v>14.426875000000001</v>
      </c>
      <c r="R627" s="2">
        <f t="shared" si="58"/>
        <v>38.471666666666671</v>
      </c>
      <c r="S627" s="2">
        <f t="shared" si="59"/>
        <v>7.2564224754148068</v>
      </c>
    </row>
    <row r="628" spans="1:19" hidden="1">
      <c r="A628" t="s">
        <v>681</v>
      </c>
      <c r="B628" t="s">
        <v>30</v>
      </c>
      <c r="C628">
        <v>137</v>
      </c>
      <c r="D628">
        <v>3702</v>
      </c>
      <c r="E628" s="2">
        <v>215.41</v>
      </c>
      <c r="F628">
        <v>25</v>
      </c>
      <c r="G628">
        <v>9</v>
      </c>
      <c r="H628">
        <v>6.6000000000000003E-2</v>
      </c>
      <c r="I628" s="3">
        <v>1010</v>
      </c>
      <c r="J628" s="1">
        <v>45576</v>
      </c>
      <c r="K628" t="s">
        <v>31</v>
      </c>
      <c r="L628" t="s">
        <v>7</v>
      </c>
      <c r="M628" t="s">
        <v>32</v>
      </c>
      <c r="N628" s="1">
        <f t="shared" si="54"/>
        <v>45576</v>
      </c>
      <c r="O628" s="4">
        <f t="shared" si="55"/>
        <v>3.7007023230686116E-2</v>
      </c>
      <c r="P628">
        <f t="shared" si="56"/>
        <v>1.5723357664233577</v>
      </c>
      <c r="Q628" s="2">
        <f t="shared" si="57"/>
        <v>8.6164000000000005</v>
      </c>
      <c r="R628" s="2">
        <f t="shared" si="58"/>
        <v>23.934444444444445</v>
      </c>
      <c r="S628" s="2">
        <f t="shared" si="59"/>
        <v>4.6887331135973263</v>
      </c>
    </row>
    <row r="629" spans="1:19" hidden="1">
      <c r="A629" t="s">
        <v>682</v>
      </c>
      <c r="B629" t="s">
        <v>30</v>
      </c>
      <c r="C629">
        <v>164</v>
      </c>
      <c r="D629">
        <v>3405</v>
      </c>
      <c r="E629" s="2">
        <v>217.58</v>
      </c>
      <c r="F629">
        <v>10</v>
      </c>
      <c r="G629">
        <v>3</v>
      </c>
      <c r="H629">
        <v>1.7999999999999999E-2</v>
      </c>
      <c r="I629" s="3">
        <v>1885</v>
      </c>
      <c r="J629" s="1">
        <v>45626</v>
      </c>
      <c r="K629" t="s">
        <v>31</v>
      </c>
      <c r="L629" t="s">
        <v>7</v>
      </c>
      <c r="M629" t="s">
        <v>37</v>
      </c>
      <c r="N629" s="1">
        <f t="shared" si="54"/>
        <v>45626</v>
      </c>
      <c r="O629" s="4">
        <f t="shared" si="55"/>
        <v>4.8164464023494863E-2</v>
      </c>
      <c r="P629">
        <f t="shared" si="56"/>
        <v>1.3267073170731709</v>
      </c>
      <c r="Q629" s="2">
        <f t="shared" si="57"/>
        <v>21.758000000000003</v>
      </c>
      <c r="R629" s="2">
        <f t="shared" si="58"/>
        <v>72.526666666666671</v>
      </c>
      <c r="S629" s="2">
        <f t="shared" si="59"/>
        <v>8.6634800992738299</v>
      </c>
    </row>
    <row r="630" spans="1:19" hidden="1">
      <c r="A630" t="s">
        <v>683</v>
      </c>
      <c r="B630" t="s">
        <v>30</v>
      </c>
      <c r="C630">
        <v>178</v>
      </c>
      <c r="D630">
        <v>3370</v>
      </c>
      <c r="E630" s="2">
        <v>180.66</v>
      </c>
      <c r="F630">
        <v>25</v>
      </c>
      <c r="G630">
        <v>9</v>
      </c>
      <c r="H630">
        <v>5.0999999999999997E-2</v>
      </c>
      <c r="I630" s="3">
        <v>1830</v>
      </c>
      <c r="J630" s="1">
        <v>45620</v>
      </c>
      <c r="K630" t="s">
        <v>31</v>
      </c>
      <c r="L630" t="s">
        <v>7</v>
      </c>
      <c r="M630" t="s">
        <v>41</v>
      </c>
      <c r="N630" s="1">
        <f t="shared" si="54"/>
        <v>45620</v>
      </c>
      <c r="O630" s="4">
        <f t="shared" si="55"/>
        <v>5.2818991097922846E-2</v>
      </c>
      <c r="P630">
        <f t="shared" si="56"/>
        <v>1.0149438202247192</v>
      </c>
      <c r="Q630" s="2">
        <f t="shared" si="57"/>
        <v>7.2263999999999999</v>
      </c>
      <c r="R630" s="2">
        <f t="shared" si="58"/>
        <v>20.073333333333334</v>
      </c>
      <c r="S630" s="2">
        <f t="shared" si="59"/>
        <v>10.129525074726004</v>
      </c>
    </row>
    <row r="631" spans="1:19">
      <c r="A631" t="s">
        <v>684</v>
      </c>
      <c r="B631" t="s">
        <v>30</v>
      </c>
      <c r="C631">
        <v>146</v>
      </c>
      <c r="D631">
        <v>4455</v>
      </c>
      <c r="E631" s="2">
        <v>227.13</v>
      </c>
      <c r="F631">
        <v>16</v>
      </c>
      <c r="G631">
        <v>5</v>
      </c>
      <c r="H631">
        <v>4.5999999999999999E-2</v>
      </c>
      <c r="I631" s="3">
        <v>1040</v>
      </c>
      <c r="J631" s="1" t="s">
        <v>167</v>
      </c>
      <c r="K631" t="s">
        <v>31</v>
      </c>
      <c r="L631" t="s">
        <v>9</v>
      </c>
      <c r="M631" t="s">
        <v>41</v>
      </c>
      <c r="N631" s="1">
        <f t="shared" si="54"/>
        <v>45620</v>
      </c>
      <c r="O631" s="4">
        <f t="shared" si="55"/>
        <v>3.2772166105499441E-2</v>
      </c>
      <c r="P631">
        <f t="shared" si="56"/>
        <v>1.5556849315068493</v>
      </c>
      <c r="Q631" s="2">
        <f t="shared" si="57"/>
        <v>14.195625</v>
      </c>
      <c r="R631" s="2">
        <f t="shared" si="58"/>
        <v>45.426000000000002</v>
      </c>
      <c r="S631" s="2">
        <f t="shared" si="59"/>
        <v>4.5788755338352489</v>
      </c>
    </row>
    <row r="632" spans="1:19" hidden="1">
      <c r="A632" t="s">
        <v>685</v>
      </c>
      <c r="B632" t="s">
        <v>30</v>
      </c>
      <c r="C632">
        <v>149</v>
      </c>
      <c r="D632">
        <v>4670</v>
      </c>
      <c r="E632" s="2">
        <v>218.31</v>
      </c>
      <c r="F632">
        <v>10</v>
      </c>
      <c r="G632">
        <v>10</v>
      </c>
      <c r="H632">
        <v>6.7000000000000004E-2</v>
      </c>
      <c r="I632" s="3">
        <v>1623</v>
      </c>
      <c r="J632" s="1">
        <v>45598</v>
      </c>
      <c r="K632" t="s">
        <v>31</v>
      </c>
      <c r="L632" t="s">
        <v>8</v>
      </c>
      <c r="M632" t="s">
        <v>46</v>
      </c>
      <c r="N632" s="1">
        <f t="shared" si="54"/>
        <v>45598</v>
      </c>
      <c r="O632" s="4">
        <f t="shared" si="55"/>
        <v>3.1905781584582439E-2</v>
      </c>
      <c r="P632">
        <f t="shared" si="56"/>
        <v>1.4651677852348994</v>
      </c>
      <c r="Q632" s="2">
        <f t="shared" si="57"/>
        <v>21.831</v>
      </c>
      <c r="R632" s="2">
        <f t="shared" si="58"/>
        <v>21.831</v>
      </c>
      <c r="S632" s="2">
        <f t="shared" si="59"/>
        <v>7.4343823003985161</v>
      </c>
    </row>
    <row r="633" spans="1:19">
      <c r="A633" t="s">
        <v>686</v>
      </c>
      <c r="B633" t="s">
        <v>30</v>
      </c>
      <c r="C633">
        <v>193</v>
      </c>
      <c r="D633">
        <v>4287</v>
      </c>
      <c r="E633" s="2">
        <v>204.62</v>
      </c>
      <c r="F633">
        <v>15</v>
      </c>
      <c r="G633">
        <v>3</v>
      </c>
      <c r="H633">
        <v>4.5999999999999999E-2</v>
      </c>
      <c r="I633" s="3">
        <v>1800</v>
      </c>
      <c r="J633" s="1">
        <v>45605</v>
      </c>
      <c r="K633" t="s">
        <v>31</v>
      </c>
      <c r="L633" t="s">
        <v>9</v>
      </c>
      <c r="M633" t="s">
        <v>39</v>
      </c>
      <c r="N633" s="1">
        <f t="shared" si="54"/>
        <v>45605</v>
      </c>
      <c r="O633" s="4">
        <f t="shared" si="55"/>
        <v>4.5019827385117797E-2</v>
      </c>
      <c r="P633">
        <f t="shared" si="56"/>
        <v>1.0602072538860103</v>
      </c>
      <c r="Q633" s="2">
        <f t="shared" si="57"/>
        <v>13.641333333333334</v>
      </c>
      <c r="R633" s="2">
        <f t="shared" si="58"/>
        <v>68.206666666666663</v>
      </c>
      <c r="S633" s="2">
        <f t="shared" si="59"/>
        <v>8.7967940572769034</v>
      </c>
    </row>
    <row r="634" spans="1:19">
      <c r="A634" t="s">
        <v>687</v>
      </c>
      <c r="B634" t="s">
        <v>30</v>
      </c>
      <c r="C634">
        <v>139</v>
      </c>
      <c r="D634">
        <v>3546</v>
      </c>
      <c r="E634" s="2">
        <v>183.41</v>
      </c>
      <c r="F634">
        <v>27</v>
      </c>
      <c r="G634">
        <v>7</v>
      </c>
      <c r="H634">
        <v>4.5999999999999999E-2</v>
      </c>
      <c r="I634" s="3">
        <v>1701</v>
      </c>
      <c r="J634" s="1">
        <v>45624</v>
      </c>
      <c r="K634" t="s">
        <v>31</v>
      </c>
      <c r="L634" t="s">
        <v>8</v>
      </c>
      <c r="M634" t="s">
        <v>39</v>
      </c>
      <c r="N634" s="1">
        <f t="shared" si="54"/>
        <v>45624</v>
      </c>
      <c r="O634" s="4">
        <f t="shared" si="55"/>
        <v>3.919909757473209E-2</v>
      </c>
      <c r="P634">
        <f t="shared" si="56"/>
        <v>1.3194964028776979</v>
      </c>
      <c r="Q634" s="2">
        <f t="shared" si="57"/>
        <v>6.7929629629629629</v>
      </c>
      <c r="R634" s="2">
        <f t="shared" si="58"/>
        <v>26.201428571428572</v>
      </c>
      <c r="S634" s="2">
        <f t="shared" si="59"/>
        <v>9.2743034730930702</v>
      </c>
    </row>
    <row r="635" spans="1:19" hidden="1">
      <c r="A635" t="s">
        <v>688</v>
      </c>
      <c r="B635" t="s">
        <v>30</v>
      </c>
      <c r="C635">
        <v>106</v>
      </c>
      <c r="D635">
        <v>4740</v>
      </c>
      <c r="E635" s="2">
        <v>229.13</v>
      </c>
      <c r="F635">
        <v>19</v>
      </c>
      <c r="G635">
        <v>3</v>
      </c>
      <c r="H635">
        <v>2.8000000000000001E-2</v>
      </c>
      <c r="I635" s="3">
        <v>1149</v>
      </c>
      <c r="J635" s="1">
        <v>45607</v>
      </c>
      <c r="K635" t="s">
        <v>31</v>
      </c>
      <c r="L635" t="s">
        <v>7</v>
      </c>
      <c r="M635" t="s">
        <v>41</v>
      </c>
      <c r="N635" s="1">
        <f t="shared" si="54"/>
        <v>45607</v>
      </c>
      <c r="O635" s="4">
        <f t="shared" si="55"/>
        <v>2.2362869198312235E-2</v>
      </c>
      <c r="P635">
        <f t="shared" si="56"/>
        <v>2.1616037735849054</v>
      </c>
      <c r="Q635" s="2">
        <f t="shared" si="57"/>
        <v>12.059473684210525</v>
      </c>
      <c r="R635" s="2">
        <f t="shared" si="58"/>
        <v>76.376666666666665</v>
      </c>
      <c r="S635" s="2">
        <f t="shared" si="59"/>
        <v>5.0146205211015582</v>
      </c>
    </row>
    <row r="636" spans="1:19">
      <c r="A636" t="s">
        <v>689</v>
      </c>
      <c r="B636" t="s">
        <v>30</v>
      </c>
      <c r="C636">
        <v>131</v>
      </c>
      <c r="D636">
        <v>5642</v>
      </c>
      <c r="E636" s="2">
        <v>184.57</v>
      </c>
      <c r="F636">
        <v>20</v>
      </c>
      <c r="G636">
        <v>9</v>
      </c>
      <c r="H636">
        <v>4.5999999999999999E-2</v>
      </c>
      <c r="I636" s="3">
        <v>1827</v>
      </c>
      <c r="J636" s="1" t="s">
        <v>43</v>
      </c>
      <c r="K636" t="s">
        <v>31</v>
      </c>
      <c r="L636" t="s">
        <v>8</v>
      </c>
      <c r="M636" t="s">
        <v>35</v>
      </c>
      <c r="N636" s="1">
        <f t="shared" si="54"/>
        <v>45612</v>
      </c>
      <c r="O636" s="4">
        <f t="shared" si="55"/>
        <v>2.3218716767103863E-2</v>
      </c>
      <c r="P636">
        <f t="shared" si="56"/>
        <v>1.4089312977099235</v>
      </c>
      <c r="Q636" s="2">
        <f t="shared" si="57"/>
        <v>9.2285000000000004</v>
      </c>
      <c r="R636" s="2">
        <f t="shared" si="58"/>
        <v>20.507777777777775</v>
      </c>
      <c r="S636" s="2">
        <f t="shared" si="59"/>
        <v>9.8986834263423091</v>
      </c>
    </row>
    <row r="637" spans="1:19">
      <c r="A637" t="s">
        <v>690</v>
      </c>
      <c r="B637" t="s">
        <v>30</v>
      </c>
      <c r="C637">
        <v>111</v>
      </c>
      <c r="D637">
        <v>4161</v>
      </c>
      <c r="E637" s="2">
        <v>185.58</v>
      </c>
      <c r="F637">
        <v>10</v>
      </c>
      <c r="G637">
        <v>7</v>
      </c>
      <c r="H637">
        <v>4.5999999999999999E-2</v>
      </c>
      <c r="I637" s="3">
        <v>1434</v>
      </c>
      <c r="J637" s="1">
        <v>45600</v>
      </c>
      <c r="K637" t="s">
        <v>31</v>
      </c>
      <c r="L637" t="s">
        <v>7</v>
      </c>
      <c r="M637" t="s">
        <v>39</v>
      </c>
      <c r="N637" s="1">
        <f t="shared" si="54"/>
        <v>45600</v>
      </c>
      <c r="O637" s="4">
        <f t="shared" si="55"/>
        <v>2.6676279740447006E-2</v>
      </c>
      <c r="P637">
        <f t="shared" si="56"/>
        <v>1.6718918918918919</v>
      </c>
      <c r="Q637" s="2">
        <f t="shared" si="57"/>
        <v>18.558</v>
      </c>
      <c r="R637" s="2">
        <f t="shared" si="58"/>
        <v>26.511428571428574</v>
      </c>
      <c r="S637" s="2">
        <f t="shared" si="59"/>
        <v>7.7271257678629155</v>
      </c>
    </row>
    <row r="638" spans="1:19" hidden="1">
      <c r="A638" t="s">
        <v>691</v>
      </c>
      <c r="B638" t="s">
        <v>30</v>
      </c>
      <c r="C638">
        <v>144</v>
      </c>
      <c r="D638">
        <v>4241</v>
      </c>
      <c r="E638" s="2">
        <v>181.4</v>
      </c>
      <c r="F638">
        <v>24</v>
      </c>
      <c r="G638">
        <v>5</v>
      </c>
      <c r="H638">
        <v>3.5000000000000003E-2</v>
      </c>
      <c r="I638" s="3">
        <v>1693</v>
      </c>
      <c r="J638" s="1">
        <v>45615</v>
      </c>
      <c r="K638" t="s">
        <v>31</v>
      </c>
      <c r="L638" t="s">
        <v>8</v>
      </c>
      <c r="M638" t="s">
        <v>41</v>
      </c>
      <c r="N638" s="1">
        <f t="shared" si="54"/>
        <v>45615</v>
      </c>
      <c r="O638" s="4">
        <f t="shared" si="55"/>
        <v>3.3954256071681205E-2</v>
      </c>
      <c r="P638">
        <f t="shared" si="56"/>
        <v>1.2597222222222222</v>
      </c>
      <c r="Q638" s="2">
        <f t="shared" si="57"/>
        <v>7.5583333333333336</v>
      </c>
      <c r="R638" s="2">
        <f t="shared" si="58"/>
        <v>36.28</v>
      </c>
      <c r="S638" s="2">
        <f t="shared" si="59"/>
        <v>9.3329658213891946</v>
      </c>
    </row>
    <row r="639" spans="1:19">
      <c r="A639" t="s">
        <v>692</v>
      </c>
      <c r="B639" t="s">
        <v>30</v>
      </c>
      <c r="C639">
        <v>151</v>
      </c>
      <c r="D639">
        <v>5875</v>
      </c>
      <c r="E639" s="2">
        <v>192.46</v>
      </c>
      <c r="F639">
        <v>28</v>
      </c>
      <c r="G639">
        <v>7</v>
      </c>
      <c r="H639">
        <v>4.5999999999999999E-2</v>
      </c>
      <c r="I639" s="3">
        <v>1459</v>
      </c>
      <c r="J639" s="1">
        <v>45614</v>
      </c>
      <c r="K639" t="s">
        <v>31</v>
      </c>
      <c r="L639" t="s">
        <v>8</v>
      </c>
      <c r="M639" t="s">
        <v>37</v>
      </c>
      <c r="N639" s="1">
        <f t="shared" si="54"/>
        <v>45614</v>
      </c>
      <c r="O639" s="4">
        <f t="shared" si="55"/>
        <v>2.570212765957447E-2</v>
      </c>
      <c r="P639">
        <f t="shared" si="56"/>
        <v>1.2745695364238412</v>
      </c>
      <c r="Q639" s="2">
        <f t="shared" si="57"/>
        <v>6.8735714285714291</v>
      </c>
      <c r="R639" s="2">
        <f t="shared" si="58"/>
        <v>27.494285714285716</v>
      </c>
      <c r="S639" s="2">
        <f t="shared" si="59"/>
        <v>7.5807960095604274</v>
      </c>
    </row>
    <row r="640" spans="1:19" hidden="1">
      <c r="A640" t="s">
        <v>693</v>
      </c>
      <c r="B640" t="s">
        <v>30</v>
      </c>
      <c r="C640">
        <v>146</v>
      </c>
      <c r="D640">
        <v>5457</v>
      </c>
      <c r="E640" s="2">
        <v>215.57</v>
      </c>
      <c r="F640">
        <v>15</v>
      </c>
      <c r="G640">
        <v>5</v>
      </c>
      <c r="H640">
        <v>3.4000000000000002E-2</v>
      </c>
      <c r="I640" s="3">
        <v>1029</v>
      </c>
      <c r="J640" s="1">
        <v>45598</v>
      </c>
      <c r="K640" t="s">
        <v>31</v>
      </c>
      <c r="L640" t="s">
        <v>7</v>
      </c>
      <c r="M640" t="s">
        <v>35</v>
      </c>
      <c r="N640" s="1">
        <f t="shared" si="54"/>
        <v>45598</v>
      </c>
      <c r="O640" s="4">
        <f t="shared" si="55"/>
        <v>2.6754627084478653E-2</v>
      </c>
      <c r="P640">
        <f t="shared" si="56"/>
        <v>1.4765068493150684</v>
      </c>
      <c r="Q640" s="2">
        <f t="shared" si="57"/>
        <v>14.371333333333332</v>
      </c>
      <c r="R640" s="2">
        <f t="shared" si="58"/>
        <v>43.113999999999997</v>
      </c>
      <c r="S640" s="2">
        <f t="shared" si="59"/>
        <v>4.7733914737672221</v>
      </c>
    </row>
    <row r="641" spans="1:19" hidden="1">
      <c r="A641" t="s">
        <v>694</v>
      </c>
      <c r="B641" t="s">
        <v>30</v>
      </c>
      <c r="C641">
        <v>133</v>
      </c>
      <c r="D641">
        <v>4780</v>
      </c>
      <c r="E641" s="2">
        <v>198.66</v>
      </c>
      <c r="F641">
        <v>22</v>
      </c>
      <c r="G641">
        <v>4</v>
      </c>
      <c r="H641">
        <v>0.03</v>
      </c>
      <c r="I641" s="3">
        <v>1905</v>
      </c>
      <c r="J641" s="1">
        <v>45546</v>
      </c>
      <c r="K641" t="s">
        <v>31</v>
      </c>
      <c r="L641" t="s">
        <v>9</v>
      </c>
      <c r="M641" t="s">
        <v>41</v>
      </c>
      <c r="N641" s="1">
        <f t="shared" si="54"/>
        <v>45546</v>
      </c>
      <c r="O641" s="4">
        <f t="shared" si="55"/>
        <v>2.7824267782426779E-2</v>
      </c>
      <c r="P641">
        <f t="shared" si="56"/>
        <v>1.4936842105263157</v>
      </c>
      <c r="Q641" s="2">
        <f t="shared" si="57"/>
        <v>9.0299999999999994</v>
      </c>
      <c r="R641" s="2">
        <f t="shared" si="58"/>
        <v>49.664999999999999</v>
      </c>
      <c r="S641" s="2">
        <f t="shared" si="59"/>
        <v>9.589247961340984</v>
      </c>
    </row>
    <row r="642" spans="1:19" hidden="1">
      <c r="A642" t="s">
        <v>695</v>
      </c>
      <c r="B642" t="s">
        <v>30</v>
      </c>
      <c r="C642">
        <v>139</v>
      </c>
      <c r="D642">
        <v>5922</v>
      </c>
      <c r="E642" s="2">
        <v>239.1</v>
      </c>
      <c r="F642">
        <v>12</v>
      </c>
      <c r="G642">
        <v>3</v>
      </c>
      <c r="H642">
        <v>4.8000000000000001E-2</v>
      </c>
      <c r="I642" s="3">
        <v>1733</v>
      </c>
      <c r="J642" s="1">
        <v>45602</v>
      </c>
      <c r="K642" t="s">
        <v>31</v>
      </c>
      <c r="L642" t="s">
        <v>7</v>
      </c>
      <c r="M642" t="s">
        <v>35</v>
      </c>
      <c r="N642" s="1">
        <f t="shared" ref="N642:N705" si="60">IF(A642="","",IF(ISNUMBER(J642),J642,IF(MID(J642,5,1)="-",DATE(LEFT(J642,4),MID(J642,6,2),RIGHT(J642,2)),IF(MID(J642,5,1)="/",DATE(LEFT(J642,4),MID(J642,6,2),RIGHT(J642,2)),DATE(RIGHT(J642,4),MID(J642,4,2),LEFT(J642,2))))))</f>
        <v>45602</v>
      </c>
      <c r="O642" s="4">
        <f t="shared" ref="O642:O705" si="61">IFERROR(C642/D642,0)</f>
        <v>2.3471800067544749E-2</v>
      </c>
      <c r="P642">
        <f t="shared" ref="P642:P705" si="62">IFERROR(E642/C642,0)</f>
        <v>1.7201438848920863</v>
      </c>
      <c r="Q642" s="2">
        <f t="shared" ref="Q642:Q705" si="63">IFERROR(E642/F642,0)</f>
        <v>19.925000000000001</v>
      </c>
      <c r="R642" s="2">
        <f t="shared" ref="R642:R705" si="64">IFERROR(E642/G642,0)</f>
        <v>79.7</v>
      </c>
      <c r="S642" s="2">
        <f t="shared" ref="S642:S705" si="65">IFERROR(I642/E642,0)</f>
        <v>7.2480133835215392</v>
      </c>
    </row>
    <row r="643" spans="1:19" hidden="1">
      <c r="A643" t="s">
        <v>696</v>
      </c>
      <c r="B643" t="s">
        <v>30</v>
      </c>
      <c r="C643">
        <v>82</v>
      </c>
      <c r="D643">
        <v>3454</v>
      </c>
      <c r="E643" s="2">
        <v>228.02</v>
      </c>
      <c r="F643">
        <v>30</v>
      </c>
      <c r="G643">
        <v>7</v>
      </c>
      <c r="H643">
        <v>4.9000000000000002E-2</v>
      </c>
      <c r="I643" s="3">
        <v>1463</v>
      </c>
      <c r="J643" s="1">
        <v>45605</v>
      </c>
      <c r="K643" t="s">
        <v>31</v>
      </c>
      <c r="L643" t="s">
        <v>7</v>
      </c>
      <c r="M643" t="s">
        <v>32</v>
      </c>
      <c r="N643" s="1">
        <f t="shared" si="60"/>
        <v>45605</v>
      </c>
      <c r="O643" s="4">
        <f t="shared" si="61"/>
        <v>2.3740590619571511E-2</v>
      </c>
      <c r="P643">
        <f t="shared" si="62"/>
        <v>2.7807317073170732</v>
      </c>
      <c r="Q643" s="2">
        <f t="shared" si="63"/>
        <v>7.6006666666666671</v>
      </c>
      <c r="R643" s="2">
        <f t="shared" si="64"/>
        <v>32.574285714285715</v>
      </c>
      <c r="S643" s="2">
        <f t="shared" si="65"/>
        <v>6.4161038505394261</v>
      </c>
    </row>
    <row r="644" spans="1:19" hidden="1">
      <c r="A644" t="s">
        <v>697</v>
      </c>
      <c r="B644" t="s">
        <v>30</v>
      </c>
      <c r="C644">
        <v>135</v>
      </c>
      <c r="D644">
        <v>3449</v>
      </c>
      <c r="E644" s="2">
        <v>200.06</v>
      </c>
      <c r="F644">
        <v>17</v>
      </c>
      <c r="G644">
        <v>5</v>
      </c>
      <c r="H644">
        <v>3.6999999999999998E-2</v>
      </c>
      <c r="I644" s="3">
        <v>1950</v>
      </c>
      <c r="J644" s="1">
        <v>45603</v>
      </c>
      <c r="K644" t="s">
        <v>31</v>
      </c>
      <c r="L644" t="s">
        <v>8</v>
      </c>
      <c r="M644" t="s">
        <v>35</v>
      </c>
      <c r="N644" s="1">
        <f t="shared" si="60"/>
        <v>45603</v>
      </c>
      <c r="O644" s="4">
        <f t="shared" si="61"/>
        <v>3.9141780226152507E-2</v>
      </c>
      <c r="P644">
        <f t="shared" si="62"/>
        <v>1.4819259259259259</v>
      </c>
      <c r="Q644" s="2">
        <f t="shared" si="63"/>
        <v>11.768235294117646</v>
      </c>
      <c r="R644" s="2">
        <f t="shared" si="64"/>
        <v>40.012</v>
      </c>
      <c r="S644" s="2">
        <f t="shared" si="65"/>
        <v>9.7470758772368296</v>
      </c>
    </row>
    <row r="645" spans="1:19" hidden="1">
      <c r="A645" t="s">
        <v>698</v>
      </c>
      <c r="B645" t="s">
        <v>30</v>
      </c>
      <c r="C645">
        <v>199</v>
      </c>
      <c r="D645">
        <v>4287</v>
      </c>
      <c r="E645" s="2">
        <v>235.58</v>
      </c>
      <c r="F645">
        <v>12</v>
      </c>
      <c r="G645">
        <v>10</v>
      </c>
      <c r="H645">
        <v>0.05</v>
      </c>
      <c r="I645" s="3">
        <v>1276</v>
      </c>
      <c r="J645" s="1">
        <v>45606</v>
      </c>
      <c r="K645" t="s">
        <v>31</v>
      </c>
      <c r="L645" t="s">
        <v>9</v>
      </c>
      <c r="M645" t="s">
        <v>35</v>
      </c>
      <c r="N645" s="1">
        <f t="shared" si="60"/>
        <v>45606</v>
      </c>
      <c r="O645" s="4">
        <f t="shared" si="61"/>
        <v>4.6419407511080008E-2</v>
      </c>
      <c r="P645">
        <f t="shared" si="62"/>
        <v>1.1838190954773871</v>
      </c>
      <c r="Q645" s="2">
        <f t="shared" si="63"/>
        <v>19.631666666666668</v>
      </c>
      <c r="R645" s="2">
        <f t="shared" si="64"/>
        <v>23.558</v>
      </c>
      <c r="S645" s="2">
        <f t="shared" si="65"/>
        <v>5.4164190508532126</v>
      </c>
    </row>
    <row r="646" spans="1:19" hidden="1">
      <c r="A646" t="s">
        <v>699</v>
      </c>
      <c r="B646" t="s">
        <v>30</v>
      </c>
      <c r="C646">
        <v>123</v>
      </c>
      <c r="D646">
        <v>5000</v>
      </c>
      <c r="E646" s="2">
        <v>187.67</v>
      </c>
      <c r="F646">
        <v>25</v>
      </c>
      <c r="G646">
        <v>3</v>
      </c>
      <c r="H646">
        <v>2.4E-2</v>
      </c>
      <c r="I646" s="3">
        <v>1351</v>
      </c>
      <c r="J646" s="1">
        <v>45603</v>
      </c>
      <c r="K646" t="s">
        <v>31</v>
      </c>
      <c r="L646" t="s">
        <v>9</v>
      </c>
      <c r="M646" t="s">
        <v>37</v>
      </c>
      <c r="N646" s="1">
        <f t="shared" si="60"/>
        <v>45603</v>
      </c>
      <c r="O646" s="4">
        <f t="shared" si="61"/>
        <v>2.46E-2</v>
      </c>
      <c r="P646">
        <f t="shared" si="62"/>
        <v>1.5257723577235771</v>
      </c>
      <c r="Q646" s="2">
        <f t="shared" si="63"/>
        <v>7.5067999999999993</v>
      </c>
      <c r="R646" s="2">
        <f t="shared" si="64"/>
        <v>62.556666666666665</v>
      </c>
      <c r="S646" s="2">
        <f t="shared" si="65"/>
        <v>7.1988064155165992</v>
      </c>
    </row>
    <row r="647" spans="1:19" hidden="1">
      <c r="A647" t="s">
        <v>700</v>
      </c>
      <c r="B647" t="s">
        <v>30</v>
      </c>
      <c r="C647">
        <v>154</v>
      </c>
      <c r="D647">
        <v>3437</v>
      </c>
      <c r="E647" s="2">
        <v>211.63</v>
      </c>
      <c r="F647">
        <v>28</v>
      </c>
      <c r="G647">
        <v>4</v>
      </c>
      <c r="H647">
        <v>2.5999999999999999E-2</v>
      </c>
      <c r="I647" s="3">
        <v>1604</v>
      </c>
      <c r="J647" s="1">
        <v>45610</v>
      </c>
      <c r="K647" t="s">
        <v>31</v>
      </c>
      <c r="L647" t="s">
        <v>9</v>
      </c>
      <c r="M647" t="s">
        <v>39</v>
      </c>
      <c r="N647" s="1">
        <f t="shared" si="60"/>
        <v>45610</v>
      </c>
      <c r="O647" s="4">
        <f t="shared" si="61"/>
        <v>4.4806517311608958E-2</v>
      </c>
      <c r="P647">
        <f t="shared" si="62"/>
        <v>1.3742207792207792</v>
      </c>
      <c r="Q647" s="2">
        <f t="shared" si="63"/>
        <v>7.5582142857142856</v>
      </c>
      <c r="R647" s="2">
        <f t="shared" si="64"/>
        <v>52.907499999999999</v>
      </c>
      <c r="S647" s="2">
        <f t="shared" si="65"/>
        <v>7.5792656995700041</v>
      </c>
    </row>
    <row r="648" spans="1:19" hidden="1">
      <c r="A648" t="s">
        <v>701</v>
      </c>
      <c r="B648" t="s">
        <v>30</v>
      </c>
      <c r="C648">
        <v>88</v>
      </c>
      <c r="D648">
        <v>3475</v>
      </c>
      <c r="E648" s="2">
        <v>191.96</v>
      </c>
      <c r="F648">
        <v>12</v>
      </c>
      <c r="G648">
        <v>7</v>
      </c>
      <c r="H648">
        <v>0.08</v>
      </c>
      <c r="I648" s="3">
        <v>1204</v>
      </c>
      <c r="J648" s="1">
        <v>45621</v>
      </c>
      <c r="K648" t="s">
        <v>31</v>
      </c>
      <c r="L648" t="s">
        <v>7</v>
      </c>
      <c r="M648" t="s">
        <v>41</v>
      </c>
      <c r="N648" s="1">
        <f t="shared" si="60"/>
        <v>45621</v>
      </c>
      <c r="O648" s="4">
        <f t="shared" si="61"/>
        <v>2.5323741007194246E-2</v>
      </c>
      <c r="P648">
        <f t="shared" si="62"/>
        <v>2.1813636363636366</v>
      </c>
      <c r="Q648" s="2">
        <f t="shared" si="63"/>
        <v>15.996666666666668</v>
      </c>
      <c r="R648" s="2">
        <f t="shared" si="64"/>
        <v>27.422857142857143</v>
      </c>
      <c r="S648" s="2">
        <f t="shared" si="65"/>
        <v>6.2721400291727445</v>
      </c>
    </row>
    <row r="649" spans="1:19" hidden="1">
      <c r="A649" t="s">
        <v>702</v>
      </c>
      <c r="B649" t="s">
        <v>30</v>
      </c>
      <c r="C649">
        <v>165</v>
      </c>
      <c r="D649">
        <v>4889</v>
      </c>
      <c r="E649" s="2">
        <v>180.19</v>
      </c>
      <c r="F649">
        <v>21</v>
      </c>
      <c r="G649">
        <v>4</v>
      </c>
      <c r="H649">
        <v>2.4E-2</v>
      </c>
      <c r="I649" s="3">
        <v>1458</v>
      </c>
      <c r="J649" s="1">
        <v>45615</v>
      </c>
      <c r="K649" t="s">
        <v>31</v>
      </c>
      <c r="L649" t="s">
        <v>8</v>
      </c>
      <c r="M649" t="s">
        <v>46</v>
      </c>
      <c r="N649" s="1">
        <f t="shared" si="60"/>
        <v>45615</v>
      </c>
      <c r="O649" s="4">
        <f t="shared" si="61"/>
        <v>3.3749232971977912E-2</v>
      </c>
      <c r="P649">
        <f t="shared" si="62"/>
        <v>1.092060606060606</v>
      </c>
      <c r="Q649" s="2">
        <f t="shared" si="63"/>
        <v>8.5804761904761904</v>
      </c>
      <c r="R649" s="2">
        <f t="shared" si="64"/>
        <v>45.047499999999999</v>
      </c>
      <c r="S649" s="2">
        <f t="shared" si="65"/>
        <v>8.0914590154836556</v>
      </c>
    </row>
    <row r="650" spans="1:19" hidden="1">
      <c r="A650" t="s">
        <v>703</v>
      </c>
      <c r="B650" t="s">
        <v>30</v>
      </c>
      <c r="C650">
        <v>87</v>
      </c>
      <c r="D650">
        <v>3639</v>
      </c>
      <c r="E650" s="2">
        <v>220.76</v>
      </c>
      <c r="F650">
        <v>22</v>
      </c>
      <c r="G650">
        <v>3</v>
      </c>
      <c r="H650">
        <v>3.5999999999999997E-2</v>
      </c>
      <c r="I650" s="3">
        <v>1231</v>
      </c>
      <c r="J650" s="1">
        <v>45610</v>
      </c>
      <c r="K650" t="s">
        <v>31</v>
      </c>
      <c r="L650" t="s">
        <v>8</v>
      </c>
      <c r="M650" t="s">
        <v>46</v>
      </c>
      <c r="N650" s="1">
        <f t="shared" si="60"/>
        <v>45610</v>
      </c>
      <c r="O650" s="4">
        <f t="shared" si="61"/>
        <v>2.3907666941467436E-2</v>
      </c>
      <c r="P650">
        <f t="shared" si="62"/>
        <v>2.5374712643678161</v>
      </c>
      <c r="Q650" s="2">
        <f t="shared" si="63"/>
        <v>10.034545454545453</v>
      </c>
      <c r="R650" s="2">
        <f t="shared" si="64"/>
        <v>73.586666666666659</v>
      </c>
      <c r="S650" s="2">
        <f t="shared" si="65"/>
        <v>5.5761913390106903</v>
      </c>
    </row>
    <row r="651" spans="1:19" hidden="1">
      <c r="A651" t="s">
        <v>704</v>
      </c>
      <c r="B651" t="s">
        <v>30</v>
      </c>
      <c r="C651">
        <v>147</v>
      </c>
      <c r="D651">
        <v>3959</v>
      </c>
      <c r="E651" s="2">
        <v>181.18</v>
      </c>
      <c r="F651">
        <v>27</v>
      </c>
      <c r="G651">
        <v>9</v>
      </c>
      <c r="H651">
        <v>6.0999999999999999E-2</v>
      </c>
      <c r="I651" s="3">
        <v>1627</v>
      </c>
      <c r="J651" s="1">
        <v>45622</v>
      </c>
      <c r="K651" t="s">
        <v>31</v>
      </c>
      <c r="L651" t="s">
        <v>8</v>
      </c>
      <c r="M651" t="s">
        <v>46</v>
      </c>
      <c r="N651" s="1">
        <f t="shared" si="60"/>
        <v>45622</v>
      </c>
      <c r="O651" s="4">
        <f t="shared" si="61"/>
        <v>3.7130588532457688E-2</v>
      </c>
      <c r="P651">
        <f t="shared" si="62"/>
        <v>1.2325170068027211</v>
      </c>
      <c r="Q651" s="2">
        <f t="shared" si="63"/>
        <v>6.710370370370371</v>
      </c>
      <c r="R651" s="2">
        <f t="shared" si="64"/>
        <v>20.13111111111111</v>
      </c>
      <c r="S651" s="2">
        <f t="shared" si="65"/>
        <v>8.9800198697427973</v>
      </c>
    </row>
    <row r="652" spans="1:19" hidden="1">
      <c r="A652" t="s">
        <v>705</v>
      </c>
      <c r="B652" t="s">
        <v>30</v>
      </c>
      <c r="C652">
        <v>137</v>
      </c>
      <c r="D652">
        <v>5400</v>
      </c>
      <c r="E652" s="2">
        <v>180.04</v>
      </c>
      <c r="F652">
        <v>10</v>
      </c>
      <c r="G652">
        <v>10</v>
      </c>
      <c r="H652">
        <v>7.2999999999999995E-2</v>
      </c>
      <c r="I652" s="3">
        <v>1375</v>
      </c>
      <c r="J652" s="1">
        <v>45625</v>
      </c>
      <c r="K652" t="s">
        <v>31</v>
      </c>
      <c r="L652" t="s">
        <v>9</v>
      </c>
      <c r="M652" t="s">
        <v>46</v>
      </c>
      <c r="N652" s="1">
        <f t="shared" si="60"/>
        <v>45625</v>
      </c>
      <c r="O652" s="4">
        <f t="shared" si="61"/>
        <v>2.537037037037037E-2</v>
      </c>
      <c r="P652">
        <f t="shared" si="62"/>
        <v>1.3141605839416057</v>
      </c>
      <c r="Q652" s="2">
        <f t="shared" si="63"/>
        <v>18.003999999999998</v>
      </c>
      <c r="R652" s="2">
        <f t="shared" si="64"/>
        <v>18.003999999999998</v>
      </c>
      <c r="S652" s="2">
        <f t="shared" si="65"/>
        <v>7.6371917351699627</v>
      </c>
    </row>
    <row r="653" spans="1:19" hidden="1">
      <c r="A653" t="s">
        <v>706</v>
      </c>
      <c r="B653" t="s">
        <v>30</v>
      </c>
      <c r="C653">
        <v>188</v>
      </c>
      <c r="D653">
        <v>5528</v>
      </c>
      <c r="E653" s="2">
        <v>245.03</v>
      </c>
      <c r="F653">
        <v>13</v>
      </c>
      <c r="G653">
        <v>10</v>
      </c>
      <c r="H653">
        <v>5.2999999999999999E-2</v>
      </c>
      <c r="I653" s="3">
        <v>1202</v>
      </c>
      <c r="J653" s="1">
        <v>45625</v>
      </c>
      <c r="K653" t="s">
        <v>31</v>
      </c>
      <c r="L653" t="s">
        <v>7</v>
      </c>
      <c r="M653" t="s">
        <v>46</v>
      </c>
      <c r="N653" s="1">
        <f t="shared" si="60"/>
        <v>45625</v>
      </c>
      <c r="O653" s="4">
        <f t="shared" si="61"/>
        <v>3.4008683068017367E-2</v>
      </c>
      <c r="P653">
        <f t="shared" si="62"/>
        <v>1.3033510638297872</v>
      </c>
      <c r="Q653" s="2">
        <f t="shared" si="63"/>
        <v>18.848461538461539</v>
      </c>
      <c r="R653" s="2">
        <f t="shared" si="64"/>
        <v>24.503</v>
      </c>
      <c r="S653" s="2">
        <f t="shared" si="65"/>
        <v>4.9055217728441418</v>
      </c>
    </row>
    <row r="654" spans="1:19" hidden="1">
      <c r="A654" t="s">
        <v>707</v>
      </c>
      <c r="B654" t="s">
        <v>30</v>
      </c>
      <c r="C654">
        <v>162</v>
      </c>
      <c r="D654">
        <v>5456</v>
      </c>
      <c r="E654" s="2">
        <v>193.69</v>
      </c>
      <c r="F654">
        <v>10</v>
      </c>
      <c r="G654">
        <v>6</v>
      </c>
      <c r="H654">
        <v>3.6999999999999998E-2</v>
      </c>
      <c r="I654" s="3">
        <v>1992</v>
      </c>
      <c r="J654" s="1">
        <v>45625</v>
      </c>
      <c r="K654" t="s">
        <v>31</v>
      </c>
      <c r="L654" t="s">
        <v>9</v>
      </c>
      <c r="M654" t="s">
        <v>41</v>
      </c>
      <c r="N654" s="1">
        <f t="shared" si="60"/>
        <v>45625</v>
      </c>
      <c r="O654" s="4">
        <f t="shared" si="61"/>
        <v>2.9692082111436952E-2</v>
      </c>
      <c r="P654">
        <f t="shared" si="62"/>
        <v>1.1956172839506172</v>
      </c>
      <c r="Q654" s="2">
        <f t="shared" si="63"/>
        <v>19.369</v>
      </c>
      <c r="R654" s="2">
        <f t="shared" si="64"/>
        <v>32.281666666666666</v>
      </c>
      <c r="S654" s="2">
        <f t="shared" si="65"/>
        <v>10.284475192317622</v>
      </c>
    </row>
    <row r="655" spans="1:19" hidden="1">
      <c r="A655" t="s">
        <v>708</v>
      </c>
      <c r="B655" t="s">
        <v>30</v>
      </c>
      <c r="C655">
        <v>102</v>
      </c>
      <c r="D655">
        <v>4308</v>
      </c>
      <c r="E655" s="2">
        <v>221.54</v>
      </c>
      <c r="F655">
        <v>13</v>
      </c>
      <c r="G655">
        <v>7</v>
      </c>
      <c r="H655">
        <v>0.06</v>
      </c>
      <c r="I655" s="3">
        <v>1096</v>
      </c>
      <c r="J655" s="1">
        <v>45604</v>
      </c>
      <c r="K655" t="s">
        <v>31</v>
      </c>
      <c r="L655" t="s">
        <v>8</v>
      </c>
      <c r="M655" t="s">
        <v>37</v>
      </c>
      <c r="N655" s="1">
        <f t="shared" si="60"/>
        <v>45604</v>
      </c>
      <c r="O655" s="4">
        <f t="shared" si="61"/>
        <v>2.3676880222841225E-2</v>
      </c>
      <c r="P655">
        <f t="shared" si="62"/>
        <v>2.1719607843137254</v>
      </c>
      <c r="Q655" s="2">
        <f t="shared" si="63"/>
        <v>17.041538461538462</v>
      </c>
      <c r="R655" s="2">
        <f t="shared" si="64"/>
        <v>31.648571428571426</v>
      </c>
      <c r="S655" s="2">
        <f t="shared" si="65"/>
        <v>4.9471878667509257</v>
      </c>
    </row>
    <row r="656" spans="1:19" hidden="1">
      <c r="A656" t="s">
        <v>709</v>
      </c>
      <c r="B656" t="s">
        <v>30</v>
      </c>
      <c r="C656">
        <v>120</v>
      </c>
      <c r="D656">
        <v>3245</v>
      </c>
      <c r="E656" s="2">
        <v>196.09</v>
      </c>
      <c r="F656">
        <v>15</v>
      </c>
      <c r="G656">
        <v>9</v>
      </c>
      <c r="H656">
        <v>7.4999999999999997E-2</v>
      </c>
      <c r="I656" s="3">
        <v>1056</v>
      </c>
      <c r="J656" s="1">
        <v>45618</v>
      </c>
      <c r="K656" t="s">
        <v>31</v>
      </c>
      <c r="L656" t="s">
        <v>7</v>
      </c>
      <c r="M656" t="s">
        <v>39</v>
      </c>
      <c r="N656" s="1">
        <f t="shared" si="60"/>
        <v>45618</v>
      </c>
      <c r="O656" s="4">
        <f t="shared" si="61"/>
        <v>3.6979969183359017E-2</v>
      </c>
      <c r="P656">
        <f t="shared" si="62"/>
        <v>1.6340833333333333</v>
      </c>
      <c r="Q656" s="2">
        <f t="shared" si="63"/>
        <v>13.072666666666667</v>
      </c>
      <c r="R656" s="2">
        <f t="shared" si="64"/>
        <v>21.787777777777777</v>
      </c>
      <c r="S656" s="2">
        <f t="shared" si="65"/>
        <v>5.3852822683461676</v>
      </c>
    </row>
    <row r="657" spans="1:19" hidden="1">
      <c r="A657" t="s">
        <v>710</v>
      </c>
      <c r="B657" t="s">
        <v>30</v>
      </c>
      <c r="C657">
        <v>125</v>
      </c>
      <c r="D657">
        <v>3339</v>
      </c>
      <c r="E657" s="2">
        <v>205.32</v>
      </c>
      <c r="F657">
        <v>18</v>
      </c>
      <c r="G657">
        <v>4</v>
      </c>
      <c r="H657">
        <v>5.3999999999999999E-2</v>
      </c>
      <c r="I657" s="3">
        <v>1985</v>
      </c>
      <c r="J657" s="1" t="s">
        <v>357</v>
      </c>
      <c r="K657" t="s">
        <v>31</v>
      </c>
      <c r="L657" t="s">
        <v>7</v>
      </c>
      <c r="M657" t="s">
        <v>35</v>
      </c>
      <c r="N657" s="1">
        <f t="shared" si="60"/>
        <v>45624</v>
      </c>
      <c r="O657" s="4">
        <f t="shared" si="61"/>
        <v>3.7436358191075172E-2</v>
      </c>
      <c r="P657">
        <f t="shared" si="62"/>
        <v>1.64256</v>
      </c>
      <c r="Q657" s="2">
        <f t="shared" si="63"/>
        <v>11.406666666666666</v>
      </c>
      <c r="R657" s="2">
        <f t="shared" si="64"/>
        <v>51.33</v>
      </c>
      <c r="S657" s="2">
        <f t="shared" si="65"/>
        <v>9.6678355737385555</v>
      </c>
    </row>
    <row r="658" spans="1:19">
      <c r="A658" t="s">
        <v>711</v>
      </c>
      <c r="B658" t="s">
        <v>30</v>
      </c>
      <c r="C658">
        <v>155</v>
      </c>
      <c r="D658">
        <v>5977</v>
      </c>
      <c r="E658" s="2">
        <v>187.28</v>
      </c>
      <c r="F658">
        <v>16</v>
      </c>
      <c r="G658">
        <v>7</v>
      </c>
      <c r="H658">
        <v>4.5999999999999999E-2</v>
      </c>
      <c r="I658" s="3">
        <v>1607</v>
      </c>
      <c r="J658" s="1">
        <v>45606</v>
      </c>
      <c r="K658" t="s">
        <v>31</v>
      </c>
      <c r="L658" t="s">
        <v>7</v>
      </c>
      <c r="M658" t="s">
        <v>41</v>
      </c>
      <c r="N658" s="1">
        <f t="shared" si="60"/>
        <v>45606</v>
      </c>
      <c r="O658" s="4">
        <f t="shared" si="61"/>
        <v>2.5932742178350343E-2</v>
      </c>
      <c r="P658">
        <f t="shared" si="62"/>
        <v>1.2082580645161289</v>
      </c>
      <c r="Q658" s="2">
        <f t="shared" si="63"/>
        <v>11.705</v>
      </c>
      <c r="R658" s="2">
        <f t="shared" si="64"/>
        <v>26.754285714285714</v>
      </c>
      <c r="S658" s="2">
        <f t="shared" si="65"/>
        <v>8.5807347287483982</v>
      </c>
    </row>
    <row r="659" spans="1:19" hidden="1">
      <c r="A659" t="s">
        <v>712</v>
      </c>
      <c r="B659" t="s">
        <v>30</v>
      </c>
      <c r="C659">
        <v>137</v>
      </c>
      <c r="D659">
        <v>4231</v>
      </c>
      <c r="E659" s="2">
        <v>226.49</v>
      </c>
      <c r="F659">
        <v>25</v>
      </c>
      <c r="G659">
        <v>5</v>
      </c>
      <c r="H659">
        <v>3.5999999999999997E-2</v>
      </c>
      <c r="I659" s="3">
        <v>1078</v>
      </c>
      <c r="J659" s="1">
        <v>45608</v>
      </c>
      <c r="K659" t="s">
        <v>31</v>
      </c>
      <c r="L659" t="s">
        <v>9</v>
      </c>
      <c r="M659" t="s">
        <v>46</v>
      </c>
      <c r="N659" s="1">
        <f t="shared" si="60"/>
        <v>45608</v>
      </c>
      <c r="O659" s="4">
        <f t="shared" si="61"/>
        <v>3.2380051997163789E-2</v>
      </c>
      <c r="P659">
        <f t="shared" si="62"/>
        <v>1.6532116788321169</v>
      </c>
      <c r="Q659" s="2">
        <f t="shared" si="63"/>
        <v>9.0595999999999997</v>
      </c>
      <c r="R659" s="2">
        <f t="shared" si="64"/>
        <v>45.298000000000002</v>
      </c>
      <c r="S659" s="2">
        <f t="shared" si="65"/>
        <v>4.7595920349684313</v>
      </c>
    </row>
    <row r="660" spans="1:19" hidden="1">
      <c r="A660" t="s">
        <v>713</v>
      </c>
      <c r="B660" t="s">
        <v>30</v>
      </c>
      <c r="C660">
        <v>91</v>
      </c>
      <c r="D660">
        <v>4506</v>
      </c>
      <c r="E660" s="2">
        <v>195.99</v>
      </c>
      <c r="F660">
        <v>12</v>
      </c>
      <c r="G660">
        <v>3</v>
      </c>
      <c r="H660">
        <v>4.4999999999999998E-2</v>
      </c>
      <c r="I660" s="3">
        <v>1179</v>
      </c>
      <c r="J660" s="1">
        <v>45618</v>
      </c>
      <c r="K660" t="s">
        <v>31</v>
      </c>
      <c r="L660" t="s">
        <v>9</v>
      </c>
      <c r="M660" t="s">
        <v>32</v>
      </c>
      <c r="N660" s="1">
        <f t="shared" si="60"/>
        <v>45618</v>
      </c>
      <c r="O660" s="4">
        <f t="shared" si="61"/>
        <v>2.0195295162006213E-2</v>
      </c>
      <c r="P660">
        <f t="shared" si="62"/>
        <v>2.1537362637362638</v>
      </c>
      <c r="Q660" s="2">
        <f t="shared" si="63"/>
        <v>16.3325</v>
      </c>
      <c r="R660" s="2">
        <f t="shared" si="64"/>
        <v>65.33</v>
      </c>
      <c r="S660" s="2">
        <f t="shared" si="65"/>
        <v>6.0156130414817079</v>
      </c>
    </row>
    <row r="661" spans="1:19" hidden="1">
      <c r="A661" t="s">
        <v>714</v>
      </c>
      <c r="B661" t="s">
        <v>30</v>
      </c>
      <c r="C661">
        <v>87</v>
      </c>
      <c r="D661">
        <v>4869</v>
      </c>
      <c r="E661" s="2">
        <v>220.97</v>
      </c>
      <c r="F661">
        <v>29</v>
      </c>
      <c r="G661">
        <v>5</v>
      </c>
      <c r="H661">
        <v>5.7000000000000002E-2</v>
      </c>
      <c r="I661" s="3">
        <v>1480</v>
      </c>
      <c r="J661" s="1">
        <v>45601</v>
      </c>
      <c r="K661" t="s">
        <v>31</v>
      </c>
      <c r="L661" t="s">
        <v>7</v>
      </c>
      <c r="M661" t="s">
        <v>39</v>
      </c>
      <c r="N661" s="1">
        <f t="shared" si="60"/>
        <v>45601</v>
      </c>
      <c r="O661" s="4">
        <f t="shared" si="61"/>
        <v>1.7868145409735057E-2</v>
      </c>
      <c r="P661">
        <f t="shared" si="62"/>
        <v>2.5398850574712641</v>
      </c>
      <c r="Q661" s="2">
        <f t="shared" si="63"/>
        <v>7.6196551724137933</v>
      </c>
      <c r="R661" s="2">
        <f t="shared" si="64"/>
        <v>44.194000000000003</v>
      </c>
      <c r="S661" s="2">
        <f t="shared" si="65"/>
        <v>6.6977417749015702</v>
      </c>
    </row>
    <row r="662" spans="1:19">
      <c r="A662" t="s">
        <v>715</v>
      </c>
      <c r="B662" t="s">
        <v>30</v>
      </c>
      <c r="C662">
        <v>124</v>
      </c>
      <c r="D662">
        <v>5716</v>
      </c>
      <c r="E662" s="2">
        <v>217.84</v>
      </c>
      <c r="F662">
        <v>28</v>
      </c>
      <c r="G662">
        <v>8</v>
      </c>
      <c r="H662">
        <v>4.5999999999999999E-2</v>
      </c>
      <c r="I662" s="3">
        <v>1791</v>
      </c>
      <c r="J662" s="1">
        <v>45620</v>
      </c>
      <c r="K662" t="s">
        <v>31</v>
      </c>
      <c r="L662" t="s">
        <v>8</v>
      </c>
      <c r="M662" t="s">
        <v>39</v>
      </c>
      <c r="N662" s="1">
        <f t="shared" si="60"/>
        <v>45620</v>
      </c>
      <c r="O662" s="4">
        <f t="shared" si="61"/>
        <v>2.1693491952414275E-2</v>
      </c>
      <c r="P662">
        <f t="shared" si="62"/>
        <v>1.7567741935483872</v>
      </c>
      <c r="Q662" s="2">
        <f t="shared" si="63"/>
        <v>7.78</v>
      </c>
      <c r="R662" s="2">
        <f t="shared" si="64"/>
        <v>27.23</v>
      </c>
      <c r="S662" s="2">
        <f t="shared" si="65"/>
        <v>8.2216305545354391</v>
      </c>
    </row>
    <row r="663" spans="1:19" hidden="1">
      <c r="A663" t="s">
        <v>716</v>
      </c>
      <c r="B663" t="s">
        <v>30</v>
      </c>
      <c r="C663">
        <v>128</v>
      </c>
      <c r="D663">
        <v>3243</v>
      </c>
      <c r="E663" s="2">
        <v>208.41</v>
      </c>
      <c r="F663">
        <v>14</v>
      </c>
      <c r="G663">
        <v>6</v>
      </c>
      <c r="H663">
        <v>3.6999999999999998E-2</v>
      </c>
      <c r="I663" s="3">
        <v>1514</v>
      </c>
      <c r="J663" s="1">
        <v>45333</v>
      </c>
      <c r="K663" t="s">
        <v>31</v>
      </c>
      <c r="L663" t="s">
        <v>8</v>
      </c>
      <c r="M663" t="s">
        <v>41</v>
      </c>
      <c r="N663" s="1">
        <f t="shared" si="60"/>
        <v>45333</v>
      </c>
      <c r="O663" s="4">
        <f t="shared" si="61"/>
        <v>3.9469626888683315E-2</v>
      </c>
      <c r="P663">
        <f t="shared" si="62"/>
        <v>1.628203125</v>
      </c>
      <c r="Q663" s="2">
        <f t="shared" si="63"/>
        <v>14.886428571428571</v>
      </c>
      <c r="R663" s="2">
        <f t="shared" si="64"/>
        <v>34.734999999999999</v>
      </c>
      <c r="S663" s="2">
        <f t="shared" si="65"/>
        <v>7.2645266541912576</v>
      </c>
    </row>
    <row r="664" spans="1:19">
      <c r="A664" t="s">
        <v>717</v>
      </c>
      <c r="B664" t="s">
        <v>30</v>
      </c>
      <c r="C664">
        <v>111</v>
      </c>
      <c r="D664">
        <v>3911</v>
      </c>
      <c r="E664" s="2">
        <v>239.24</v>
      </c>
      <c r="F664">
        <v>28</v>
      </c>
      <c r="G664">
        <v>9</v>
      </c>
      <c r="H664">
        <v>4.5999999999999999E-2</v>
      </c>
      <c r="I664" s="3">
        <v>1097</v>
      </c>
      <c r="J664" s="1">
        <v>45597</v>
      </c>
      <c r="K664" t="s">
        <v>31</v>
      </c>
      <c r="L664" t="s">
        <v>9</v>
      </c>
      <c r="M664" t="s">
        <v>41</v>
      </c>
      <c r="N664" s="1">
        <f t="shared" si="60"/>
        <v>45597</v>
      </c>
      <c r="O664" s="4">
        <f t="shared" si="61"/>
        <v>2.8381488110457685E-2</v>
      </c>
      <c r="P664">
        <f t="shared" si="62"/>
        <v>2.1553153153153155</v>
      </c>
      <c r="Q664" s="2">
        <f t="shared" si="63"/>
        <v>8.5442857142857154</v>
      </c>
      <c r="R664" s="2">
        <f t="shared" si="64"/>
        <v>26.582222222222224</v>
      </c>
      <c r="S664" s="2">
        <f t="shared" si="65"/>
        <v>4.5853536197960203</v>
      </c>
    </row>
    <row r="665" spans="1:19" hidden="1">
      <c r="A665" t="s">
        <v>718</v>
      </c>
      <c r="B665" t="s">
        <v>30</v>
      </c>
      <c r="C665">
        <v>89</v>
      </c>
      <c r="D665">
        <v>3982</v>
      </c>
      <c r="E665" s="2">
        <v>209.87</v>
      </c>
      <c r="F665">
        <v>27</v>
      </c>
      <c r="G665">
        <v>7</v>
      </c>
      <c r="H665">
        <v>7.9000000000000001E-2</v>
      </c>
      <c r="I665" s="3">
        <v>1920</v>
      </c>
      <c r="J665" s="1">
        <v>45393</v>
      </c>
      <c r="K665" t="s">
        <v>31</v>
      </c>
      <c r="L665" t="s">
        <v>7</v>
      </c>
      <c r="M665" t="s">
        <v>35</v>
      </c>
      <c r="N665" s="1">
        <f t="shared" si="60"/>
        <v>45393</v>
      </c>
      <c r="O665" s="4">
        <f t="shared" si="61"/>
        <v>2.2350577599196383E-2</v>
      </c>
      <c r="P665">
        <f t="shared" si="62"/>
        <v>2.3580898876404497</v>
      </c>
      <c r="Q665" s="2">
        <f t="shared" si="63"/>
        <v>7.7729629629629633</v>
      </c>
      <c r="R665" s="2">
        <f t="shared" si="64"/>
        <v>29.981428571428573</v>
      </c>
      <c r="S665" s="2">
        <f t="shared" si="65"/>
        <v>9.1485205126983367</v>
      </c>
    </row>
    <row r="666" spans="1:19">
      <c r="A666" t="s">
        <v>719</v>
      </c>
      <c r="B666" t="s">
        <v>30</v>
      </c>
      <c r="C666">
        <v>107</v>
      </c>
      <c r="D666">
        <v>5299</v>
      </c>
      <c r="E666" s="2">
        <v>207.36</v>
      </c>
      <c r="F666">
        <v>19</v>
      </c>
      <c r="G666">
        <v>8</v>
      </c>
      <c r="H666">
        <v>4.5999999999999999E-2</v>
      </c>
      <c r="I666" s="3">
        <v>1567</v>
      </c>
      <c r="J666" s="1">
        <v>45622</v>
      </c>
      <c r="K666" t="s">
        <v>31</v>
      </c>
      <c r="L666" t="s">
        <v>9</v>
      </c>
      <c r="M666" t="s">
        <v>39</v>
      </c>
      <c r="N666" s="1">
        <f t="shared" si="60"/>
        <v>45622</v>
      </c>
      <c r="O666" s="4">
        <f t="shared" si="61"/>
        <v>2.0192489148896018E-2</v>
      </c>
      <c r="P666">
        <f t="shared" si="62"/>
        <v>1.937943925233645</v>
      </c>
      <c r="Q666" s="2">
        <f t="shared" si="63"/>
        <v>10.913684210526316</v>
      </c>
      <c r="R666" s="2">
        <f t="shared" si="64"/>
        <v>25.92</v>
      </c>
      <c r="S666" s="2">
        <f t="shared" si="65"/>
        <v>7.55690586419753</v>
      </c>
    </row>
    <row r="667" spans="1:19">
      <c r="A667" t="s">
        <v>720</v>
      </c>
      <c r="B667" t="s">
        <v>30</v>
      </c>
      <c r="C667">
        <v>181</v>
      </c>
      <c r="D667">
        <v>4150</v>
      </c>
      <c r="E667" s="2">
        <v>236.69</v>
      </c>
      <c r="F667">
        <v>15</v>
      </c>
      <c r="G667">
        <v>5</v>
      </c>
      <c r="H667">
        <v>4.5999999999999999E-2</v>
      </c>
      <c r="I667" s="3">
        <v>1251</v>
      </c>
      <c r="J667" s="1">
        <v>45606</v>
      </c>
      <c r="K667" t="s">
        <v>31</v>
      </c>
      <c r="L667" t="s">
        <v>8</v>
      </c>
      <c r="M667" t="s">
        <v>37</v>
      </c>
      <c r="N667" s="1">
        <f t="shared" si="60"/>
        <v>45606</v>
      </c>
      <c r="O667" s="4">
        <f t="shared" si="61"/>
        <v>4.3614457831325303E-2</v>
      </c>
      <c r="P667">
        <f t="shared" si="62"/>
        <v>1.3076795580110496</v>
      </c>
      <c r="Q667" s="2">
        <f t="shared" si="63"/>
        <v>15.779333333333334</v>
      </c>
      <c r="R667" s="2">
        <f t="shared" si="64"/>
        <v>47.338000000000001</v>
      </c>
      <c r="S667" s="2">
        <f t="shared" si="65"/>
        <v>5.285394397735435</v>
      </c>
    </row>
    <row r="668" spans="1:19" hidden="1">
      <c r="A668" t="s">
        <v>721</v>
      </c>
      <c r="B668" t="s">
        <v>30</v>
      </c>
      <c r="C668">
        <v>110</v>
      </c>
      <c r="D668">
        <v>5925</v>
      </c>
      <c r="E668" s="2">
        <v>188.18</v>
      </c>
      <c r="F668">
        <v>29</v>
      </c>
      <c r="G668">
        <v>9</v>
      </c>
      <c r="H668">
        <v>8.2000000000000003E-2</v>
      </c>
      <c r="I668" s="3">
        <v>1682</v>
      </c>
      <c r="J668" s="1" t="s">
        <v>111</v>
      </c>
      <c r="K668" t="s">
        <v>31</v>
      </c>
      <c r="L668" t="s">
        <v>7</v>
      </c>
      <c r="M668" t="s">
        <v>39</v>
      </c>
      <c r="N668" s="1">
        <f t="shared" si="60"/>
        <v>45619</v>
      </c>
      <c r="O668" s="4">
        <f t="shared" si="61"/>
        <v>1.8565400843881856E-2</v>
      </c>
      <c r="P668">
        <f t="shared" si="62"/>
        <v>1.7107272727272729</v>
      </c>
      <c r="Q668" s="2">
        <f t="shared" si="63"/>
        <v>6.4889655172413798</v>
      </c>
      <c r="R668" s="2">
        <f t="shared" si="64"/>
        <v>20.908888888888889</v>
      </c>
      <c r="S668" s="2">
        <f t="shared" si="65"/>
        <v>8.9382506111170148</v>
      </c>
    </row>
    <row r="669" spans="1:19" hidden="1">
      <c r="A669" t="s">
        <v>722</v>
      </c>
      <c r="B669" t="s">
        <v>30</v>
      </c>
      <c r="C669">
        <v>85</v>
      </c>
      <c r="D669">
        <v>4010</v>
      </c>
      <c r="E669" s="2">
        <v>195.26</v>
      </c>
      <c r="F669">
        <v>17</v>
      </c>
      <c r="G669">
        <v>4</v>
      </c>
      <c r="H669">
        <v>4.2000000000000003E-2</v>
      </c>
      <c r="I669" s="3">
        <v>1853</v>
      </c>
      <c r="J669" s="1">
        <v>45454</v>
      </c>
      <c r="K669" t="s">
        <v>31</v>
      </c>
      <c r="L669" t="s">
        <v>8</v>
      </c>
      <c r="M669" t="s">
        <v>37</v>
      </c>
      <c r="N669" s="1">
        <f t="shared" si="60"/>
        <v>45454</v>
      </c>
      <c r="O669" s="4">
        <f t="shared" si="61"/>
        <v>2.119700748129676E-2</v>
      </c>
      <c r="P669">
        <f t="shared" si="62"/>
        <v>2.2971764705882354</v>
      </c>
      <c r="Q669" s="2">
        <f t="shared" si="63"/>
        <v>11.485882352941175</v>
      </c>
      <c r="R669" s="2">
        <f t="shared" si="64"/>
        <v>48.814999999999998</v>
      </c>
      <c r="S669" s="2">
        <f t="shared" si="65"/>
        <v>9.4899108880467082</v>
      </c>
    </row>
    <row r="670" spans="1:19" hidden="1">
      <c r="A670" t="s">
        <v>723</v>
      </c>
      <c r="B670" t="s">
        <v>30</v>
      </c>
      <c r="C670">
        <v>125</v>
      </c>
      <c r="D670">
        <v>5767</v>
      </c>
      <c r="E670" s="2">
        <v>215.57</v>
      </c>
      <c r="F670">
        <v>12</v>
      </c>
      <c r="G670">
        <v>8</v>
      </c>
      <c r="H670">
        <v>3.5000000000000003E-2</v>
      </c>
      <c r="I670" s="3">
        <v>1020</v>
      </c>
      <c r="J670" s="1">
        <v>45615</v>
      </c>
      <c r="K670" t="s">
        <v>31</v>
      </c>
      <c r="L670" t="s">
        <v>9</v>
      </c>
      <c r="M670" t="s">
        <v>37</v>
      </c>
      <c r="N670" s="1">
        <f t="shared" si="60"/>
        <v>45615</v>
      </c>
      <c r="O670" s="4">
        <f t="shared" si="61"/>
        <v>2.1675047685104906E-2</v>
      </c>
      <c r="P670">
        <f t="shared" si="62"/>
        <v>1.7245599999999999</v>
      </c>
      <c r="Q670" s="2">
        <f t="shared" si="63"/>
        <v>17.964166666666667</v>
      </c>
      <c r="R670" s="2">
        <f t="shared" si="64"/>
        <v>26.946249999999999</v>
      </c>
      <c r="S670" s="2">
        <f t="shared" si="65"/>
        <v>4.7316416941132813</v>
      </c>
    </row>
    <row r="671" spans="1:19" hidden="1">
      <c r="A671" t="s">
        <v>724</v>
      </c>
      <c r="B671" t="s">
        <v>30</v>
      </c>
      <c r="C671">
        <v>163</v>
      </c>
      <c r="D671">
        <v>4518.5</v>
      </c>
      <c r="E671" s="2">
        <v>215.57</v>
      </c>
      <c r="F671">
        <v>11</v>
      </c>
      <c r="G671">
        <v>3</v>
      </c>
      <c r="H671">
        <v>1.7999999999999999E-2</v>
      </c>
      <c r="I671" s="3">
        <v>1819</v>
      </c>
      <c r="J671" s="1">
        <v>45616</v>
      </c>
      <c r="K671" t="s">
        <v>31</v>
      </c>
      <c r="L671" t="s">
        <v>9</v>
      </c>
      <c r="M671" t="s">
        <v>39</v>
      </c>
      <c r="N671" s="1">
        <f t="shared" si="60"/>
        <v>45616</v>
      </c>
      <c r="O671" s="4">
        <f t="shared" si="61"/>
        <v>3.6073918335730884E-2</v>
      </c>
      <c r="P671">
        <f t="shared" si="62"/>
        <v>1.3225153374233127</v>
      </c>
      <c r="Q671" s="2">
        <f t="shared" si="63"/>
        <v>19.597272727272728</v>
      </c>
      <c r="R671" s="2">
        <f t="shared" si="64"/>
        <v>71.856666666666669</v>
      </c>
      <c r="S671" s="2">
        <f t="shared" si="65"/>
        <v>8.4380943545020184</v>
      </c>
    </row>
    <row r="672" spans="1:19" hidden="1">
      <c r="A672" t="s">
        <v>725</v>
      </c>
      <c r="B672" t="s">
        <v>30</v>
      </c>
      <c r="C672">
        <v>129</v>
      </c>
      <c r="D672">
        <v>3787</v>
      </c>
      <c r="E672" s="2">
        <v>229.81</v>
      </c>
      <c r="F672">
        <v>10</v>
      </c>
      <c r="G672">
        <v>6</v>
      </c>
      <c r="H672">
        <v>4.7E-2</v>
      </c>
      <c r="I672" s="3">
        <v>1221</v>
      </c>
      <c r="J672" s="1">
        <v>45609</v>
      </c>
      <c r="K672" t="s">
        <v>31</v>
      </c>
      <c r="L672" t="s">
        <v>7</v>
      </c>
      <c r="M672" t="s">
        <v>41</v>
      </c>
      <c r="N672" s="1">
        <f t="shared" si="60"/>
        <v>45609</v>
      </c>
      <c r="O672" s="4">
        <f t="shared" si="61"/>
        <v>3.4063902825455503E-2</v>
      </c>
      <c r="P672">
        <f t="shared" si="62"/>
        <v>1.7814728682170542</v>
      </c>
      <c r="Q672" s="2">
        <f t="shared" si="63"/>
        <v>22.981000000000002</v>
      </c>
      <c r="R672" s="2">
        <f t="shared" si="64"/>
        <v>38.301666666666669</v>
      </c>
      <c r="S672" s="2">
        <f t="shared" si="65"/>
        <v>5.3130847221617854</v>
      </c>
    </row>
    <row r="673" spans="1:19" hidden="1">
      <c r="A673" t="s">
        <v>726</v>
      </c>
      <c r="B673" t="s">
        <v>30</v>
      </c>
      <c r="C673">
        <v>112</v>
      </c>
      <c r="D673">
        <v>4834</v>
      </c>
      <c r="E673" s="2">
        <v>212.27</v>
      </c>
      <c r="F673">
        <v>11</v>
      </c>
      <c r="G673">
        <v>7</v>
      </c>
      <c r="H673">
        <v>6.2E-2</v>
      </c>
      <c r="I673" s="3">
        <v>1524</v>
      </c>
      <c r="J673" s="1">
        <v>45623</v>
      </c>
      <c r="K673" t="s">
        <v>31</v>
      </c>
      <c r="L673" t="s">
        <v>8</v>
      </c>
      <c r="M673" t="s">
        <v>37</v>
      </c>
      <c r="N673" s="1">
        <f t="shared" si="60"/>
        <v>45623</v>
      </c>
      <c r="O673" s="4">
        <f t="shared" si="61"/>
        <v>2.3169218038891187E-2</v>
      </c>
      <c r="P673">
        <f t="shared" si="62"/>
        <v>1.8952678571428572</v>
      </c>
      <c r="Q673" s="2">
        <f t="shared" si="63"/>
        <v>19.297272727272727</v>
      </c>
      <c r="R673" s="2">
        <f t="shared" si="64"/>
        <v>30.324285714285715</v>
      </c>
      <c r="S673" s="2">
        <f t="shared" si="65"/>
        <v>7.1795354972440757</v>
      </c>
    </row>
    <row r="674" spans="1:19" hidden="1">
      <c r="A674" t="s">
        <v>727</v>
      </c>
      <c r="B674" t="s">
        <v>30</v>
      </c>
      <c r="C674">
        <v>104</v>
      </c>
      <c r="D674">
        <v>3031</v>
      </c>
      <c r="E674" s="2">
        <v>188.47</v>
      </c>
      <c r="F674">
        <v>13</v>
      </c>
      <c r="G674">
        <v>6</v>
      </c>
      <c r="H674">
        <v>4.2999999999999997E-2</v>
      </c>
      <c r="I674" s="3">
        <v>1998</v>
      </c>
      <c r="J674" s="1">
        <v>45601</v>
      </c>
      <c r="K674" t="s">
        <v>31</v>
      </c>
      <c r="L674" t="s">
        <v>7</v>
      </c>
      <c r="M674" t="s">
        <v>39</v>
      </c>
      <c r="N674" s="1">
        <f t="shared" si="60"/>
        <v>45601</v>
      </c>
      <c r="O674" s="4">
        <f t="shared" si="61"/>
        <v>3.4312108215110527E-2</v>
      </c>
      <c r="P674">
        <f t="shared" si="62"/>
        <v>1.8122115384615385</v>
      </c>
      <c r="Q674" s="2">
        <f t="shared" si="63"/>
        <v>14.497692307692308</v>
      </c>
      <c r="R674" s="2">
        <f t="shared" si="64"/>
        <v>31.411666666666665</v>
      </c>
      <c r="S674" s="2">
        <f t="shared" si="65"/>
        <v>10.601156682761182</v>
      </c>
    </row>
    <row r="675" spans="1:19" hidden="1">
      <c r="A675" t="s">
        <v>728</v>
      </c>
      <c r="B675" t="s">
        <v>30</v>
      </c>
      <c r="C675">
        <v>132</v>
      </c>
      <c r="D675">
        <v>3754</v>
      </c>
      <c r="E675" s="2">
        <v>180.88</v>
      </c>
      <c r="F675">
        <v>21</v>
      </c>
      <c r="G675">
        <v>10</v>
      </c>
      <c r="H675">
        <v>7.5999999999999998E-2</v>
      </c>
      <c r="I675" s="3">
        <v>1601</v>
      </c>
      <c r="J675" s="1">
        <v>45620</v>
      </c>
      <c r="K675" t="s">
        <v>31</v>
      </c>
      <c r="L675" t="s">
        <v>8</v>
      </c>
      <c r="M675" t="s">
        <v>41</v>
      </c>
      <c r="N675" s="1">
        <f t="shared" si="60"/>
        <v>45620</v>
      </c>
      <c r="O675" s="4">
        <f t="shared" si="61"/>
        <v>3.5162493340436869E-2</v>
      </c>
      <c r="P675">
        <f t="shared" si="62"/>
        <v>1.3703030303030304</v>
      </c>
      <c r="Q675" s="2">
        <f t="shared" si="63"/>
        <v>8.6133333333333333</v>
      </c>
      <c r="R675" s="2">
        <f t="shared" si="64"/>
        <v>18.088000000000001</v>
      </c>
      <c r="S675" s="2">
        <f t="shared" si="65"/>
        <v>8.8511720477664753</v>
      </c>
    </row>
    <row r="676" spans="1:19" hidden="1">
      <c r="A676" t="s">
        <v>729</v>
      </c>
      <c r="B676" t="s">
        <v>30</v>
      </c>
      <c r="C676">
        <v>113</v>
      </c>
      <c r="D676">
        <v>3281</v>
      </c>
      <c r="E676" s="2">
        <v>241.85</v>
      </c>
      <c r="F676">
        <v>16</v>
      </c>
      <c r="G676">
        <v>6</v>
      </c>
      <c r="H676">
        <v>5.2999999999999999E-2</v>
      </c>
      <c r="I676" s="3">
        <v>1505</v>
      </c>
      <c r="J676" s="1">
        <v>45515</v>
      </c>
      <c r="K676" t="s">
        <v>31</v>
      </c>
      <c r="L676" t="s">
        <v>9</v>
      </c>
      <c r="M676" t="s">
        <v>37</v>
      </c>
      <c r="N676" s="1">
        <f t="shared" si="60"/>
        <v>45515</v>
      </c>
      <c r="O676" s="4">
        <f t="shared" si="61"/>
        <v>3.4440719292898506E-2</v>
      </c>
      <c r="P676">
        <f t="shared" si="62"/>
        <v>2.1402654867256636</v>
      </c>
      <c r="Q676" s="2">
        <f t="shared" si="63"/>
        <v>15.115625</v>
      </c>
      <c r="R676" s="2">
        <f t="shared" si="64"/>
        <v>40.30833333333333</v>
      </c>
      <c r="S676" s="2">
        <f t="shared" si="65"/>
        <v>6.2228654124457305</v>
      </c>
    </row>
    <row r="677" spans="1:19" hidden="1">
      <c r="A677" t="s">
        <v>730</v>
      </c>
      <c r="B677" t="s">
        <v>30</v>
      </c>
      <c r="C677">
        <v>109</v>
      </c>
      <c r="D677">
        <v>4910</v>
      </c>
      <c r="E677" s="2">
        <v>236.2</v>
      </c>
      <c r="F677">
        <v>20</v>
      </c>
      <c r="G677">
        <v>8</v>
      </c>
      <c r="H677">
        <v>5.3999999999999999E-2</v>
      </c>
      <c r="I677" s="3">
        <v>1145</v>
      </c>
      <c r="J677" s="1">
        <v>45604</v>
      </c>
      <c r="K677" t="s">
        <v>31</v>
      </c>
      <c r="L677" t="s">
        <v>9</v>
      </c>
      <c r="M677" t="s">
        <v>39</v>
      </c>
      <c r="N677" s="1">
        <f t="shared" si="60"/>
        <v>45604</v>
      </c>
      <c r="O677" s="4">
        <f t="shared" si="61"/>
        <v>2.2199592668024438E-2</v>
      </c>
      <c r="P677">
        <f t="shared" si="62"/>
        <v>2.16697247706422</v>
      </c>
      <c r="Q677" s="2">
        <f t="shared" si="63"/>
        <v>11.809999999999999</v>
      </c>
      <c r="R677" s="2">
        <f t="shared" si="64"/>
        <v>29.524999999999999</v>
      </c>
      <c r="S677" s="2">
        <f t="shared" si="65"/>
        <v>4.8475867908552077</v>
      </c>
    </row>
    <row r="678" spans="1:19" hidden="1">
      <c r="A678" t="s">
        <v>731</v>
      </c>
      <c r="B678" t="s">
        <v>30</v>
      </c>
      <c r="C678">
        <v>144</v>
      </c>
      <c r="D678">
        <v>5026</v>
      </c>
      <c r="E678" s="2">
        <v>231.82</v>
      </c>
      <c r="F678">
        <v>14</v>
      </c>
      <c r="G678">
        <v>4</v>
      </c>
      <c r="H678">
        <v>2.8000000000000001E-2</v>
      </c>
      <c r="I678" s="3">
        <v>1645</v>
      </c>
      <c r="J678" s="1">
        <v>45606</v>
      </c>
      <c r="K678" t="s">
        <v>31</v>
      </c>
      <c r="L678" t="s">
        <v>7</v>
      </c>
      <c r="M678" t="s">
        <v>35</v>
      </c>
      <c r="N678" s="1">
        <f t="shared" si="60"/>
        <v>45606</v>
      </c>
      <c r="O678" s="4">
        <f t="shared" si="61"/>
        <v>2.8651014723438121E-2</v>
      </c>
      <c r="P678">
        <f t="shared" si="62"/>
        <v>1.609861111111111</v>
      </c>
      <c r="Q678" s="2">
        <f t="shared" si="63"/>
        <v>16.55857142857143</v>
      </c>
      <c r="R678" s="2">
        <f t="shared" si="64"/>
        <v>57.954999999999998</v>
      </c>
      <c r="S678" s="2">
        <f t="shared" si="65"/>
        <v>7.0960227762919512</v>
      </c>
    </row>
    <row r="679" spans="1:19" hidden="1">
      <c r="A679" t="s">
        <v>732</v>
      </c>
      <c r="B679" t="s">
        <v>30</v>
      </c>
      <c r="C679">
        <v>179</v>
      </c>
      <c r="D679">
        <v>5091</v>
      </c>
      <c r="E679" s="2">
        <v>238.62</v>
      </c>
      <c r="F679">
        <v>10</v>
      </c>
      <c r="G679">
        <v>6</v>
      </c>
      <c r="H679">
        <v>3.4000000000000002E-2</v>
      </c>
      <c r="I679" s="3">
        <v>1259</v>
      </c>
      <c r="J679" s="1" t="s">
        <v>167</v>
      </c>
      <c r="K679" t="s">
        <v>31</v>
      </c>
      <c r="L679" t="s">
        <v>8</v>
      </c>
      <c r="M679" t="s">
        <v>32</v>
      </c>
      <c r="N679" s="1">
        <f t="shared" si="60"/>
        <v>45620</v>
      </c>
      <c r="O679" s="4">
        <f t="shared" si="61"/>
        <v>3.5160086427028087E-2</v>
      </c>
      <c r="P679">
        <f t="shared" si="62"/>
        <v>1.3330726256983241</v>
      </c>
      <c r="Q679" s="2">
        <f t="shared" si="63"/>
        <v>23.862000000000002</v>
      </c>
      <c r="R679" s="2">
        <f t="shared" si="64"/>
        <v>39.770000000000003</v>
      </c>
      <c r="S679" s="2">
        <f t="shared" si="65"/>
        <v>5.2761713184142147</v>
      </c>
    </row>
    <row r="680" spans="1:19">
      <c r="A680" t="s">
        <v>733</v>
      </c>
      <c r="B680" t="s">
        <v>30</v>
      </c>
      <c r="C680">
        <v>139</v>
      </c>
      <c r="D680">
        <v>5622</v>
      </c>
      <c r="E680" s="2">
        <v>190.87</v>
      </c>
      <c r="F680">
        <v>14</v>
      </c>
      <c r="G680">
        <v>8</v>
      </c>
      <c r="H680">
        <v>4.5999999999999999E-2</v>
      </c>
      <c r="I680" s="3">
        <v>1400</v>
      </c>
      <c r="J680" s="1" t="s">
        <v>132</v>
      </c>
      <c r="K680" t="s">
        <v>31</v>
      </c>
      <c r="L680" t="s">
        <v>8</v>
      </c>
      <c r="M680" t="s">
        <v>46</v>
      </c>
      <c r="N680" s="1">
        <f t="shared" si="60"/>
        <v>45613</v>
      </c>
      <c r="O680" s="4">
        <f t="shared" si="61"/>
        <v>2.4724297403059408E-2</v>
      </c>
      <c r="P680">
        <f t="shared" si="62"/>
        <v>1.3731654676258993</v>
      </c>
      <c r="Q680" s="2">
        <f t="shared" si="63"/>
        <v>13.633571428571429</v>
      </c>
      <c r="R680" s="2">
        <f t="shared" si="64"/>
        <v>23.858750000000001</v>
      </c>
      <c r="S680" s="2">
        <f t="shared" si="65"/>
        <v>7.3348352281657672</v>
      </c>
    </row>
    <row r="681" spans="1:19" hidden="1">
      <c r="A681" t="s">
        <v>734</v>
      </c>
      <c r="B681" t="s">
        <v>30</v>
      </c>
      <c r="C681">
        <v>116</v>
      </c>
      <c r="D681">
        <v>4538</v>
      </c>
      <c r="E681" s="2">
        <v>221.74</v>
      </c>
      <c r="F681">
        <v>23</v>
      </c>
      <c r="G681">
        <v>9</v>
      </c>
      <c r="H681">
        <v>7.8E-2</v>
      </c>
      <c r="I681" s="3">
        <v>1639</v>
      </c>
      <c r="J681" s="1">
        <v>45620</v>
      </c>
      <c r="K681" t="s">
        <v>31</v>
      </c>
      <c r="L681" t="s">
        <v>7</v>
      </c>
      <c r="M681" t="s">
        <v>39</v>
      </c>
      <c r="N681" s="1">
        <f t="shared" si="60"/>
        <v>45620</v>
      </c>
      <c r="O681" s="4">
        <f t="shared" si="61"/>
        <v>2.5561921551344204E-2</v>
      </c>
      <c r="P681">
        <f t="shared" si="62"/>
        <v>1.9115517241379312</v>
      </c>
      <c r="Q681" s="2">
        <f t="shared" si="63"/>
        <v>9.6408695652173915</v>
      </c>
      <c r="R681" s="2">
        <f t="shared" si="64"/>
        <v>24.637777777777778</v>
      </c>
      <c r="S681" s="2">
        <f t="shared" si="65"/>
        <v>7.3915396410210157</v>
      </c>
    </row>
    <row r="682" spans="1:19" hidden="1">
      <c r="A682" t="s">
        <v>735</v>
      </c>
      <c r="B682" t="s">
        <v>30</v>
      </c>
      <c r="C682">
        <v>89</v>
      </c>
      <c r="D682">
        <v>3509</v>
      </c>
      <c r="E682" s="2">
        <v>192.14</v>
      </c>
      <c r="F682">
        <v>27</v>
      </c>
      <c r="G682">
        <v>9</v>
      </c>
      <c r="H682">
        <v>0.10100000000000001</v>
      </c>
      <c r="I682" s="3">
        <v>1564</v>
      </c>
      <c r="J682" s="1">
        <v>45608</v>
      </c>
      <c r="K682" t="s">
        <v>31</v>
      </c>
      <c r="L682" t="s">
        <v>8</v>
      </c>
      <c r="M682" t="s">
        <v>41</v>
      </c>
      <c r="N682" s="1">
        <f t="shared" si="60"/>
        <v>45608</v>
      </c>
      <c r="O682" s="4">
        <f t="shared" si="61"/>
        <v>2.536335138216016E-2</v>
      </c>
      <c r="P682">
        <f t="shared" si="62"/>
        <v>2.1588764044943818</v>
      </c>
      <c r="Q682" s="2">
        <f t="shared" si="63"/>
        <v>7.1162962962962961</v>
      </c>
      <c r="R682" s="2">
        <f t="shared" si="64"/>
        <v>21.348888888888887</v>
      </c>
      <c r="S682" s="2">
        <f t="shared" si="65"/>
        <v>8.1398979910481941</v>
      </c>
    </row>
    <row r="683" spans="1:19" hidden="1">
      <c r="A683" t="s">
        <v>736</v>
      </c>
      <c r="B683" t="s">
        <v>30</v>
      </c>
      <c r="C683">
        <v>96</v>
      </c>
      <c r="D683">
        <v>3346</v>
      </c>
      <c r="E683" s="2">
        <v>248.48</v>
      </c>
      <c r="F683">
        <v>15</v>
      </c>
      <c r="G683">
        <v>7</v>
      </c>
      <c r="H683">
        <v>7.2999999999999995E-2</v>
      </c>
      <c r="I683" s="3">
        <v>1118</v>
      </c>
      <c r="J683" s="1">
        <v>45624</v>
      </c>
      <c r="K683" t="s">
        <v>31</v>
      </c>
      <c r="L683" t="s">
        <v>7</v>
      </c>
      <c r="M683" t="s">
        <v>37</v>
      </c>
      <c r="N683" s="1">
        <f t="shared" si="60"/>
        <v>45624</v>
      </c>
      <c r="O683" s="4">
        <f t="shared" si="61"/>
        <v>2.8690974297668859E-2</v>
      </c>
      <c r="P683">
        <f t="shared" si="62"/>
        <v>2.5883333333333334</v>
      </c>
      <c r="Q683" s="2">
        <f t="shared" si="63"/>
        <v>16.565333333333331</v>
      </c>
      <c r="R683" s="2">
        <f t="shared" si="64"/>
        <v>35.497142857142855</v>
      </c>
      <c r="S683" s="2">
        <f t="shared" si="65"/>
        <v>4.4993560849967809</v>
      </c>
    </row>
    <row r="684" spans="1:19" hidden="1">
      <c r="A684" t="s">
        <v>737</v>
      </c>
      <c r="B684" t="s">
        <v>30</v>
      </c>
      <c r="C684">
        <v>193</v>
      </c>
      <c r="D684">
        <v>4706</v>
      </c>
      <c r="E684" s="2">
        <v>213.41</v>
      </c>
      <c r="F684">
        <v>24</v>
      </c>
      <c r="G684">
        <v>8</v>
      </c>
      <c r="H684">
        <v>4.5999999999999999E-2</v>
      </c>
      <c r="I684" s="3">
        <v>1058</v>
      </c>
      <c r="J684" s="1">
        <v>45605</v>
      </c>
      <c r="K684" t="s">
        <v>31</v>
      </c>
      <c r="L684" t="s">
        <v>7</v>
      </c>
      <c r="M684" t="s">
        <v>35</v>
      </c>
      <c r="N684" s="1">
        <f t="shared" si="60"/>
        <v>45605</v>
      </c>
      <c r="O684" s="4">
        <f t="shared" si="61"/>
        <v>4.1011474713132171E-2</v>
      </c>
      <c r="P684">
        <f t="shared" si="62"/>
        <v>1.1057512953367876</v>
      </c>
      <c r="Q684" s="2">
        <f t="shared" si="63"/>
        <v>8.8920833333333338</v>
      </c>
      <c r="R684" s="2">
        <f t="shared" si="64"/>
        <v>26.67625</v>
      </c>
      <c r="S684" s="2">
        <f t="shared" si="65"/>
        <v>4.9575933648844943</v>
      </c>
    </row>
    <row r="685" spans="1:19" hidden="1">
      <c r="A685" t="s">
        <v>738</v>
      </c>
      <c r="B685" t="s">
        <v>30</v>
      </c>
      <c r="C685">
        <v>122</v>
      </c>
      <c r="D685">
        <v>3896</v>
      </c>
      <c r="E685" s="2">
        <v>194.3</v>
      </c>
      <c r="F685">
        <v>23</v>
      </c>
      <c r="G685">
        <v>3</v>
      </c>
      <c r="H685">
        <v>2.5000000000000001E-2</v>
      </c>
      <c r="I685" s="3">
        <v>1355</v>
      </c>
      <c r="J685" s="1" t="s">
        <v>94</v>
      </c>
      <c r="K685" t="s">
        <v>31</v>
      </c>
      <c r="L685" t="s">
        <v>8</v>
      </c>
      <c r="M685" t="s">
        <v>35</v>
      </c>
      <c r="N685" s="1">
        <f t="shared" si="60"/>
        <v>45617</v>
      </c>
      <c r="O685" s="4">
        <f t="shared" si="61"/>
        <v>3.1314168377823408E-2</v>
      </c>
      <c r="P685">
        <f t="shared" si="62"/>
        <v>1.5926229508196723</v>
      </c>
      <c r="Q685" s="2">
        <f t="shared" si="63"/>
        <v>8.4478260869565229</v>
      </c>
      <c r="R685" s="2">
        <f t="shared" si="64"/>
        <v>64.766666666666666</v>
      </c>
      <c r="S685" s="2">
        <f t="shared" si="65"/>
        <v>6.9737519300051467</v>
      </c>
    </row>
    <row r="686" spans="1:19">
      <c r="A686" t="s">
        <v>739</v>
      </c>
      <c r="B686" t="s">
        <v>30</v>
      </c>
      <c r="C686">
        <v>133</v>
      </c>
      <c r="D686">
        <v>3332</v>
      </c>
      <c r="E686" s="2">
        <v>201.59</v>
      </c>
      <c r="F686">
        <v>14</v>
      </c>
      <c r="G686">
        <v>7</v>
      </c>
      <c r="H686">
        <v>4.5999999999999999E-2</v>
      </c>
      <c r="I686" s="3">
        <v>1943</v>
      </c>
      <c r="J686" s="1">
        <v>45611</v>
      </c>
      <c r="K686" t="s">
        <v>31</v>
      </c>
      <c r="L686" t="s">
        <v>9</v>
      </c>
      <c r="M686" t="s">
        <v>35</v>
      </c>
      <c r="N686" s="1">
        <f t="shared" si="60"/>
        <v>45611</v>
      </c>
      <c r="O686" s="4">
        <f t="shared" si="61"/>
        <v>3.9915966386554619E-2</v>
      </c>
      <c r="P686">
        <f t="shared" si="62"/>
        <v>1.5157142857142858</v>
      </c>
      <c r="Q686" s="2">
        <f t="shared" si="63"/>
        <v>14.399285714285714</v>
      </c>
      <c r="R686" s="2">
        <f t="shared" si="64"/>
        <v>28.798571428571428</v>
      </c>
      <c r="S686" s="2">
        <f t="shared" si="65"/>
        <v>9.6383749193908432</v>
      </c>
    </row>
    <row r="687" spans="1:19" hidden="1">
      <c r="A687" t="s">
        <v>740</v>
      </c>
      <c r="B687" t="s">
        <v>30</v>
      </c>
      <c r="C687">
        <v>177</v>
      </c>
      <c r="D687">
        <v>5738</v>
      </c>
      <c r="E687" s="2">
        <v>249.21</v>
      </c>
      <c r="F687">
        <v>11</v>
      </c>
      <c r="G687">
        <v>7</v>
      </c>
      <c r="H687">
        <v>0.04</v>
      </c>
      <c r="I687" s="3">
        <v>1435</v>
      </c>
      <c r="J687" s="1" t="s">
        <v>43</v>
      </c>
      <c r="K687" t="s">
        <v>31</v>
      </c>
      <c r="L687" t="s">
        <v>8</v>
      </c>
      <c r="M687" t="s">
        <v>39</v>
      </c>
      <c r="N687" s="1">
        <f t="shared" si="60"/>
        <v>45612</v>
      </c>
      <c r="O687" s="4">
        <f t="shared" si="61"/>
        <v>3.0846985012199374E-2</v>
      </c>
      <c r="P687">
        <f t="shared" si="62"/>
        <v>1.4079661016949152</v>
      </c>
      <c r="Q687" s="2">
        <f t="shared" si="63"/>
        <v>22.655454545454546</v>
      </c>
      <c r="R687" s="2">
        <f t="shared" si="64"/>
        <v>35.601428571428571</v>
      </c>
      <c r="S687" s="2">
        <f t="shared" si="65"/>
        <v>5.7581958990409694</v>
      </c>
    </row>
    <row r="688" spans="1:19" hidden="1">
      <c r="A688" t="s">
        <v>741</v>
      </c>
      <c r="B688" t="s">
        <v>30</v>
      </c>
      <c r="C688">
        <v>162</v>
      </c>
      <c r="D688">
        <v>5346</v>
      </c>
      <c r="E688" s="2">
        <v>223.12</v>
      </c>
      <c r="F688">
        <v>25</v>
      </c>
      <c r="G688">
        <v>5</v>
      </c>
      <c r="H688">
        <v>3.1E-2</v>
      </c>
      <c r="I688" s="3">
        <v>1052</v>
      </c>
      <c r="J688" s="1" t="s">
        <v>357</v>
      </c>
      <c r="K688" t="s">
        <v>31</v>
      </c>
      <c r="L688" t="s">
        <v>7</v>
      </c>
      <c r="M688" t="s">
        <v>35</v>
      </c>
      <c r="N688" s="1">
        <f t="shared" si="60"/>
        <v>45624</v>
      </c>
      <c r="O688" s="4">
        <f t="shared" si="61"/>
        <v>3.0303030303030304E-2</v>
      </c>
      <c r="P688">
        <f t="shared" si="62"/>
        <v>1.377283950617284</v>
      </c>
      <c r="Q688" s="2">
        <f t="shared" si="63"/>
        <v>8.9247999999999994</v>
      </c>
      <c r="R688" s="2">
        <f t="shared" si="64"/>
        <v>44.624000000000002</v>
      </c>
      <c r="S688" s="2">
        <f t="shared" si="65"/>
        <v>4.7149515955539618</v>
      </c>
    </row>
    <row r="689" spans="1:19" hidden="1">
      <c r="A689" t="s">
        <v>742</v>
      </c>
      <c r="B689" t="s">
        <v>30</v>
      </c>
      <c r="C689">
        <v>182</v>
      </c>
      <c r="D689">
        <v>5857</v>
      </c>
      <c r="E689" s="2">
        <v>192.69</v>
      </c>
      <c r="F689">
        <v>15</v>
      </c>
      <c r="G689">
        <v>4</v>
      </c>
      <c r="H689">
        <v>4.8000000000000001E-2</v>
      </c>
      <c r="I689" s="3">
        <v>1384</v>
      </c>
      <c r="J689" s="1">
        <v>45598</v>
      </c>
      <c r="K689" t="s">
        <v>31</v>
      </c>
      <c r="L689" t="s">
        <v>7</v>
      </c>
      <c r="M689" t="s">
        <v>35</v>
      </c>
      <c r="N689" s="1">
        <f t="shared" si="60"/>
        <v>45598</v>
      </c>
      <c r="O689" s="4">
        <f t="shared" si="61"/>
        <v>3.107392863240567E-2</v>
      </c>
      <c r="P689">
        <f t="shared" si="62"/>
        <v>1.0587362637362636</v>
      </c>
      <c r="Q689" s="2">
        <f t="shared" si="63"/>
        <v>12.846</v>
      </c>
      <c r="R689" s="2">
        <f t="shared" si="64"/>
        <v>48.172499999999999</v>
      </c>
      <c r="S689" s="2">
        <f t="shared" si="65"/>
        <v>7.1825211479578597</v>
      </c>
    </row>
    <row r="690" spans="1:19">
      <c r="A690" t="s">
        <v>743</v>
      </c>
      <c r="B690" t="s">
        <v>30</v>
      </c>
      <c r="C690">
        <v>154</v>
      </c>
      <c r="D690">
        <v>4836</v>
      </c>
      <c r="E690" s="2">
        <v>233.8</v>
      </c>
      <c r="F690">
        <v>26</v>
      </c>
      <c r="G690">
        <v>10</v>
      </c>
      <c r="H690">
        <v>4.5999999999999999E-2</v>
      </c>
      <c r="I690" s="3">
        <v>1838</v>
      </c>
      <c r="J690" s="1">
        <v>45626</v>
      </c>
      <c r="K690" t="s">
        <v>31</v>
      </c>
      <c r="L690" t="s">
        <v>7</v>
      </c>
      <c r="M690" t="s">
        <v>35</v>
      </c>
      <c r="N690" s="1">
        <f t="shared" si="60"/>
        <v>45626</v>
      </c>
      <c r="O690" s="4">
        <f t="shared" si="61"/>
        <v>3.1844499586435072E-2</v>
      </c>
      <c r="P690">
        <f t="shared" si="62"/>
        <v>1.5181818181818183</v>
      </c>
      <c r="Q690" s="2">
        <f t="shared" si="63"/>
        <v>8.9923076923076923</v>
      </c>
      <c r="R690" s="2">
        <f t="shared" si="64"/>
        <v>23.380000000000003</v>
      </c>
      <c r="S690" s="2">
        <f t="shared" si="65"/>
        <v>7.8614200171086397</v>
      </c>
    </row>
    <row r="691" spans="1:19" hidden="1">
      <c r="A691" t="s">
        <v>744</v>
      </c>
      <c r="B691" t="s">
        <v>30</v>
      </c>
      <c r="C691">
        <v>104</v>
      </c>
      <c r="D691">
        <v>5291</v>
      </c>
      <c r="E691" s="2">
        <v>186.93</v>
      </c>
      <c r="F691">
        <v>19</v>
      </c>
      <c r="G691">
        <v>10</v>
      </c>
      <c r="H691">
        <v>9.6000000000000002E-2</v>
      </c>
      <c r="I691" s="3">
        <v>1805</v>
      </c>
      <c r="J691" s="1">
        <v>45625</v>
      </c>
      <c r="K691" t="s">
        <v>31</v>
      </c>
      <c r="L691" t="s">
        <v>9</v>
      </c>
      <c r="M691" t="s">
        <v>35</v>
      </c>
      <c r="N691" s="1">
        <f t="shared" si="60"/>
        <v>45625</v>
      </c>
      <c r="O691" s="4">
        <f t="shared" si="61"/>
        <v>1.9656019656019656E-2</v>
      </c>
      <c r="P691">
        <f t="shared" si="62"/>
        <v>1.7974038461538462</v>
      </c>
      <c r="Q691" s="2">
        <f t="shared" si="63"/>
        <v>9.8384210526315794</v>
      </c>
      <c r="R691" s="2">
        <f t="shared" si="64"/>
        <v>18.693000000000001</v>
      </c>
      <c r="S691" s="2">
        <f t="shared" si="65"/>
        <v>9.6560209704167335</v>
      </c>
    </row>
    <row r="692" spans="1:19" hidden="1">
      <c r="A692" t="s">
        <v>745</v>
      </c>
      <c r="B692" t="s">
        <v>30</v>
      </c>
      <c r="C692">
        <v>101</v>
      </c>
      <c r="D692">
        <v>4840</v>
      </c>
      <c r="E692" s="2">
        <v>230.68</v>
      </c>
      <c r="F692">
        <v>21</v>
      </c>
      <c r="G692">
        <v>9</v>
      </c>
      <c r="H692">
        <v>8.8999999999999996E-2</v>
      </c>
      <c r="I692" s="3">
        <v>1556</v>
      </c>
      <c r="J692" s="1">
        <v>45618</v>
      </c>
      <c r="K692" t="s">
        <v>31</v>
      </c>
      <c r="L692" t="s">
        <v>7</v>
      </c>
      <c r="M692" t="s">
        <v>39</v>
      </c>
      <c r="N692" s="1">
        <f t="shared" si="60"/>
        <v>45618</v>
      </c>
      <c r="O692" s="4">
        <f t="shared" si="61"/>
        <v>2.0867768595041324E-2</v>
      </c>
      <c r="P692">
        <f t="shared" si="62"/>
        <v>2.2839603960396042</v>
      </c>
      <c r="Q692" s="2">
        <f t="shared" si="63"/>
        <v>10.984761904761905</v>
      </c>
      <c r="R692" s="2">
        <f t="shared" si="64"/>
        <v>25.63111111111111</v>
      </c>
      <c r="S692" s="2">
        <f t="shared" si="65"/>
        <v>6.7452748396046474</v>
      </c>
    </row>
    <row r="693" spans="1:19" hidden="1">
      <c r="A693" t="s">
        <v>746</v>
      </c>
      <c r="B693" t="s">
        <v>30</v>
      </c>
      <c r="C693">
        <v>173</v>
      </c>
      <c r="D693">
        <v>4246</v>
      </c>
      <c r="E693" s="2">
        <v>202.95</v>
      </c>
      <c r="F693">
        <v>27</v>
      </c>
      <c r="G693">
        <v>3</v>
      </c>
      <c r="H693">
        <v>1.7000000000000001E-2</v>
      </c>
      <c r="I693" s="3">
        <v>1276</v>
      </c>
      <c r="J693" s="1">
        <v>45625</v>
      </c>
      <c r="K693" t="s">
        <v>31</v>
      </c>
      <c r="L693" t="s">
        <v>9</v>
      </c>
      <c r="M693" t="s">
        <v>32</v>
      </c>
      <c r="N693" s="1">
        <f t="shared" si="60"/>
        <v>45625</v>
      </c>
      <c r="O693" s="4">
        <f t="shared" si="61"/>
        <v>4.0744229863400851E-2</v>
      </c>
      <c r="P693">
        <f t="shared" si="62"/>
        <v>1.1731213872832369</v>
      </c>
      <c r="Q693" s="2">
        <f t="shared" si="63"/>
        <v>7.5166666666666666</v>
      </c>
      <c r="R693" s="2">
        <f t="shared" si="64"/>
        <v>67.649999999999991</v>
      </c>
      <c r="S693" s="2">
        <f t="shared" si="65"/>
        <v>6.2872628726287267</v>
      </c>
    </row>
    <row r="694" spans="1:19">
      <c r="A694" t="s">
        <v>747</v>
      </c>
      <c r="B694" t="s">
        <v>30</v>
      </c>
      <c r="C694">
        <v>186</v>
      </c>
      <c r="D694">
        <v>5824</v>
      </c>
      <c r="E694" s="2">
        <v>224.48</v>
      </c>
      <c r="F694">
        <v>29</v>
      </c>
      <c r="G694">
        <v>6</v>
      </c>
      <c r="H694">
        <v>4.5999999999999999E-2</v>
      </c>
      <c r="I694" s="3">
        <v>1882</v>
      </c>
      <c r="J694" s="1">
        <v>45624</v>
      </c>
      <c r="K694" t="s">
        <v>31</v>
      </c>
      <c r="L694" t="s">
        <v>8</v>
      </c>
      <c r="M694" t="s">
        <v>37</v>
      </c>
      <c r="N694" s="1">
        <f t="shared" si="60"/>
        <v>45624</v>
      </c>
      <c r="O694" s="4">
        <f t="shared" si="61"/>
        <v>3.1936813186813184E-2</v>
      </c>
      <c r="P694">
        <f t="shared" si="62"/>
        <v>1.2068817204301074</v>
      </c>
      <c r="Q694" s="2">
        <f t="shared" si="63"/>
        <v>7.7406896551724138</v>
      </c>
      <c r="R694" s="2">
        <f t="shared" si="64"/>
        <v>37.413333333333334</v>
      </c>
      <c r="S694" s="2">
        <f t="shared" si="65"/>
        <v>8.383820384889523</v>
      </c>
    </row>
    <row r="695" spans="1:19" hidden="1">
      <c r="A695" t="s">
        <v>748</v>
      </c>
      <c r="B695" t="s">
        <v>30</v>
      </c>
      <c r="C695">
        <v>148</v>
      </c>
      <c r="D695">
        <v>5952</v>
      </c>
      <c r="E695" s="2">
        <v>186.32</v>
      </c>
      <c r="F695">
        <v>14</v>
      </c>
      <c r="G695">
        <v>4</v>
      </c>
      <c r="H695">
        <v>4.3999999999999997E-2</v>
      </c>
      <c r="I695" s="3">
        <v>1469</v>
      </c>
      <c r="J695" s="1">
        <v>45576</v>
      </c>
      <c r="K695" t="s">
        <v>31</v>
      </c>
      <c r="L695" t="s">
        <v>8</v>
      </c>
      <c r="M695" t="s">
        <v>35</v>
      </c>
      <c r="N695" s="1">
        <f t="shared" si="60"/>
        <v>45576</v>
      </c>
      <c r="O695" s="4">
        <f t="shared" si="61"/>
        <v>2.4865591397849461E-2</v>
      </c>
      <c r="P695">
        <f t="shared" si="62"/>
        <v>1.2589189189189189</v>
      </c>
      <c r="Q695" s="2">
        <f t="shared" si="63"/>
        <v>13.308571428571428</v>
      </c>
      <c r="R695" s="2">
        <f t="shared" si="64"/>
        <v>46.58</v>
      </c>
      <c r="S695" s="2">
        <f t="shared" si="65"/>
        <v>7.8842851009016748</v>
      </c>
    </row>
    <row r="696" spans="1:19">
      <c r="A696" t="s">
        <v>749</v>
      </c>
      <c r="B696" t="s">
        <v>30</v>
      </c>
      <c r="C696">
        <v>181</v>
      </c>
      <c r="D696">
        <v>3691</v>
      </c>
      <c r="E696" s="2">
        <v>229.14</v>
      </c>
      <c r="F696">
        <v>25</v>
      </c>
      <c r="G696">
        <v>10</v>
      </c>
      <c r="H696">
        <v>4.5999999999999999E-2</v>
      </c>
      <c r="I696" s="3">
        <v>1375</v>
      </c>
      <c r="J696" s="1">
        <v>45602</v>
      </c>
      <c r="K696" t="s">
        <v>31</v>
      </c>
      <c r="L696" t="s">
        <v>8</v>
      </c>
      <c r="M696" t="s">
        <v>46</v>
      </c>
      <c r="N696" s="1">
        <f t="shared" si="60"/>
        <v>45602</v>
      </c>
      <c r="O696" s="4">
        <f t="shared" si="61"/>
        <v>4.9038201029531291E-2</v>
      </c>
      <c r="P696">
        <f t="shared" si="62"/>
        <v>1.2659668508287292</v>
      </c>
      <c r="Q696" s="2">
        <f t="shared" si="63"/>
        <v>9.1655999999999995</v>
      </c>
      <c r="R696" s="2">
        <f t="shared" si="64"/>
        <v>22.913999999999998</v>
      </c>
      <c r="S696" s="2">
        <f t="shared" si="65"/>
        <v>6.0006982630706123</v>
      </c>
    </row>
    <row r="697" spans="1:19">
      <c r="A697" t="s">
        <v>750</v>
      </c>
      <c r="B697" t="s">
        <v>30</v>
      </c>
      <c r="C697">
        <v>110</v>
      </c>
      <c r="D697">
        <v>4350</v>
      </c>
      <c r="E697" s="2">
        <v>243.88</v>
      </c>
      <c r="F697">
        <v>16</v>
      </c>
      <c r="G697">
        <v>9</v>
      </c>
      <c r="H697">
        <v>4.5999999999999999E-2</v>
      </c>
      <c r="I697" s="3">
        <v>1157</v>
      </c>
      <c r="J697" s="1" t="s">
        <v>89</v>
      </c>
      <c r="K697" t="s">
        <v>31</v>
      </c>
      <c r="L697" t="s">
        <v>9</v>
      </c>
      <c r="M697" t="s">
        <v>41</v>
      </c>
      <c r="N697" s="1">
        <f t="shared" si="60"/>
        <v>45611</v>
      </c>
      <c r="O697" s="4">
        <f t="shared" si="61"/>
        <v>2.528735632183908E-2</v>
      </c>
      <c r="P697">
        <f t="shared" si="62"/>
        <v>2.217090909090909</v>
      </c>
      <c r="Q697" s="2">
        <f t="shared" si="63"/>
        <v>15.2425</v>
      </c>
      <c r="R697" s="2">
        <f t="shared" si="64"/>
        <v>27.097777777777779</v>
      </c>
      <c r="S697" s="2">
        <f t="shared" si="65"/>
        <v>4.7441364605543708</v>
      </c>
    </row>
    <row r="698" spans="1:19">
      <c r="A698" t="s">
        <v>751</v>
      </c>
      <c r="B698" t="s">
        <v>30</v>
      </c>
      <c r="C698">
        <v>151</v>
      </c>
      <c r="D698">
        <v>5656</v>
      </c>
      <c r="E698" s="2">
        <v>191.95</v>
      </c>
      <c r="F698">
        <v>18</v>
      </c>
      <c r="G698">
        <v>7</v>
      </c>
      <c r="H698">
        <v>4.5999999999999999E-2</v>
      </c>
      <c r="I698" s="3">
        <v>1813</v>
      </c>
      <c r="J698" s="1">
        <v>45333</v>
      </c>
      <c r="K698" t="s">
        <v>31</v>
      </c>
      <c r="L698" t="s">
        <v>8</v>
      </c>
      <c r="M698" t="s">
        <v>37</v>
      </c>
      <c r="N698" s="1">
        <f t="shared" si="60"/>
        <v>45333</v>
      </c>
      <c r="O698" s="4">
        <f t="shared" si="61"/>
        <v>2.6697312588401696E-2</v>
      </c>
      <c r="P698">
        <f t="shared" si="62"/>
        <v>1.2711920529801324</v>
      </c>
      <c r="Q698" s="2">
        <f t="shared" si="63"/>
        <v>10.663888888888888</v>
      </c>
      <c r="R698" s="2">
        <f t="shared" si="64"/>
        <v>27.421428571428571</v>
      </c>
      <c r="S698" s="2">
        <f t="shared" si="65"/>
        <v>9.445168012503256</v>
      </c>
    </row>
    <row r="699" spans="1:19" hidden="1">
      <c r="A699" t="s">
        <v>752</v>
      </c>
      <c r="B699" t="s">
        <v>30</v>
      </c>
      <c r="C699">
        <v>90</v>
      </c>
      <c r="D699">
        <v>4566</v>
      </c>
      <c r="E699" s="2">
        <v>228.82</v>
      </c>
      <c r="F699">
        <v>29</v>
      </c>
      <c r="G699">
        <v>9</v>
      </c>
      <c r="H699">
        <v>5.0999999999999997E-2</v>
      </c>
      <c r="I699" s="3">
        <v>1697</v>
      </c>
      <c r="J699" s="1">
        <v>45609</v>
      </c>
      <c r="K699" t="s">
        <v>31</v>
      </c>
      <c r="L699" t="s">
        <v>7</v>
      </c>
      <c r="M699" t="s">
        <v>39</v>
      </c>
      <c r="N699" s="1">
        <f t="shared" si="60"/>
        <v>45609</v>
      </c>
      <c r="O699" s="4">
        <f t="shared" si="61"/>
        <v>1.9710906701708279E-2</v>
      </c>
      <c r="P699">
        <f t="shared" si="62"/>
        <v>2.5424444444444445</v>
      </c>
      <c r="Q699" s="2">
        <f t="shared" si="63"/>
        <v>7.8903448275862065</v>
      </c>
      <c r="R699" s="2">
        <f t="shared" si="64"/>
        <v>25.424444444444443</v>
      </c>
      <c r="S699" s="2">
        <f t="shared" si="65"/>
        <v>7.4163097631325936</v>
      </c>
    </row>
    <row r="700" spans="1:19" hidden="1">
      <c r="A700" t="s">
        <v>753</v>
      </c>
      <c r="B700" t="s">
        <v>30</v>
      </c>
      <c r="C700">
        <v>111</v>
      </c>
      <c r="D700">
        <v>4245</v>
      </c>
      <c r="E700" s="2">
        <v>245.76</v>
      </c>
      <c r="F700">
        <v>22</v>
      </c>
      <c r="G700">
        <v>8</v>
      </c>
      <c r="H700">
        <v>7.1999999999999995E-2</v>
      </c>
      <c r="I700" s="3">
        <v>1505</v>
      </c>
      <c r="J700" s="1">
        <v>45603</v>
      </c>
      <c r="K700" t="s">
        <v>31</v>
      </c>
      <c r="L700" t="s">
        <v>7</v>
      </c>
      <c r="M700" t="s">
        <v>41</v>
      </c>
      <c r="N700" s="1">
        <f t="shared" si="60"/>
        <v>45603</v>
      </c>
      <c r="O700" s="4">
        <f t="shared" si="61"/>
        <v>2.6148409893992933E-2</v>
      </c>
      <c r="P700">
        <f t="shared" si="62"/>
        <v>2.2140540540540541</v>
      </c>
      <c r="Q700" s="2">
        <f t="shared" si="63"/>
        <v>11.17090909090909</v>
      </c>
      <c r="R700" s="2">
        <f t="shared" si="64"/>
        <v>30.72</v>
      </c>
      <c r="S700" s="2">
        <f t="shared" si="65"/>
        <v>6.1238606770833339</v>
      </c>
    </row>
    <row r="701" spans="1:19" hidden="1">
      <c r="A701" t="s">
        <v>754</v>
      </c>
      <c r="B701" t="s">
        <v>30</v>
      </c>
      <c r="C701">
        <v>170</v>
      </c>
      <c r="D701">
        <v>5053</v>
      </c>
      <c r="E701" s="2">
        <v>217.41</v>
      </c>
      <c r="F701">
        <v>16</v>
      </c>
      <c r="G701">
        <v>9</v>
      </c>
      <c r="H701">
        <v>3.1E-2</v>
      </c>
      <c r="I701" s="3">
        <v>1497</v>
      </c>
      <c r="J701" s="1" t="s">
        <v>132</v>
      </c>
      <c r="K701" t="s">
        <v>31</v>
      </c>
      <c r="L701" t="s">
        <v>8</v>
      </c>
      <c r="M701" t="s">
        <v>39</v>
      </c>
      <c r="N701" s="1">
        <f t="shared" si="60"/>
        <v>45613</v>
      </c>
      <c r="O701" s="4">
        <f t="shared" si="61"/>
        <v>3.364338017019592E-2</v>
      </c>
      <c r="P701">
        <f t="shared" si="62"/>
        <v>1.2788823529411764</v>
      </c>
      <c r="Q701" s="2">
        <f t="shared" si="63"/>
        <v>13.588125</v>
      </c>
      <c r="R701" s="2">
        <f t="shared" si="64"/>
        <v>24.156666666666666</v>
      </c>
      <c r="S701" s="2">
        <f t="shared" si="65"/>
        <v>6.8856078377259555</v>
      </c>
    </row>
    <row r="702" spans="1:19" hidden="1">
      <c r="A702" t="s">
        <v>755</v>
      </c>
      <c r="B702" t="s">
        <v>30</v>
      </c>
      <c r="C702">
        <v>112</v>
      </c>
      <c r="D702">
        <v>5093</v>
      </c>
      <c r="E702" s="2">
        <v>228.8</v>
      </c>
      <c r="F702">
        <v>23</v>
      </c>
      <c r="G702">
        <v>7</v>
      </c>
      <c r="H702">
        <v>6.2E-2</v>
      </c>
      <c r="I702" s="3">
        <v>1188</v>
      </c>
      <c r="J702" s="1" t="s">
        <v>132</v>
      </c>
      <c r="K702" t="s">
        <v>31</v>
      </c>
      <c r="L702" t="s">
        <v>7</v>
      </c>
      <c r="M702" t="s">
        <v>46</v>
      </c>
      <c r="N702" s="1">
        <f t="shared" si="60"/>
        <v>45613</v>
      </c>
      <c r="O702" s="4">
        <f t="shared" si="61"/>
        <v>2.1990967995287651E-2</v>
      </c>
      <c r="P702">
        <f t="shared" si="62"/>
        <v>2.0428571428571431</v>
      </c>
      <c r="Q702" s="2">
        <f t="shared" si="63"/>
        <v>9.9478260869565229</v>
      </c>
      <c r="R702" s="2">
        <f t="shared" si="64"/>
        <v>32.68571428571429</v>
      </c>
      <c r="S702" s="2">
        <f t="shared" si="65"/>
        <v>5.1923076923076916</v>
      </c>
    </row>
    <row r="703" spans="1:19" hidden="1">
      <c r="A703" t="s">
        <v>756</v>
      </c>
      <c r="B703" t="s">
        <v>30</v>
      </c>
      <c r="C703">
        <v>188</v>
      </c>
      <c r="D703">
        <v>5336</v>
      </c>
      <c r="E703" s="2">
        <v>188.73</v>
      </c>
      <c r="F703">
        <v>17</v>
      </c>
      <c r="G703">
        <v>3</v>
      </c>
      <c r="H703">
        <v>1.6E-2</v>
      </c>
      <c r="I703" s="3">
        <v>1601</v>
      </c>
      <c r="J703" s="1">
        <v>45599</v>
      </c>
      <c r="K703" t="s">
        <v>31</v>
      </c>
      <c r="L703" t="s">
        <v>9</v>
      </c>
      <c r="M703" t="s">
        <v>41</v>
      </c>
      <c r="N703" s="1">
        <f t="shared" si="60"/>
        <v>45599</v>
      </c>
      <c r="O703" s="4">
        <f t="shared" si="61"/>
        <v>3.523238380809595E-2</v>
      </c>
      <c r="P703">
        <f t="shared" si="62"/>
        <v>1.0038829787234043</v>
      </c>
      <c r="Q703" s="2">
        <f t="shared" si="63"/>
        <v>11.101764705882353</v>
      </c>
      <c r="R703" s="2">
        <f t="shared" si="64"/>
        <v>62.91</v>
      </c>
      <c r="S703" s="2">
        <f t="shared" si="65"/>
        <v>8.4830180681396712</v>
      </c>
    </row>
    <row r="704" spans="1:19">
      <c r="A704" t="s">
        <v>757</v>
      </c>
      <c r="B704" t="s">
        <v>30</v>
      </c>
      <c r="C704">
        <v>85</v>
      </c>
      <c r="D704">
        <v>4963</v>
      </c>
      <c r="E704" s="2">
        <v>186.21</v>
      </c>
      <c r="F704">
        <v>14</v>
      </c>
      <c r="G704">
        <v>6</v>
      </c>
      <c r="H704">
        <v>4.5999999999999999E-2</v>
      </c>
      <c r="I704" s="3">
        <v>1747</v>
      </c>
      <c r="J704" s="1">
        <v>45423</v>
      </c>
      <c r="K704" t="s">
        <v>31</v>
      </c>
      <c r="L704" t="s">
        <v>8</v>
      </c>
      <c r="M704" t="s">
        <v>35</v>
      </c>
      <c r="N704" s="1">
        <f t="shared" si="60"/>
        <v>45423</v>
      </c>
      <c r="O704" s="4">
        <f t="shared" si="61"/>
        <v>1.7126737860165223E-2</v>
      </c>
      <c r="P704">
        <f t="shared" si="62"/>
        <v>2.1907058823529413</v>
      </c>
      <c r="Q704" s="2">
        <f t="shared" si="63"/>
        <v>13.300714285714287</v>
      </c>
      <c r="R704" s="2">
        <f t="shared" si="64"/>
        <v>31.035</v>
      </c>
      <c r="S704" s="2">
        <f t="shared" si="65"/>
        <v>9.3818806723591646</v>
      </c>
    </row>
    <row r="705" spans="1:19">
      <c r="A705" t="s">
        <v>758</v>
      </c>
      <c r="B705" t="s">
        <v>30</v>
      </c>
      <c r="C705">
        <v>94</v>
      </c>
      <c r="D705">
        <v>4544</v>
      </c>
      <c r="E705" s="2">
        <v>235.77</v>
      </c>
      <c r="F705">
        <v>23</v>
      </c>
      <c r="G705">
        <v>8</v>
      </c>
      <c r="H705">
        <v>4.5999999999999999E-2</v>
      </c>
      <c r="I705" s="3">
        <v>1342</v>
      </c>
      <c r="J705" s="1">
        <v>45601</v>
      </c>
      <c r="K705" t="s">
        <v>31</v>
      </c>
      <c r="L705" t="s">
        <v>9</v>
      </c>
      <c r="M705" t="s">
        <v>41</v>
      </c>
      <c r="N705" s="1">
        <f t="shared" si="60"/>
        <v>45601</v>
      </c>
      <c r="O705" s="4">
        <f t="shared" si="61"/>
        <v>2.0686619718309859E-2</v>
      </c>
      <c r="P705">
        <f t="shared" si="62"/>
        <v>2.5081914893617023</v>
      </c>
      <c r="Q705" s="2">
        <f t="shared" si="63"/>
        <v>10.250869565217391</v>
      </c>
      <c r="R705" s="2">
        <f t="shared" si="64"/>
        <v>29.471250000000001</v>
      </c>
      <c r="S705" s="2">
        <f t="shared" si="65"/>
        <v>5.6919879543623022</v>
      </c>
    </row>
    <row r="706" spans="1:19" hidden="1">
      <c r="A706" t="s">
        <v>759</v>
      </c>
      <c r="B706" t="s">
        <v>30</v>
      </c>
      <c r="C706">
        <v>177</v>
      </c>
      <c r="D706">
        <v>4901</v>
      </c>
      <c r="E706" s="2">
        <v>217.54</v>
      </c>
      <c r="F706">
        <v>20</v>
      </c>
      <c r="G706">
        <v>10</v>
      </c>
      <c r="H706">
        <v>5.6000000000000001E-2</v>
      </c>
      <c r="I706" s="3">
        <v>1975</v>
      </c>
      <c r="J706" s="1">
        <v>45609</v>
      </c>
      <c r="K706" t="s">
        <v>31</v>
      </c>
      <c r="L706" t="s">
        <v>9</v>
      </c>
      <c r="M706" t="s">
        <v>37</v>
      </c>
      <c r="N706" s="1">
        <f t="shared" ref="N706:N769" si="66">IF(A706="","",IF(ISNUMBER(J706),J706,IF(MID(J706,5,1)="-",DATE(LEFT(J706,4),MID(J706,6,2),RIGHT(J706,2)),IF(MID(J706,5,1)="/",DATE(LEFT(J706,4),MID(J706,6,2),RIGHT(J706,2)),DATE(RIGHT(J706,4),MID(J706,4,2),LEFT(J706,2))))))</f>
        <v>45609</v>
      </c>
      <c r="O706" s="4">
        <f t="shared" ref="O706:O769" si="67">IFERROR(C706/D706,0)</f>
        <v>3.6115078555396855E-2</v>
      </c>
      <c r="P706">
        <f t="shared" ref="P706:P769" si="68">IFERROR(E706/C706,0)</f>
        <v>1.2290395480225988</v>
      </c>
      <c r="Q706" s="2">
        <f t="shared" ref="Q706:Q769" si="69">IFERROR(E706/F706,0)</f>
        <v>10.876999999999999</v>
      </c>
      <c r="R706" s="2">
        <f t="shared" ref="R706:R769" si="70">IFERROR(E706/G706,0)</f>
        <v>21.753999999999998</v>
      </c>
      <c r="S706" s="2">
        <f t="shared" ref="S706:S769" si="71">IFERROR(I706/E706,0)</f>
        <v>9.0787901075664248</v>
      </c>
    </row>
    <row r="707" spans="1:19" hidden="1">
      <c r="A707" t="s">
        <v>760</v>
      </c>
      <c r="B707" t="s">
        <v>30</v>
      </c>
      <c r="C707">
        <v>150</v>
      </c>
      <c r="D707">
        <v>5275</v>
      </c>
      <c r="E707" s="2">
        <v>192.7</v>
      </c>
      <c r="F707">
        <v>14</v>
      </c>
      <c r="G707">
        <v>4</v>
      </c>
      <c r="H707">
        <v>2.7E-2</v>
      </c>
      <c r="I707" s="3">
        <v>1170</v>
      </c>
      <c r="J707" s="1" t="s">
        <v>115</v>
      </c>
      <c r="K707" t="s">
        <v>31</v>
      </c>
      <c r="L707" t="s">
        <v>9</v>
      </c>
      <c r="M707" t="s">
        <v>37</v>
      </c>
      <c r="N707" s="1">
        <f t="shared" si="66"/>
        <v>45623</v>
      </c>
      <c r="O707" s="4">
        <f t="shared" si="67"/>
        <v>2.843601895734597E-2</v>
      </c>
      <c r="P707">
        <f t="shared" si="68"/>
        <v>1.2846666666666666</v>
      </c>
      <c r="Q707" s="2">
        <f t="shared" si="69"/>
        <v>13.764285714285714</v>
      </c>
      <c r="R707" s="2">
        <f t="shared" si="70"/>
        <v>48.174999999999997</v>
      </c>
      <c r="S707" s="2">
        <f t="shared" si="71"/>
        <v>6.0716139076284383</v>
      </c>
    </row>
    <row r="708" spans="1:19" hidden="1">
      <c r="A708" t="s">
        <v>761</v>
      </c>
      <c r="B708" t="s">
        <v>30</v>
      </c>
      <c r="C708">
        <v>88</v>
      </c>
      <c r="D708">
        <v>5225</v>
      </c>
      <c r="E708" s="2">
        <v>202.97</v>
      </c>
      <c r="F708">
        <v>22</v>
      </c>
      <c r="G708">
        <v>6</v>
      </c>
      <c r="H708">
        <v>6.8000000000000005E-2</v>
      </c>
      <c r="I708" s="3">
        <v>1128</v>
      </c>
      <c r="J708" s="1" t="s">
        <v>217</v>
      </c>
      <c r="K708" t="s">
        <v>31</v>
      </c>
      <c r="L708" t="s">
        <v>9</v>
      </c>
      <c r="M708" t="s">
        <v>41</v>
      </c>
      <c r="N708" s="1">
        <f t="shared" si="66"/>
        <v>45609</v>
      </c>
      <c r="O708" s="4">
        <f t="shared" si="67"/>
        <v>1.6842105263157894E-2</v>
      </c>
      <c r="P708">
        <f t="shared" si="68"/>
        <v>2.3064772727272729</v>
      </c>
      <c r="Q708" s="2">
        <f t="shared" si="69"/>
        <v>9.2259090909090915</v>
      </c>
      <c r="R708" s="2">
        <f t="shared" si="70"/>
        <v>33.828333333333333</v>
      </c>
      <c r="S708" s="2">
        <f t="shared" si="71"/>
        <v>5.5574715475193379</v>
      </c>
    </row>
    <row r="709" spans="1:19" hidden="1">
      <c r="A709" t="s">
        <v>762</v>
      </c>
      <c r="B709" t="s">
        <v>30</v>
      </c>
      <c r="C709">
        <v>128</v>
      </c>
      <c r="D709">
        <v>4857</v>
      </c>
      <c r="E709" s="2">
        <v>212.61</v>
      </c>
      <c r="F709">
        <v>14</v>
      </c>
      <c r="G709">
        <v>5</v>
      </c>
      <c r="H709">
        <v>3.9E-2</v>
      </c>
      <c r="I709" s="3">
        <v>1538</v>
      </c>
      <c r="J709" s="1" t="s">
        <v>206</v>
      </c>
      <c r="K709" t="s">
        <v>31</v>
      </c>
      <c r="L709" t="s">
        <v>7</v>
      </c>
      <c r="M709" t="s">
        <v>37</v>
      </c>
      <c r="N709" s="1">
        <f t="shared" si="66"/>
        <v>45621</v>
      </c>
      <c r="O709" s="4">
        <f t="shared" si="67"/>
        <v>2.6353716285773109E-2</v>
      </c>
      <c r="P709">
        <f t="shared" si="68"/>
        <v>1.6610156250000001</v>
      </c>
      <c r="Q709" s="2">
        <f t="shared" si="69"/>
        <v>15.186428571428573</v>
      </c>
      <c r="R709" s="2">
        <f t="shared" si="70"/>
        <v>42.522000000000006</v>
      </c>
      <c r="S709" s="2">
        <f t="shared" si="71"/>
        <v>7.2339024504962133</v>
      </c>
    </row>
    <row r="710" spans="1:19" hidden="1">
      <c r="A710" t="s">
        <v>763</v>
      </c>
      <c r="B710" t="s">
        <v>30</v>
      </c>
      <c r="C710">
        <v>163</v>
      </c>
      <c r="D710">
        <v>5310</v>
      </c>
      <c r="E710" s="2">
        <v>242.76</v>
      </c>
      <c r="F710">
        <v>26</v>
      </c>
      <c r="G710">
        <v>9</v>
      </c>
      <c r="H710">
        <v>5.5E-2</v>
      </c>
      <c r="I710" s="3">
        <v>1793</v>
      </c>
      <c r="J710" s="1">
        <v>45608</v>
      </c>
      <c r="K710" t="s">
        <v>31</v>
      </c>
      <c r="L710" t="s">
        <v>8</v>
      </c>
      <c r="M710" t="s">
        <v>32</v>
      </c>
      <c r="N710" s="1">
        <f t="shared" si="66"/>
        <v>45608</v>
      </c>
      <c r="O710" s="4">
        <f t="shared" si="67"/>
        <v>3.0696798493408662E-2</v>
      </c>
      <c r="P710">
        <f t="shared" si="68"/>
        <v>1.4893251533742331</v>
      </c>
      <c r="Q710" s="2">
        <f t="shared" si="69"/>
        <v>9.3369230769230764</v>
      </c>
      <c r="R710" s="2">
        <f t="shared" si="70"/>
        <v>26.973333333333333</v>
      </c>
      <c r="S710" s="2">
        <f t="shared" si="71"/>
        <v>7.3858955346844626</v>
      </c>
    </row>
    <row r="711" spans="1:19" hidden="1">
      <c r="A711" t="s">
        <v>764</v>
      </c>
      <c r="B711" t="s">
        <v>30</v>
      </c>
      <c r="C711">
        <v>147</v>
      </c>
      <c r="D711">
        <v>5014</v>
      </c>
      <c r="E711" s="2">
        <v>193.08</v>
      </c>
      <c r="F711">
        <v>12</v>
      </c>
      <c r="G711">
        <v>8</v>
      </c>
      <c r="H711">
        <v>5.3999999999999999E-2</v>
      </c>
      <c r="I711" s="3">
        <v>1017</v>
      </c>
      <c r="J711" s="1">
        <v>45607</v>
      </c>
      <c r="K711" t="s">
        <v>31</v>
      </c>
      <c r="L711" t="s">
        <v>9</v>
      </c>
      <c r="M711" t="s">
        <v>41</v>
      </c>
      <c r="N711" s="1">
        <f t="shared" si="66"/>
        <v>45607</v>
      </c>
      <c r="O711" s="4">
        <f t="shared" si="67"/>
        <v>2.9317909852413244E-2</v>
      </c>
      <c r="P711">
        <f t="shared" si="68"/>
        <v>1.313469387755102</v>
      </c>
      <c r="Q711" s="2">
        <f t="shared" si="69"/>
        <v>16.09</v>
      </c>
      <c r="R711" s="2">
        <f t="shared" si="70"/>
        <v>24.135000000000002</v>
      </c>
      <c r="S711" s="2">
        <f t="shared" si="71"/>
        <v>5.2672467371037905</v>
      </c>
    </row>
    <row r="712" spans="1:19" hidden="1">
      <c r="A712" t="s">
        <v>765</v>
      </c>
      <c r="B712" t="s">
        <v>30</v>
      </c>
      <c r="C712">
        <v>191</v>
      </c>
      <c r="D712">
        <v>5855</v>
      </c>
      <c r="E712" s="2">
        <v>196.54</v>
      </c>
      <c r="F712">
        <v>29</v>
      </c>
      <c r="G712">
        <v>3</v>
      </c>
      <c r="H712">
        <v>1.6E-2</v>
      </c>
      <c r="I712" s="3">
        <v>1085</v>
      </c>
      <c r="J712" s="1" t="s">
        <v>94</v>
      </c>
      <c r="K712" t="s">
        <v>31</v>
      </c>
      <c r="L712" t="s">
        <v>7</v>
      </c>
      <c r="M712" t="s">
        <v>35</v>
      </c>
      <c r="N712" s="1">
        <f t="shared" si="66"/>
        <v>45617</v>
      </c>
      <c r="O712" s="4">
        <f t="shared" si="67"/>
        <v>3.2621690862510676E-2</v>
      </c>
      <c r="P712">
        <f t="shared" si="68"/>
        <v>1.0290052356020942</v>
      </c>
      <c r="Q712" s="2">
        <f t="shared" si="69"/>
        <v>6.777241379310345</v>
      </c>
      <c r="R712" s="2">
        <f t="shared" si="70"/>
        <v>65.513333333333335</v>
      </c>
      <c r="S712" s="2">
        <f t="shared" si="71"/>
        <v>5.5205047318611991</v>
      </c>
    </row>
    <row r="713" spans="1:19" hidden="1">
      <c r="A713" t="s">
        <v>766</v>
      </c>
      <c r="B713" t="s">
        <v>30</v>
      </c>
      <c r="C713">
        <v>139</v>
      </c>
      <c r="D713">
        <v>5916</v>
      </c>
      <c r="E713" s="2">
        <v>234.46</v>
      </c>
      <c r="F713">
        <v>17</v>
      </c>
      <c r="G713">
        <v>6</v>
      </c>
      <c r="H713">
        <v>4.3999999999999997E-2</v>
      </c>
      <c r="I713" s="3">
        <v>1982</v>
      </c>
      <c r="J713" s="1">
        <v>45598</v>
      </c>
      <c r="K713" t="s">
        <v>31</v>
      </c>
      <c r="L713" t="s">
        <v>7</v>
      </c>
      <c r="M713" t="s">
        <v>35</v>
      </c>
      <c r="N713" s="1">
        <f t="shared" si="66"/>
        <v>45598</v>
      </c>
      <c r="O713" s="4">
        <f t="shared" si="67"/>
        <v>2.3495605138607167E-2</v>
      </c>
      <c r="P713">
        <f t="shared" si="68"/>
        <v>1.6867625899280576</v>
      </c>
      <c r="Q713" s="2">
        <f t="shared" si="69"/>
        <v>13.791764705882354</v>
      </c>
      <c r="R713" s="2">
        <f t="shared" si="70"/>
        <v>39.076666666666668</v>
      </c>
      <c r="S713" s="2">
        <f t="shared" si="71"/>
        <v>8.4534675424379415</v>
      </c>
    </row>
    <row r="714" spans="1:19" hidden="1">
      <c r="A714" t="s">
        <v>767</v>
      </c>
      <c r="B714" t="s">
        <v>30</v>
      </c>
      <c r="C714">
        <v>115</v>
      </c>
      <c r="D714">
        <v>3952</v>
      </c>
      <c r="E714" s="2">
        <v>229.18</v>
      </c>
      <c r="F714">
        <v>25</v>
      </c>
      <c r="G714">
        <v>4</v>
      </c>
      <c r="H714">
        <v>3.5000000000000003E-2</v>
      </c>
      <c r="I714" s="3">
        <v>1440</v>
      </c>
      <c r="J714" s="1" t="s">
        <v>34</v>
      </c>
      <c r="K714" t="s">
        <v>31</v>
      </c>
      <c r="L714" t="s">
        <v>9</v>
      </c>
      <c r="M714" t="s">
        <v>41</v>
      </c>
      <c r="N714" s="1">
        <f t="shared" si="66"/>
        <v>45616</v>
      </c>
      <c r="O714" s="4">
        <f t="shared" si="67"/>
        <v>2.909919028340081E-2</v>
      </c>
      <c r="P714">
        <f t="shared" si="68"/>
        <v>1.9928695652173913</v>
      </c>
      <c r="Q714" s="2">
        <f t="shared" si="69"/>
        <v>9.1672000000000011</v>
      </c>
      <c r="R714" s="2">
        <f t="shared" si="70"/>
        <v>57.295000000000002</v>
      </c>
      <c r="S714" s="2">
        <f t="shared" si="71"/>
        <v>6.2832707915175838</v>
      </c>
    </row>
    <row r="715" spans="1:19" hidden="1">
      <c r="A715" t="s">
        <v>768</v>
      </c>
      <c r="B715" t="s">
        <v>30</v>
      </c>
      <c r="C715">
        <v>123</v>
      </c>
      <c r="D715">
        <v>4208</v>
      </c>
      <c r="E715" s="2">
        <v>212.92</v>
      </c>
      <c r="F715">
        <v>29</v>
      </c>
      <c r="G715">
        <v>6</v>
      </c>
      <c r="H715">
        <v>4.9000000000000002E-2</v>
      </c>
      <c r="I715" s="3">
        <v>1184</v>
      </c>
      <c r="J715" s="1">
        <v>45601</v>
      </c>
      <c r="K715" t="s">
        <v>31</v>
      </c>
      <c r="L715" t="s">
        <v>7</v>
      </c>
      <c r="M715" t="s">
        <v>32</v>
      </c>
      <c r="N715" s="1">
        <f t="shared" si="66"/>
        <v>45601</v>
      </c>
      <c r="O715" s="4">
        <f t="shared" si="67"/>
        <v>2.9230038022813688E-2</v>
      </c>
      <c r="P715">
        <f t="shared" si="68"/>
        <v>1.7310569105691056</v>
      </c>
      <c r="Q715" s="2">
        <f t="shared" si="69"/>
        <v>7.3420689655172406</v>
      </c>
      <c r="R715" s="2">
        <f t="shared" si="70"/>
        <v>35.486666666666665</v>
      </c>
      <c r="S715" s="2">
        <f t="shared" si="71"/>
        <v>5.5607739996242724</v>
      </c>
    </row>
    <row r="716" spans="1:19">
      <c r="A716" t="s">
        <v>769</v>
      </c>
      <c r="B716" t="s">
        <v>30</v>
      </c>
      <c r="C716">
        <v>121</v>
      </c>
      <c r="D716">
        <v>5517</v>
      </c>
      <c r="E716" s="2">
        <v>222.14</v>
      </c>
      <c r="F716">
        <v>16</v>
      </c>
      <c r="G716">
        <v>7</v>
      </c>
      <c r="H716">
        <v>4.5999999999999999E-2</v>
      </c>
      <c r="I716" s="3">
        <v>1682</v>
      </c>
      <c r="J716" s="1">
        <v>45598</v>
      </c>
      <c r="K716" t="s">
        <v>31</v>
      </c>
      <c r="L716" t="s">
        <v>9</v>
      </c>
      <c r="M716" t="s">
        <v>32</v>
      </c>
      <c r="N716" s="1">
        <f t="shared" si="66"/>
        <v>45598</v>
      </c>
      <c r="O716" s="4">
        <f t="shared" si="67"/>
        <v>2.1932209534167121E-2</v>
      </c>
      <c r="P716">
        <f t="shared" si="68"/>
        <v>1.8358677685950413</v>
      </c>
      <c r="Q716" s="2">
        <f t="shared" si="69"/>
        <v>13.883749999999999</v>
      </c>
      <c r="R716" s="2">
        <f t="shared" si="70"/>
        <v>31.734285714285711</v>
      </c>
      <c r="S716" s="2">
        <f t="shared" si="71"/>
        <v>7.5718015665796345</v>
      </c>
    </row>
    <row r="717" spans="1:19" hidden="1">
      <c r="A717" t="s">
        <v>770</v>
      </c>
      <c r="B717" t="s">
        <v>30</v>
      </c>
      <c r="C717">
        <v>126</v>
      </c>
      <c r="D717">
        <v>5460</v>
      </c>
      <c r="E717" s="2">
        <v>210.83</v>
      </c>
      <c r="F717">
        <v>24</v>
      </c>
      <c r="G717">
        <v>10</v>
      </c>
      <c r="H717">
        <v>7.9000000000000001E-2</v>
      </c>
      <c r="I717" s="3">
        <v>1326</v>
      </c>
      <c r="J717" s="1">
        <v>45610</v>
      </c>
      <c r="K717" t="s">
        <v>31</v>
      </c>
      <c r="L717" t="s">
        <v>9</v>
      </c>
      <c r="M717" t="s">
        <v>41</v>
      </c>
      <c r="N717" s="1">
        <f t="shared" si="66"/>
        <v>45610</v>
      </c>
      <c r="O717" s="4">
        <f t="shared" si="67"/>
        <v>2.3076923076923078E-2</v>
      </c>
      <c r="P717">
        <f t="shared" si="68"/>
        <v>1.6732539682539684</v>
      </c>
      <c r="Q717" s="2">
        <f t="shared" si="69"/>
        <v>8.7845833333333339</v>
      </c>
      <c r="R717" s="2">
        <f t="shared" si="70"/>
        <v>21.083000000000002</v>
      </c>
      <c r="S717" s="2">
        <f t="shared" si="71"/>
        <v>6.289427500830052</v>
      </c>
    </row>
    <row r="718" spans="1:19" hidden="1">
      <c r="A718" t="s">
        <v>771</v>
      </c>
      <c r="B718" t="s">
        <v>30</v>
      </c>
      <c r="C718">
        <v>110</v>
      </c>
      <c r="D718">
        <v>3159</v>
      </c>
      <c r="E718" s="2">
        <v>197.92</v>
      </c>
      <c r="F718">
        <v>26</v>
      </c>
      <c r="G718">
        <v>10</v>
      </c>
      <c r="H718">
        <v>9.0999999999999998E-2</v>
      </c>
      <c r="I718" s="3">
        <v>1608</v>
      </c>
      <c r="J718" s="1">
        <v>45614</v>
      </c>
      <c r="K718" t="s">
        <v>31</v>
      </c>
      <c r="L718" t="s">
        <v>8</v>
      </c>
      <c r="M718" t="s">
        <v>37</v>
      </c>
      <c r="N718" s="1">
        <f t="shared" si="66"/>
        <v>45614</v>
      </c>
      <c r="O718" s="4">
        <f t="shared" si="67"/>
        <v>3.482114593225704E-2</v>
      </c>
      <c r="P718">
        <f t="shared" si="68"/>
        <v>1.7992727272727271</v>
      </c>
      <c r="Q718" s="2">
        <f t="shared" si="69"/>
        <v>7.6123076923076916</v>
      </c>
      <c r="R718" s="2">
        <f t="shared" si="70"/>
        <v>19.791999999999998</v>
      </c>
      <c r="S718" s="2">
        <f t="shared" si="71"/>
        <v>8.1244947453516581</v>
      </c>
    </row>
    <row r="719" spans="1:19" hidden="1">
      <c r="A719" t="s">
        <v>772</v>
      </c>
      <c r="B719" t="s">
        <v>30</v>
      </c>
      <c r="C719">
        <v>190</v>
      </c>
      <c r="D719">
        <v>5545</v>
      </c>
      <c r="E719" s="2">
        <v>223.96</v>
      </c>
      <c r="F719">
        <v>13</v>
      </c>
      <c r="G719">
        <v>7</v>
      </c>
      <c r="H719">
        <v>3.6999999999999998E-2</v>
      </c>
      <c r="I719" s="3">
        <v>1344</v>
      </c>
      <c r="J719" s="1">
        <v>45610</v>
      </c>
      <c r="K719" t="s">
        <v>31</v>
      </c>
      <c r="L719" t="s">
        <v>9</v>
      </c>
      <c r="M719" t="s">
        <v>46</v>
      </c>
      <c r="N719" s="1">
        <f t="shared" si="66"/>
        <v>45610</v>
      </c>
      <c r="O719" s="4">
        <f t="shared" si="67"/>
        <v>3.4265103697024346E-2</v>
      </c>
      <c r="P719">
        <f t="shared" si="68"/>
        <v>1.1787368421052633</v>
      </c>
      <c r="Q719" s="2">
        <f t="shared" si="69"/>
        <v>17.227692307692308</v>
      </c>
      <c r="R719" s="2">
        <f t="shared" si="70"/>
        <v>31.994285714285716</v>
      </c>
      <c r="S719" s="2">
        <f t="shared" si="71"/>
        <v>6.0010716199321301</v>
      </c>
    </row>
    <row r="720" spans="1:19" hidden="1">
      <c r="A720" t="s">
        <v>773</v>
      </c>
      <c r="B720" t="s">
        <v>30</v>
      </c>
      <c r="C720">
        <v>148</v>
      </c>
      <c r="D720">
        <v>3668</v>
      </c>
      <c r="E720" s="2">
        <v>245.79</v>
      </c>
      <c r="F720">
        <v>15</v>
      </c>
      <c r="G720">
        <v>10</v>
      </c>
      <c r="H720">
        <v>6.8000000000000005E-2</v>
      </c>
      <c r="I720" s="3">
        <v>1718</v>
      </c>
      <c r="J720" s="1">
        <v>45621</v>
      </c>
      <c r="K720" t="s">
        <v>31</v>
      </c>
      <c r="L720" t="s">
        <v>7</v>
      </c>
      <c r="M720" t="s">
        <v>35</v>
      </c>
      <c r="N720" s="1">
        <f t="shared" si="66"/>
        <v>45621</v>
      </c>
      <c r="O720" s="4">
        <f t="shared" si="67"/>
        <v>4.0348964013086151E-2</v>
      </c>
      <c r="P720">
        <f t="shared" si="68"/>
        <v>1.6607432432432432</v>
      </c>
      <c r="Q720" s="2">
        <f t="shared" si="69"/>
        <v>16.385999999999999</v>
      </c>
      <c r="R720" s="2">
        <f t="shared" si="70"/>
        <v>24.579000000000001</v>
      </c>
      <c r="S720" s="2">
        <f t="shared" si="71"/>
        <v>6.9897066601570446</v>
      </c>
    </row>
    <row r="721" spans="1:19" hidden="1">
      <c r="A721" t="s">
        <v>774</v>
      </c>
      <c r="B721" t="s">
        <v>30</v>
      </c>
      <c r="C721">
        <v>86</v>
      </c>
      <c r="D721">
        <v>5663</v>
      </c>
      <c r="E721" s="2">
        <v>231.79</v>
      </c>
      <c r="F721">
        <v>19</v>
      </c>
      <c r="G721">
        <v>10</v>
      </c>
      <c r="H721">
        <v>0.11600000000000001</v>
      </c>
      <c r="I721" s="3">
        <v>1547</v>
      </c>
      <c r="J721" s="1" t="s">
        <v>132</v>
      </c>
      <c r="K721" t="s">
        <v>31</v>
      </c>
      <c r="L721" t="s">
        <v>8</v>
      </c>
      <c r="M721" t="s">
        <v>39</v>
      </c>
      <c r="N721" s="1">
        <f t="shared" si="66"/>
        <v>45613</v>
      </c>
      <c r="O721" s="4">
        <f t="shared" si="67"/>
        <v>1.5186297015716051E-2</v>
      </c>
      <c r="P721">
        <f t="shared" si="68"/>
        <v>2.6952325581395349</v>
      </c>
      <c r="Q721" s="2">
        <f t="shared" si="69"/>
        <v>12.199473684210526</v>
      </c>
      <c r="R721" s="2">
        <f t="shared" si="70"/>
        <v>23.178999999999998</v>
      </c>
      <c r="S721" s="2">
        <f t="shared" si="71"/>
        <v>6.6741446999439153</v>
      </c>
    </row>
    <row r="722" spans="1:19">
      <c r="A722" t="s">
        <v>775</v>
      </c>
      <c r="B722" t="s">
        <v>30</v>
      </c>
      <c r="C722">
        <v>172</v>
      </c>
      <c r="D722">
        <v>3123</v>
      </c>
      <c r="E722" s="2">
        <v>216.67</v>
      </c>
      <c r="F722">
        <v>15</v>
      </c>
      <c r="G722">
        <v>7</v>
      </c>
      <c r="H722">
        <v>4.5999999999999999E-2</v>
      </c>
      <c r="I722" s="3">
        <v>1759</v>
      </c>
      <c r="J722" s="1">
        <v>45333</v>
      </c>
      <c r="K722" t="s">
        <v>31</v>
      </c>
      <c r="L722" t="s">
        <v>7</v>
      </c>
      <c r="M722" t="s">
        <v>41</v>
      </c>
      <c r="N722" s="1">
        <f t="shared" si="66"/>
        <v>45333</v>
      </c>
      <c r="O722" s="4">
        <f t="shared" si="67"/>
        <v>5.5075248158821644E-2</v>
      </c>
      <c r="P722">
        <f t="shared" si="68"/>
        <v>1.2597093023255814</v>
      </c>
      <c r="Q722" s="2">
        <f t="shared" si="69"/>
        <v>14.444666666666667</v>
      </c>
      <c r="R722" s="2">
        <f t="shared" si="70"/>
        <v>30.952857142857141</v>
      </c>
      <c r="S722" s="2">
        <f t="shared" si="71"/>
        <v>8.1183366409747553</v>
      </c>
    </row>
    <row r="723" spans="1:19" hidden="1">
      <c r="A723" t="s">
        <v>776</v>
      </c>
      <c r="B723" t="s">
        <v>30</v>
      </c>
      <c r="C723">
        <v>143</v>
      </c>
      <c r="D723">
        <v>5638</v>
      </c>
      <c r="E723" s="2">
        <v>229.41</v>
      </c>
      <c r="F723">
        <v>23</v>
      </c>
      <c r="G723">
        <v>4</v>
      </c>
      <c r="H723">
        <v>5.8000000000000003E-2</v>
      </c>
      <c r="I723" s="3">
        <v>1398</v>
      </c>
      <c r="J723" s="1">
        <v>45599</v>
      </c>
      <c r="K723" t="s">
        <v>31</v>
      </c>
      <c r="L723" t="s">
        <v>7</v>
      </c>
      <c r="M723" t="s">
        <v>41</v>
      </c>
      <c r="N723" s="1">
        <f t="shared" si="66"/>
        <v>45599</v>
      </c>
      <c r="O723" s="4">
        <f t="shared" si="67"/>
        <v>2.5363604114934372E-2</v>
      </c>
      <c r="P723">
        <f t="shared" si="68"/>
        <v>1.6042657342657343</v>
      </c>
      <c r="Q723" s="2">
        <f t="shared" si="69"/>
        <v>9.9743478260869569</v>
      </c>
      <c r="R723" s="2">
        <f t="shared" si="70"/>
        <v>57.352499999999999</v>
      </c>
      <c r="S723" s="2">
        <f t="shared" si="71"/>
        <v>6.0938930299463845</v>
      </c>
    </row>
    <row r="724" spans="1:19" hidden="1">
      <c r="A724" t="s">
        <v>777</v>
      </c>
      <c r="B724" t="s">
        <v>30</v>
      </c>
      <c r="C724">
        <v>172</v>
      </c>
      <c r="D724">
        <v>4436</v>
      </c>
      <c r="E724" s="2">
        <v>232.16</v>
      </c>
      <c r="F724">
        <v>21</v>
      </c>
      <c r="G724">
        <v>7</v>
      </c>
      <c r="H724">
        <v>4.1000000000000002E-2</v>
      </c>
      <c r="I724" s="3">
        <v>1050</v>
      </c>
      <c r="J724" s="1">
        <v>45623</v>
      </c>
      <c r="K724" t="s">
        <v>31</v>
      </c>
      <c r="L724" t="s">
        <v>8</v>
      </c>
      <c r="M724" t="s">
        <v>32</v>
      </c>
      <c r="N724" s="1">
        <f t="shared" si="66"/>
        <v>45623</v>
      </c>
      <c r="O724" s="4">
        <f t="shared" si="67"/>
        <v>3.87736699729486E-2</v>
      </c>
      <c r="P724">
        <f t="shared" si="68"/>
        <v>1.349767441860465</v>
      </c>
      <c r="Q724" s="2">
        <f t="shared" si="69"/>
        <v>11.055238095238096</v>
      </c>
      <c r="R724" s="2">
        <f t="shared" si="70"/>
        <v>33.165714285714287</v>
      </c>
      <c r="S724" s="2">
        <f t="shared" si="71"/>
        <v>4.5227429359062716</v>
      </c>
    </row>
    <row r="725" spans="1:19" hidden="1">
      <c r="A725" t="s">
        <v>778</v>
      </c>
      <c r="B725" t="s">
        <v>30</v>
      </c>
      <c r="C725">
        <v>138</v>
      </c>
      <c r="D725">
        <v>5555</v>
      </c>
      <c r="E725" s="2">
        <v>188.55</v>
      </c>
      <c r="F725">
        <v>14</v>
      </c>
      <c r="G725">
        <v>8</v>
      </c>
      <c r="H725">
        <v>5.8000000000000003E-2</v>
      </c>
      <c r="I725" s="3">
        <v>1593</v>
      </c>
      <c r="J725" s="1" t="s">
        <v>167</v>
      </c>
      <c r="K725" t="s">
        <v>31</v>
      </c>
      <c r="L725" t="s">
        <v>7</v>
      </c>
      <c r="M725" t="s">
        <v>39</v>
      </c>
      <c r="N725" s="1">
        <f t="shared" si="66"/>
        <v>45620</v>
      </c>
      <c r="O725" s="4">
        <f t="shared" si="67"/>
        <v>2.4842484248424841E-2</v>
      </c>
      <c r="P725">
        <f t="shared" si="68"/>
        <v>1.366304347826087</v>
      </c>
      <c r="Q725" s="2">
        <f t="shared" si="69"/>
        <v>13.467857142857143</v>
      </c>
      <c r="R725" s="2">
        <f t="shared" si="70"/>
        <v>23.568750000000001</v>
      </c>
      <c r="S725" s="2">
        <f t="shared" si="71"/>
        <v>8.4486873508353213</v>
      </c>
    </row>
    <row r="726" spans="1:19">
      <c r="A726" t="s">
        <v>779</v>
      </c>
      <c r="B726" t="s">
        <v>30</v>
      </c>
      <c r="C726">
        <v>132</v>
      </c>
      <c r="D726">
        <v>4972</v>
      </c>
      <c r="E726" s="2">
        <v>248.45</v>
      </c>
      <c r="F726">
        <v>25</v>
      </c>
      <c r="G726">
        <v>9</v>
      </c>
      <c r="H726">
        <v>4.5999999999999999E-2</v>
      </c>
      <c r="I726" s="3">
        <v>1126</v>
      </c>
      <c r="J726" s="1">
        <v>45615</v>
      </c>
      <c r="K726" t="s">
        <v>31</v>
      </c>
      <c r="L726" t="s">
        <v>9</v>
      </c>
      <c r="M726" t="s">
        <v>37</v>
      </c>
      <c r="N726" s="1">
        <f t="shared" si="66"/>
        <v>45615</v>
      </c>
      <c r="O726" s="4">
        <f t="shared" si="67"/>
        <v>2.6548672566371681E-2</v>
      </c>
      <c r="P726">
        <f t="shared" si="68"/>
        <v>1.8821969696969696</v>
      </c>
      <c r="Q726" s="2">
        <f t="shared" si="69"/>
        <v>9.9379999999999988</v>
      </c>
      <c r="R726" s="2">
        <f t="shared" si="70"/>
        <v>27.605555555555554</v>
      </c>
      <c r="S726" s="2">
        <f t="shared" si="71"/>
        <v>4.5320990138860937</v>
      </c>
    </row>
    <row r="727" spans="1:19" hidden="1">
      <c r="A727" t="s">
        <v>780</v>
      </c>
      <c r="B727" t="s">
        <v>30</v>
      </c>
      <c r="C727">
        <v>174</v>
      </c>
      <c r="D727">
        <v>3231</v>
      </c>
      <c r="E727" s="2">
        <v>215.57</v>
      </c>
      <c r="F727">
        <v>10</v>
      </c>
      <c r="G727">
        <v>7</v>
      </c>
      <c r="H727">
        <v>0.04</v>
      </c>
      <c r="I727" s="3">
        <v>1128</v>
      </c>
      <c r="J727" s="1">
        <v>45608</v>
      </c>
      <c r="K727" t="s">
        <v>31</v>
      </c>
      <c r="L727" t="s">
        <v>8</v>
      </c>
      <c r="M727" t="s">
        <v>35</v>
      </c>
      <c r="N727" s="1">
        <f t="shared" si="66"/>
        <v>45608</v>
      </c>
      <c r="O727" s="4">
        <f t="shared" si="67"/>
        <v>5.3853296193129063E-2</v>
      </c>
      <c r="P727">
        <f t="shared" si="68"/>
        <v>1.2389080459770114</v>
      </c>
      <c r="Q727" s="2">
        <f t="shared" si="69"/>
        <v>21.556999999999999</v>
      </c>
      <c r="R727" s="2">
        <f t="shared" si="70"/>
        <v>30.795714285714286</v>
      </c>
      <c r="S727" s="2">
        <f t="shared" si="71"/>
        <v>5.2326390499605697</v>
      </c>
    </row>
    <row r="728" spans="1:19">
      <c r="A728" t="s">
        <v>781</v>
      </c>
      <c r="B728" t="s">
        <v>30</v>
      </c>
      <c r="C728">
        <v>154</v>
      </c>
      <c r="D728">
        <v>3461</v>
      </c>
      <c r="E728" s="2">
        <v>235.36</v>
      </c>
      <c r="F728">
        <v>18</v>
      </c>
      <c r="G728">
        <v>4</v>
      </c>
      <c r="H728">
        <v>4.5999999999999999E-2</v>
      </c>
      <c r="I728" s="3">
        <v>1212</v>
      </c>
      <c r="J728" s="1" t="s">
        <v>105</v>
      </c>
      <c r="K728" t="s">
        <v>31</v>
      </c>
      <c r="L728" t="s">
        <v>9</v>
      </c>
      <c r="M728" t="s">
        <v>37</v>
      </c>
      <c r="N728" s="1">
        <f t="shared" si="66"/>
        <v>45614</v>
      </c>
      <c r="O728" s="4">
        <f t="shared" si="67"/>
        <v>4.4495810459404796E-2</v>
      </c>
      <c r="P728">
        <f t="shared" si="68"/>
        <v>1.5283116883116885</v>
      </c>
      <c r="Q728" s="2">
        <f t="shared" si="69"/>
        <v>13.075555555555557</v>
      </c>
      <c r="R728" s="2">
        <f t="shared" si="70"/>
        <v>58.84</v>
      </c>
      <c r="S728" s="2">
        <f t="shared" si="71"/>
        <v>5.1495581237253569</v>
      </c>
    </row>
    <row r="729" spans="1:19" hidden="1">
      <c r="A729" t="s">
        <v>782</v>
      </c>
      <c r="B729" t="s">
        <v>30</v>
      </c>
      <c r="C729">
        <v>126</v>
      </c>
      <c r="D729">
        <v>3423</v>
      </c>
      <c r="E729" s="2">
        <v>236.21</v>
      </c>
      <c r="F729">
        <v>25</v>
      </c>
      <c r="G729">
        <v>9</v>
      </c>
      <c r="H729">
        <v>7.0999999999999994E-2</v>
      </c>
      <c r="I729" s="3">
        <v>1106</v>
      </c>
      <c r="J729" s="1" t="s">
        <v>34</v>
      </c>
      <c r="K729" t="s">
        <v>31</v>
      </c>
      <c r="L729" t="s">
        <v>9</v>
      </c>
      <c r="M729" t="s">
        <v>39</v>
      </c>
      <c r="N729" s="1">
        <f t="shared" si="66"/>
        <v>45616</v>
      </c>
      <c r="O729" s="4">
        <f t="shared" si="67"/>
        <v>3.6809815950920248E-2</v>
      </c>
      <c r="P729">
        <f t="shared" si="68"/>
        <v>1.8746825396825397</v>
      </c>
      <c r="Q729" s="2">
        <f t="shared" si="69"/>
        <v>9.4483999999999995</v>
      </c>
      <c r="R729" s="2">
        <f t="shared" si="70"/>
        <v>26.245555555555555</v>
      </c>
      <c r="S729" s="2">
        <f t="shared" si="71"/>
        <v>4.6822742474916383</v>
      </c>
    </row>
    <row r="730" spans="1:19" hidden="1">
      <c r="A730" t="s">
        <v>783</v>
      </c>
      <c r="B730" t="s">
        <v>30</v>
      </c>
      <c r="C730">
        <v>138</v>
      </c>
      <c r="D730">
        <v>4025</v>
      </c>
      <c r="E730" s="2">
        <v>220.96</v>
      </c>
      <c r="F730">
        <v>21</v>
      </c>
      <c r="G730">
        <v>7</v>
      </c>
      <c r="H730">
        <v>5.0999999999999997E-2</v>
      </c>
      <c r="I730" s="3">
        <v>1416</v>
      </c>
      <c r="J730" s="1">
        <v>45620</v>
      </c>
      <c r="K730" t="s">
        <v>31</v>
      </c>
      <c r="L730" t="s">
        <v>9</v>
      </c>
      <c r="M730" t="s">
        <v>37</v>
      </c>
      <c r="N730" s="1">
        <f t="shared" si="66"/>
        <v>45620</v>
      </c>
      <c r="O730" s="4">
        <f t="shared" si="67"/>
        <v>3.4285714285714287E-2</v>
      </c>
      <c r="P730">
        <f t="shared" si="68"/>
        <v>1.6011594202898551</v>
      </c>
      <c r="Q730" s="2">
        <f t="shared" si="69"/>
        <v>10.521904761904763</v>
      </c>
      <c r="R730" s="2">
        <f t="shared" si="70"/>
        <v>31.565714285714286</v>
      </c>
      <c r="S730" s="2">
        <f t="shared" si="71"/>
        <v>6.4083997103548151</v>
      </c>
    </row>
    <row r="731" spans="1:19" hidden="1">
      <c r="A731" t="s">
        <v>784</v>
      </c>
      <c r="B731" t="s">
        <v>30</v>
      </c>
      <c r="C731">
        <v>193</v>
      </c>
      <c r="D731">
        <v>3800</v>
      </c>
      <c r="E731" s="2">
        <v>199.76</v>
      </c>
      <c r="F731">
        <v>27</v>
      </c>
      <c r="G731">
        <v>9</v>
      </c>
      <c r="H731">
        <v>4.7E-2</v>
      </c>
      <c r="I731" s="3">
        <v>1393</v>
      </c>
      <c r="J731" s="1">
        <v>45613</v>
      </c>
      <c r="K731" t="s">
        <v>31</v>
      </c>
      <c r="L731" t="s">
        <v>8</v>
      </c>
      <c r="M731" t="s">
        <v>35</v>
      </c>
      <c r="N731" s="1">
        <f t="shared" si="66"/>
        <v>45613</v>
      </c>
      <c r="O731" s="4">
        <f t="shared" si="67"/>
        <v>5.0789473684210523E-2</v>
      </c>
      <c r="P731">
        <f t="shared" si="68"/>
        <v>1.0350259067357512</v>
      </c>
      <c r="Q731" s="2">
        <f t="shared" si="69"/>
        <v>7.3985185185185181</v>
      </c>
      <c r="R731" s="2">
        <f t="shared" si="70"/>
        <v>22.195555555555554</v>
      </c>
      <c r="S731" s="2">
        <f t="shared" si="71"/>
        <v>6.9733680416499801</v>
      </c>
    </row>
    <row r="732" spans="1:19" hidden="1">
      <c r="A732" t="s">
        <v>785</v>
      </c>
      <c r="B732" t="s">
        <v>30</v>
      </c>
      <c r="C732">
        <v>156</v>
      </c>
      <c r="D732">
        <v>5293</v>
      </c>
      <c r="E732" s="2">
        <v>210.43</v>
      </c>
      <c r="F732">
        <v>26</v>
      </c>
      <c r="G732">
        <v>6</v>
      </c>
      <c r="H732">
        <v>3.7999999999999999E-2</v>
      </c>
      <c r="I732" s="3">
        <v>1449</v>
      </c>
      <c r="J732" s="1" t="s">
        <v>357</v>
      </c>
      <c r="K732" t="s">
        <v>31</v>
      </c>
      <c r="L732" t="s">
        <v>9</v>
      </c>
      <c r="M732" t="s">
        <v>35</v>
      </c>
      <c r="N732" s="1">
        <f t="shared" si="66"/>
        <v>45624</v>
      </c>
      <c r="O732" s="4">
        <f t="shared" si="67"/>
        <v>2.94728887209522E-2</v>
      </c>
      <c r="P732">
        <f t="shared" si="68"/>
        <v>1.3489102564102564</v>
      </c>
      <c r="Q732" s="2">
        <f t="shared" si="69"/>
        <v>8.093461538461538</v>
      </c>
      <c r="R732" s="2">
        <f t="shared" si="70"/>
        <v>35.071666666666665</v>
      </c>
      <c r="S732" s="2">
        <f t="shared" si="71"/>
        <v>6.8859002993869689</v>
      </c>
    </row>
    <row r="733" spans="1:19" hidden="1">
      <c r="A733" t="s">
        <v>786</v>
      </c>
      <c r="B733" t="s">
        <v>30</v>
      </c>
      <c r="C733">
        <v>142</v>
      </c>
      <c r="D733">
        <v>3565</v>
      </c>
      <c r="E733" s="2">
        <v>180.39</v>
      </c>
      <c r="F733">
        <v>26</v>
      </c>
      <c r="G733">
        <v>5</v>
      </c>
      <c r="H733">
        <v>3.5000000000000003E-2</v>
      </c>
      <c r="I733" s="3">
        <v>1147</v>
      </c>
      <c r="J733" s="1">
        <v>45597</v>
      </c>
      <c r="K733" t="s">
        <v>31</v>
      </c>
      <c r="L733" t="s">
        <v>9</v>
      </c>
      <c r="M733" t="s">
        <v>39</v>
      </c>
      <c r="N733" s="1">
        <f t="shared" si="66"/>
        <v>45597</v>
      </c>
      <c r="O733" s="4">
        <f t="shared" si="67"/>
        <v>3.983169705469846E-2</v>
      </c>
      <c r="P733">
        <f t="shared" si="68"/>
        <v>1.2703521126760562</v>
      </c>
      <c r="Q733" s="2">
        <f t="shared" si="69"/>
        <v>6.9380769230769221</v>
      </c>
      <c r="R733" s="2">
        <f t="shared" si="70"/>
        <v>36.077999999999996</v>
      </c>
      <c r="S733" s="2">
        <f t="shared" si="71"/>
        <v>6.3584455901103167</v>
      </c>
    </row>
    <row r="734" spans="1:19">
      <c r="A734" t="s">
        <v>787</v>
      </c>
      <c r="B734" t="s">
        <v>30</v>
      </c>
      <c r="C734">
        <v>92</v>
      </c>
      <c r="D734">
        <v>4296</v>
      </c>
      <c r="E734" s="2">
        <v>239.12</v>
      </c>
      <c r="F734">
        <v>11</v>
      </c>
      <c r="G734">
        <v>10</v>
      </c>
      <c r="H734">
        <v>4.5999999999999999E-2</v>
      </c>
      <c r="I734" s="3">
        <v>1169</v>
      </c>
      <c r="J734" s="1">
        <v>45598</v>
      </c>
      <c r="K734" t="s">
        <v>31</v>
      </c>
      <c r="L734" t="s">
        <v>9</v>
      </c>
      <c r="M734" t="s">
        <v>39</v>
      </c>
      <c r="N734" s="1">
        <f t="shared" si="66"/>
        <v>45598</v>
      </c>
      <c r="O734" s="4">
        <f t="shared" si="67"/>
        <v>2.1415270018621976E-2</v>
      </c>
      <c r="P734">
        <f t="shared" si="68"/>
        <v>2.5991304347826087</v>
      </c>
      <c r="Q734" s="2">
        <f t="shared" si="69"/>
        <v>21.738181818181818</v>
      </c>
      <c r="R734" s="2">
        <f t="shared" si="70"/>
        <v>23.911999999999999</v>
      </c>
      <c r="S734" s="2">
        <f t="shared" si="71"/>
        <v>4.8887587822014051</v>
      </c>
    </row>
    <row r="735" spans="1:19" hidden="1">
      <c r="A735" t="s">
        <v>788</v>
      </c>
      <c r="B735" t="s">
        <v>30</v>
      </c>
      <c r="C735">
        <v>190</v>
      </c>
      <c r="D735">
        <v>3567</v>
      </c>
      <c r="E735" s="2">
        <v>249.26</v>
      </c>
      <c r="F735">
        <v>20</v>
      </c>
      <c r="G735">
        <v>7</v>
      </c>
      <c r="H735">
        <v>5.7000000000000002E-2</v>
      </c>
      <c r="I735" s="3">
        <v>1517</v>
      </c>
      <c r="J735" s="1">
        <v>45622</v>
      </c>
      <c r="K735" t="s">
        <v>31</v>
      </c>
      <c r="L735" t="s">
        <v>7</v>
      </c>
      <c r="M735" t="s">
        <v>37</v>
      </c>
      <c r="N735" s="1">
        <f t="shared" si="66"/>
        <v>45622</v>
      </c>
      <c r="O735" s="4">
        <f t="shared" si="67"/>
        <v>5.3266049901878332E-2</v>
      </c>
      <c r="P735">
        <f t="shared" si="68"/>
        <v>1.3118947368421052</v>
      </c>
      <c r="Q735" s="2">
        <f t="shared" si="69"/>
        <v>12.462999999999999</v>
      </c>
      <c r="R735" s="2">
        <f t="shared" si="70"/>
        <v>35.60857142857143</v>
      </c>
      <c r="S735" s="2">
        <f t="shared" si="71"/>
        <v>6.0860146032255482</v>
      </c>
    </row>
    <row r="736" spans="1:19" hidden="1">
      <c r="A736" t="s">
        <v>789</v>
      </c>
      <c r="B736" t="s">
        <v>30</v>
      </c>
      <c r="C736">
        <v>134</v>
      </c>
      <c r="D736">
        <v>4854</v>
      </c>
      <c r="E736" s="2">
        <v>198.93</v>
      </c>
      <c r="F736">
        <v>21</v>
      </c>
      <c r="G736">
        <v>8</v>
      </c>
      <c r="H736">
        <v>0.06</v>
      </c>
      <c r="I736" s="3">
        <v>1101</v>
      </c>
      <c r="J736" s="1">
        <v>45362</v>
      </c>
      <c r="K736" t="s">
        <v>31</v>
      </c>
      <c r="L736" t="s">
        <v>7</v>
      </c>
      <c r="M736" t="s">
        <v>46</v>
      </c>
      <c r="N736" s="1">
        <f t="shared" si="66"/>
        <v>45362</v>
      </c>
      <c r="O736" s="4">
        <f t="shared" si="67"/>
        <v>2.7606098063452822E-2</v>
      </c>
      <c r="P736">
        <f t="shared" si="68"/>
        <v>1.4845522388059702</v>
      </c>
      <c r="Q736" s="2">
        <f t="shared" si="69"/>
        <v>9.4728571428571424</v>
      </c>
      <c r="R736" s="2">
        <f t="shared" si="70"/>
        <v>24.866250000000001</v>
      </c>
      <c r="S736" s="2">
        <f t="shared" si="71"/>
        <v>5.5346101643794299</v>
      </c>
    </row>
    <row r="737" spans="1:19" hidden="1">
      <c r="A737" t="s">
        <v>790</v>
      </c>
      <c r="B737" t="s">
        <v>30</v>
      </c>
      <c r="C737">
        <v>144</v>
      </c>
      <c r="D737">
        <v>4518.5</v>
      </c>
      <c r="E737" s="2">
        <v>186.47</v>
      </c>
      <c r="F737">
        <v>29</v>
      </c>
      <c r="G737">
        <v>8</v>
      </c>
      <c r="H737">
        <v>5.6000000000000001E-2</v>
      </c>
      <c r="I737" s="3">
        <v>1437</v>
      </c>
      <c r="J737" s="1" t="s">
        <v>86</v>
      </c>
      <c r="K737" t="s">
        <v>31</v>
      </c>
      <c r="L737" t="s">
        <v>8</v>
      </c>
      <c r="M737" t="s">
        <v>35</v>
      </c>
      <c r="N737" s="1">
        <f t="shared" si="66"/>
        <v>45625</v>
      </c>
      <c r="O737" s="4">
        <f t="shared" si="67"/>
        <v>3.1868983069602744E-2</v>
      </c>
      <c r="P737">
        <f t="shared" si="68"/>
        <v>1.2949305555555555</v>
      </c>
      <c r="Q737" s="2">
        <f t="shared" si="69"/>
        <v>6.43</v>
      </c>
      <c r="R737" s="2">
        <f t="shared" si="70"/>
        <v>23.30875</v>
      </c>
      <c r="S737" s="2">
        <f t="shared" si="71"/>
        <v>7.7063334584651688</v>
      </c>
    </row>
    <row r="738" spans="1:19">
      <c r="A738" t="s">
        <v>791</v>
      </c>
      <c r="B738" t="s">
        <v>30</v>
      </c>
      <c r="C738">
        <v>117</v>
      </c>
      <c r="D738">
        <v>4630</v>
      </c>
      <c r="E738" s="2">
        <v>196.66</v>
      </c>
      <c r="F738">
        <v>15</v>
      </c>
      <c r="G738">
        <v>8</v>
      </c>
      <c r="H738">
        <v>4.5999999999999999E-2</v>
      </c>
      <c r="I738" s="3">
        <v>1361</v>
      </c>
      <c r="J738" s="1" t="s">
        <v>132</v>
      </c>
      <c r="K738" t="s">
        <v>31</v>
      </c>
      <c r="L738" t="s">
        <v>7</v>
      </c>
      <c r="M738" t="s">
        <v>41</v>
      </c>
      <c r="N738" s="1">
        <f t="shared" si="66"/>
        <v>45613</v>
      </c>
      <c r="O738" s="4">
        <f t="shared" si="67"/>
        <v>2.5269978401727861E-2</v>
      </c>
      <c r="P738">
        <f t="shared" si="68"/>
        <v>1.6808547008547008</v>
      </c>
      <c r="Q738" s="2">
        <f t="shared" si="69"/>
        <v>13.110666666666667</v>
      </c>
      <c r="R738" s="2">
        <f t="shared" si="70"/>
        <v>24.5825</v>
      </c>
      <c r="S738" s="2">
        <f t="shared" si="71"/>
        <v>6.9205735787653824</v>
      </c>
    </row>
    <row r="739" spans="1:19" hidden="1">
      <c r="A739" t="s">
        <v>792</v>
      </c>
      <c r="B739" t="s">
        <v>30</v>
      </c>
      <c r="C739">
        <v>160</v>
      </c>
      <c r="D739">
        <v>3448</v>
      </c>
      <c r="E739" s="2">
        <v>210.38</v>
      </c>
      <c r="F739">
        <v>19</v>
      </c>
      <c r="G739">
        <v>7</v>
      </c>
      <c r="H739">
        <v>4.3999999999999997E-2</v>
      </c>
      <c r="I739" s="3">
        <v>1705</v>
      </c>
      <c r="J739" s="1" t="s">
        <v>50</v>
      </c>
      <c r="K739" t="s">
        <v>31</v>
      </c>
      <c r="L739" t="s">
        <v>7</v>
      </c>
      <c r="M739" t="s">
        <v>35</v>
      </c>
      <c r="N739" s="1">
        <f t="shared" si="66"/>
        <v>45610</v>
      </c>
      <c r="O739" s="4">
        <f t="shared" si="67"/>
        <v>4.6403712296983757E-2</v>
      </c>
      <c r="P739">
        <f t="shared" si="68"/>
        <v>1.314875</v>
      </c>
      <c r="Q739" s="2">
        <f t="shared" si="69"/>
        <v>11.072631578947368</v>
      </c>
      <c r="R739" s="2">
        <f t="shared" si="70"/>
        <v>30.054285714285715</v>
      </c>
      <c r="S739" s="2">
        <f t="shared" si="71"/>
        <v>8.1043825458693792</v>
      </c>
    </row>
    <row r="740" spans="1:19" hidden="1">
      <c r="A740" t="s">
        <v>793</v>
      </c>
      <c r="B740" t="s">
        <v>30</v>
      </c>
      <c r="C740">
        <v>146</v>
      </c>
      <c r="D740">
        <v>5297</v>
      </c>
      <c r="E740" s="2">
        <v>198.89</v>
      </c>
      <c r="F740">
        <v>30</v>
      </c>
      <c r="G740">
        <v>8</v>
      </c>
      <c r="H740">
        <v>5.5E-2</v>
      </c>
      <c r="I740" s="3">
        <v>2000</v>
      </c>
      <c r="J740" s="1">
        <v>45598</v>
      </c>
      <c r="K740" t="s">
        <v>31</v>
      </c>
      <c r="L740" t="s">
        <v>7</v>
      </c>
      <c r="M740" t="s">
        <v>39</v>
      </c>
      <c r="N740" s="1">
        <f t="shared" si="66"/>
        <v>45598</v>
      </c>
      <c r="O740" s="4">
        <f t="shared" si="67"/>
        <v>2.756277138002643E-2</v>
      </c>
      <c r="P740">
        <f t="shared" si="68"/>
        <v>1.3622602739726026</v>
      </c>
      <c r="Q740" s="2">
        <f t="shared" si="69"/>
        <v>6.6296666666666662</v>
      </c>
      <c r="R740" s="2">
        <f t="shared" si="70"/>
        <v>24.861249999999998</v>
      </c>
      <c r="S740" s="2">
        <f t="shared" si="71"/>
        <v>10.055809744079642</v>
      </c>
    </row>
    <row r="741" spans="1:19" hidden="1">
      <c r="A741" t="s">
        <v>794</v>
      </c>
      <c r="B741" t="s">
        <v>30</v>
      </c>
      <c r="C741">
        <v>175</v>
      </c>
      <c r="D741">
        <v>3818</v>
      </c>
      <c r="E741" s="2">
        <v>190.89</v>
      </c>
      <c r="F741">
        <v>30</v>
      </c>
      <c r="G741">
        <v>10</v>
      </c>
      <c r="H741">
        <v>3.9E-2</v>
      </c>
      <c r="I741" s="3">
        <v>1088</v>
      </c>
      <c r="J741" s="1">
        <v>45606</v>
      </c>
      <c r="K741" t="s">
        <v>31</v>
      </c>
      <c r="L741" t="s">
        <v>9</v>
      </c>
      <c r="M741" t="s">
        <v>37</v>
      </c>
      <c r="N741" s="1">
        <f t="shared" si="66"/>
        <v>45606</v>
      </c>
      <c r="O741" s="4">
        <f t="shared" si="67"/>
        <v>4.5835515976951284E-2</v>
      </c>
      <c r="P741">
        <f t="shared" si="68"/>
        <v>1.0908</v>
      </c>
      <c r="Q741" s="2">
        <f t="shared" si="69"/>
        <v>6.3629999999999995</v>
      </c>
      <c r="R741" s="2">
        <f t="shared" si="70"/>
        <v>19.088999999999999</v>
      </c>
      <c r="S741" s="2">
        <f t="shared" si="71"/>
        <v>5.6996175808057004</v>
      </c>
    </row>
    <row r="742" spans="1:19" hidden="1">
      <c r="A742" t="s">
        <v>795</v>
      </c>
      <c r="B742" t="s">
        <v>30</v>
      </c>
      <c r="C742">
        <v>122</v>
      </c>
      <c r="D742">
        <v>4791</v>
      </c>
      <c r="E742" s="2">
        <v>223.16</v>
      </c>
      <c r="F742">
        <v>12</v>
      </c>
      <c r="G742">
        <v>4</v>
      </c>
      <c r="H742">
        <v>3.3000000000000002E-2</v>
      </c>
      <c r="I742" s="3">
        <v>1246</v>
      </c>
      <c r="J742" s="1">
        <v>45423</v>
      </c>
      <c r="K742" t="s">
        <v>31</v>
      </c>
      <c r="L742" t="s">
        <v>9</v>
      </c>
      <c r="M742" t="s">
        <v>32</v>
      </c>
      <c r="N742" s="1">
        <f t="shared" si="66"/>
        <v>45423</v>
      </c>
      <c r="O742" s="4">
        <f t="shared" si="67"/>
        <v>2.546441243999165E-2</v>
      </c>
      <c r="P742">
        <f t="shared" si="68"/>
        <v>1.8291803278688525</v>
      </c>
      <c r="Q742" s="2">
        <f t="shared" si="69"/>
        <v>18.596666666666668</v>
      </c>
      <c r="R742" s="2">
        <f t="shared" si="70"/>
        <v>55.79</v>
      </c>
      <c r="S742" s="2">
        <f t="shared" si="71"/>
        <v>5.5834378920953576</v>
      </c>
    </row>
    <row r="743" spans="1:19" hidden="1">
      <c r="A743" t="s">
        <v>796</v>
      </c>
      <c r="B743" t="s">
        <v>30</v>
      </c>
      <c r="C743">
        <v>85</v>
      </c>
      <c r="D743">
        <v>3713</v>
      </c>
      <c r="E743" s="2">
        <v>225.74</v>
      </c>
      <c r="F743">
        <v>23</v>
      </c>
      <c r="G743">
        <v>5</v>
      </c>
      <c r="H743">
        <v>4.7E-2</v>
      </c>
      <c r="I743" s="3">
        <v>1867</v>
      </c>
      <c r="J743" s="1" t="s">
        <v>167</v>
      </c>
      <c r="K743" t="s">
        <v>31</v>
      </c>
      <c r="L743" t="s">
        <v>9</v>
      </c>
      <c r="M743" t="s">
        <v>37</v>
      </c>
      <c r="N743" s="1">
        <f t="shared" si="66"/>
        <v>45620</v>
      </c>
      <c r="O743" s="4">
        <f t="shared" si="67"/>
        <v>2.2892539725289523E-2</v>
      </c>
      <c r="P743">
        <f t="shared" si="68"/>
        <v>2.655764705882353</v>
      </c>
      <c r="Q743" s="2">
        <f t="shared" si="69"/>
        <v>9.8147826086956531</v>
      </c>
      <c r="R743" s="2">
        <f t="shared" si="70"/>
        <v>45.148000000000003</v>
      </c>
      <c r="S743" s="2">
        <f t="shared" si="71"/>
        <v>8.2705767697350936</v>
      </c>
    </row>
    <row r="744" spans="1:19" hidden="1">
      <c r="A744" t="s">
        <v>797</v>
      </c>
      <c r="B744" t="s">
        <v>30</v>
      </c>
      <c r="C744">
        <v>167</v>
      </c>
      <c r="D744">
        <v>3634</v>
      </c>
      <c r="E744" s="2">
        <v>202.75</v>
      </c>
      <c r="F744">
        <v>30</v>
      </c>
      <c r="G744">
        <v>10</v>
      </c>
      <c r="H744">
        <v>0.06</v>
      </c>
      <c r="I744" s="3">
        <v>1503</v>
      </c>
      <c r="J744" s="1">
        <v>45619</v>
      </c>
      <c r="K744" t="s">
        <v>31</v>
      </c>
      <c r="L744" t="s">
        <v>7</v>
      </c>
      <c r="M744" t="s">
        <v>39</v>
      </c>
      <c r="N744" s="1">
        <f t="shared" si="66"/>
        <v>45619</v>
      </c>
      <c r="O744" s="4">
        <f t="shared" si="67"/>
        <v>4.5954870665932859E-2</v>
      </c>
      <c r="P744">
        <f t="shared" si="68"/>
        <v>1.2140718562874251</v>
      </c>
      <c r="Q744" s="2">
        <f t="shared" si="69"/>
        <v>6.7583333333333337</v>
      </c>
      <c r="R744" s="2">
        <f t="shared" si="70"/>
        <v>20.274999999999999</v>
      </c>
      <c r="S744" s="2">
        <f t="shared" si="71"/>
        <v>7.4130702836004936</v>
      </c>
    </row>
    <row r="745" spans="1:19">
      <c r="A745" t="s">
        <v>798</v>
      </c>
      <c r="B745" t="s">
        <v>30</v>
      </c>
      <c r="C745">
        <v>158</v>
      </c>
      <c r="D745">
        <v>3025</v>
      </c>
      <c r="E745" s="2">
        <v>180.5</v>
      </c>
      <c r="F745">
        <v>24</v>
      </c>
      <c r="G745">
        <v>9</v>
      </c>
      <c r="H745">
        <v>4.5999999999999999E-2</v>
      </c>
      <c r="I745" s="3">
        <v>1725</v>
      </c>
      <c r="J745" s="1" t="s">
        <v>100</v>
      </c>
      <c r="K745" t="s">
        <v>31</v>
      </c>
      <c r="L745" t="s">
        <v>9</v>
      </c>
      <c r="M745" t="s">
        <v>39</v>
      </c>
      <c r="N745" s="1">
        <f t="shared" si="66"/>
        <v>45622</v>
      </c>
      <c r="O745" s="4">
        <f t="shared" si="67"/>
        <v>5.2231404958677688E-2</v>
      </c>
      <c r="P745">
        <f t="shared" si="68"/>
        <v>1.1424050632911393</v>
      </c>
      <c r="Q745" s="2">
        <f t="shared" si="69"/>
        <v>7.520833333333333</v>
      </c>
      <c r="R745" s="2">
        <f t="shared" si="70"/>
        <v>20.055555555555557</v>
      </c>
      <c r="S745" s="2">
        <f t="shared" si="71"/>
        <v>9.5567867036011087</v>
      </c>
    </row>
    <row r="746" spans="1:19" hidden="1">
      <c r="A746" t="s">
        <v>799</v>
      </c>
      <c r="B746" t="s">
        <v>30</v>
      </c>
      <c r="C746">
        <v>176</v>
      </c>
      <c r="D746">
        <v>5868</v>
      </c>
      <c r="E746" s="2">
        <v>184.46</v>
      </c>
      <c r="F746">
        <v>20</v>
      </c>
      <c r="G746">
        <v>4</v>
      </c>
      <c r="H746">
        <v>2.3E-2</v>
      </c>
      <c r="I746" s="3">
        <v>1229</v>
      </c>
      <c r="J746" s="1">
        <v>45616</v>
      </c>
      <c r="K746" t="s">
        <v>31</v>
      </c>
      <c r="L746" t="s">
        <v>7</v>
      </c>
      <c r="M746" t="s">
        <v>35</v>
      </c>
      <c r="N746" s="1">
        <f t="shared" si="66"/>
        <v>45616</v>
      </c>
      <c r="O746" s="4">
        <f t="shared" si="67"/>
        <v>2.9993183367416496E-2</v>
      </c>
      <c r="P746">
        <f t="shared" si="68"/>
        <v>1.0480681818181818</v>
      </c>
      <c r="Q746" s="2">
        <f t="shared" si="69"/>
        <v>9.2230000000000008</v>
      </c>
      <c r="R746" s="2">
        <f t="shared" si="70"/>
        <v>46.115000000000002</v>
      </c>
      <c r="S746" s="2">
        <f t="shared" si="71"/>
        <v>6.6626910983411038</v>
      </c>
    </row>
    <row r="747" spans="1:19" hidden="1">
      <c r="A747" t="s">
        <v>800</v>
      </c>
      <c r="B747" t="s">
        <v>30</v>
      </c>
      <c r="C747">
        <v>111</v>
      </c>
      <c r="D747">
        <v>3050</v>
      </c>
      <c r="E747" s="2">
        <v>208.87</v>
      </c>
      <c r="F747">
        <v>10</v>
      </c>
      <c r="G747">
        <v>7</v>
      </c>
      <c r="H747">
        <v>6.3E-2</v>
      </c>
      <c r="I747" s="3">
        <v>1774</v>
      </c>
      <c r="J747" s="1">
        <v>45622</v>
      </c>
      <c r="K747" t="s">
        <v>31</v>
      </c>
      <c r="L747" t="s">
        <v>9</v>
      </c>
      <c r="M747" t="s">
        <v>46</v>
      </c>
      <c r="N747" s="1">
        <f t="shared" si="66"/>
        <v>45622</v>
      </c>
      <c r="O747" s="4">
        <f t="shared" si="67"/>
        <v>3.6393442622950821E-2</v>
      </c>
      <c r="P747">
        <f t="shared" si="68"/>
        <v>1.8817117117117117</v>
      </c>
      <c r="Q747" s="2">
        <f t="shared" si="69"/>
        <v>20.887</v>
      </c>
      <c r="R747" s="2">
        <f t="shared" si="70"/>
        <v>29.838571428571431</v>
      </c>
      <c r="S747" s="2">
        <f t="shared" si="71"/>
        <v>8.4933212045770095</v>
      </c>
    </row>
    <row r="748" spans="1:19">
      <c r="A748" t="s">
        <v>801</v>
      </c>
      <c r="B748" t="s">
        <v>30</v>
      </c>
      <c r="C748">
        <v>186</v>
      </c>
      <c r="D748">
        <v>5301</v>
      </c>
      <c r="E748" s="2">
        <v>215.57</v>
      </c>
      <c r="F748">
        <v>14</v>
      </c>
      <c r="G748">
        <v>9</v>
      </c>
      <c r="H748">
        <v>4.5999999999999999E-2</v>
      </c>
      <c r="I748" s="3">
        <v>1230</v>
      </c>
      <c r="J748" s="1">
        <v>45613</v>
      </c>
      <c r="K748" t="s">
        <v>31</v>
      </c>
      <c r="L748" t="s">
        <v>7</v>
      </c>
      <c r="M748" t="s">
        <v>32</v>
      </c>
      <c r="N748" s="1">
        <f t="shared" si="66"/>
        <v>45613</v>
      </c>
      <c r="O748" s="4">
        <f t="shared" si="67"/>
        <v>3.5087719298245612E-2</v>
      </c>
      <c r="P748">
        <f t="shared" si="68"/>
        <v>1.1589784946236559</v>
      </c>
      <c r="Q748" s="2">
        <f t="shared" si="69"/>
        <v>15.397857142857143</v>
      </c>
      <c r="R748" s="2">
        <f t="shared" si="70"/>
        <v>23.952222222222222</v>
      </c>
      <c r="S748" s="2">
        <f t="shared" si="71"/>
        <v>5.7058032193718979</v>
      </c>
    </row>
    <row r="749" spans="1:19" hidden="1">
      <c r="A749" t="s">
        <v>802</v>
      </c>
      <c r="B749" t="s">
        <v>30</v>
      </c>
      <c r="C749">
        <v>177</v>
      </c>
      <c r="D749">
        <v>3042</v>
      </c>
      <c r="E749" s="2">
        <v>239.64</v>
      </c>
      <c r="F749">
        <v>26</v>
      </c>
      <c r="G749">
        <v>4</v>
      </c>
      <c r="H749">
        <v>2.3E-2</v>
      </c>
      <c r="I749" s="3">
        <v>1646</v>
      </c>
      <c r="J749" s="1">
        <v>45616</v>
      </c>
      <c r="K749" t="s">
        <v>31</v>
      </c>
      <c r="L749" t="s">
        <v>8</v>
      </c>
      <c r="M749" t="s">
        <v>35</v>
      </c>
      <c r="N749" s="1">
        <f t="shared" si="66"/>
        <v>45616</v>
      </c>
      <c r="O749" s="4">
        <f t="shared" si="67"/>
        <v>5.8185404339250492E-2</v>
      </c>
      <c r="P749">
        <f t="shared" si="68"/>
        <v>1.3538983050847457</v>
      </c>
      <c r="Q749" s="2">
        <f t="shared" si="69"/>
        <v>9.2169230769230772</v>
      </c>
      <c r="R749" s="2">
        <f t="shared" si="70"/>
        <v>59.91</v>
      </c>
      <c r="S749" s="2">
        <f t="shared" si="71"/>
        <v>6.8686362877649811</v>
      </c>
    </row>
    <row r="750" spans="1:19" hidden="1">
      <c r="A750" t="s">
        <v>803</v>
      </c>
      <c r="B750" t="s">
        <v>30</v>
      </c>
      <c r="C750">
        <v>150</v>
      </c>
      <c r="D750">
        <v>5272</v>
      </c>
      <c r="E750" s="2">
        <v>239.06</v>
      </c>
      <c r="F750">
        <v>13</v>
      </c>
      <c r="G750">
        <v>9</v>
      </c>
      <c r="H750">
        <v>0.06</v>
      </c>
      <c r="I750" s="3">
        <v>1232</v>
      </c>
      <c r="J750" s="1">
        <v>45302</v>
      </c>
      <c r="K750" t="s">
        <v>31</v>
      </c>
      <c r="L750" t="s">
        <v>7</v>
      </c>
      <c r="M750" t="s">
        <v>41</v>
      </c>
      <c r="N750" s="1">
        <f t="shared" si="66"/>
        <v>45302</v>
      </c>
      <c r="O750" s="4">
        <f t="shared" si="67"/>
        <v>2.8452200303490136E-2</v>
      </c>
      <c r="P750">
        <f t="shared" si="68"/>
        <v>1.5937333333333334</v>
      </c>
      <c r="Q750" s="2">
        <f t="shared" si="69"/>
        <v>18.389230769230771</v>
      </c>
      <c r="R750" s="2">
        <f t="shared" si="70"/>
        <v>26.562222222222221</v>
      </c>
      <c r="S750" s="2">
        <f t="shared" si="71"/>
        <v>5.1535179452857021</v>
      </c>
    </row>
    <row r="751" spans="1:19" hidden="1">
      <c r="A751" t="s">
        <v>804</v>
      </c>
      <c r="B751" t="s">
        <v>30</v>
      </c>
      <c r="C751">
        <v>160</v>
      </c>
      <c r="D751">
        <v>4279</v>
      </c>
      <c r="E751" s="2">
        <v>191.56</v>
      </c>
      <c r="F751">
        <v>22</v>
      </c>
      <c r="G751">
        <v>10</v>
      </c>
      <c r="H751">
        <v>3.9E-2</v>
      </c>
      <c r="I751" s="3">
        <v>1234</v>
      </c>
      <c r="J751" s="1">
        <v>45637</v>
      </c>
      <c r="K751" t="s">
        <v>31</v>
      </c>
      <c r="L751" t="s">
        <v>8</v>
      </c>
      <c r="M751" t="s">
        <v>35</v>
      </c>
      <c r="N751" s="1">
        <f t="shared" si="66"/>
        <v>45637</v>
      </c>
      <c r="O751" s="4">
        <f t="shared" si="67"/>
        <v>3.7391913998597801E-2</v>
      </c>
      <c r="P751">
        <f t="shared" si="68"/>
        <v>1.1972499999999999</v>
      </c>
      <c r="Q751" s="2">
        <f t="shared" si="69"/>
        <v>8.7072727272727271</v>
      </c>
      <c r="R751" s="2">
        <f t="shared" si="70"/>
        <v>19.155999999999999</v>
      </c>
      <c r="S751" s="2">
        <f t="shared" si="71"/>
        <v>6.4418458968469405</v>
      </c>
    </row>
    <row r="752" spans="1:19" hidden="1">
      <c r="A752" t="s">
        <v>805</v>
      </c>
      <c r="B752" t="s">
        <v>30</v>
      </c>
      <c r="C752">
        <v>147</v>
      </c>
      <c r="D752">
        <v>5659</v>
      </c>
      <c r="E752" s="2">
        <v>188.07</v>
      </c>
      <c r="F752">
        <v>22</v>
      </c>
      <c r="G752">
        <v>4</v>
      </c>
      <c r="H752">
        <v>4.4999999999999998E-2</v>
      </c>
      <c r="I752" s="3">
        <v>1796</v>
      </c>
      <c r="J752" s="1" t="s">
        <v>206</v>
      </c>
      <c r="K752" t="s">
        <v>31</v>
      </c>
      <c r="L752" t="s">
        <v>8</v>
      </c>
      <c r="M752" t="s">
        <v>46</v>
      </c>
      <c r="N752" s="1">
        <f t="shared" si="66"/>
        <v>45621</v>
      </c>
      <c r="O752" s="4">
        <f t="shared" si="67"/>
        <v>2.5976320904753492E-2</v>
      </c>
      <c r="P752">
        <f t="shared" si="68"/>
        <v>1.2793877551020407</v>
      </c>
      <c r="Q752" s="2">
        <f t="shared" si="69"/>
        <v>8.5486363636363638</v>
      </c>
      <c r="R752" s="2">
        <f t="shared" si="70"/>
        <v>47.017499999999998</v>
      </c>
      <c r="S752" s="2">
        <f t="shared" si="71"/>
        <v>9.5496357739139679</v>
      </c>
    </row>
    <row r="753" spans="1:19" hidden="1">
      <c r="A753" t="s">
        <v>806</v>
      </c>
      <c r="B753" t="s">
        <v>30</v>
      </c>
      <c r="C753">
        <v>198</v>
      </c>
      <c r="D753">
        <v>4816</v>
      </c>
      <c r="E753" s="2">
        <v>224.96</v>
      </c>
      <c r="F753">
        <v>21</v>
      </c>
      <c r="G753">
        <v>4</v>
      </c>
      <c r="H753">
        <v>4.2000000000000003E-2</v>
      </c>
      <c r="I753" s="3">
        <v>1601</v>
      </c>
      <c r="J753" s="1">
        <v>45423</v>
      </c>
      <c r="K753" t="s">
        <v>31</v>
      </c>
      <c r="L753" t="s">
        <v>8</v>
      </c>
      <c r="M753" t="s">
        <v>41</v>
      </c>
      <c r="N753" s="1">
        <f t="shared" si="66"/>
        <v>45423</v>
      </c>
      <c r="O753" s="4">
        <f t="shared" si="67"/>
        <v>4.1112956810631228E-2</v>
      </c>
      <c r="P753">
        <f t="shared" si="68"/>
        <v>1.1361616161616162</v>
      </c>
      <c r="Q753" s="2">
        <f t="shared" si="69"/>
        <v>10.712380952380952</v>
      </c>
      <c r="R753" s="2">
        <f t="shared" si="70"/>
        <v>56.24</v>
      </c>
      <c r="S753" s="2">
        <f t="shared" si="71"/>
        <v>7.1168207681365576</v>
      </c>
    </row>
    <row r="754" spans="1:19" hidden="1">
      <c r="A754" t="s">
        <v>807</v>
      </c>
      <c r="B754" t="s">
        <v>30</v>
      </c>
      <c r="C754">
        <v>145</v>
      </c>
      <c r="D754">
        <v>3874</v>
      </c>
      <c r="E754" s="2">
        <v>215.57</v>
      </c>
      <c r="F754">
        <v>10</v>
      </c>
      <c r="G754">
        <v>10</v>
      </c>
      <c r="H754">
        <v>6.9000000000000006E-2</v>
      </c>
      <c r="I754" s="3">
        <v>1153</v>
      </c>
      <c r="J754" s="1">
        <v>45626</v>
      </c>
      <c r="K754" t="s">
        <v>31</v>
      </c>
      <c r="L754" t="s">
        <v>8</v>
      </c>
      <c r="M754" t="s">
        <v>39</v>
      </c>
      <c r="N754" s="1">
        <f t="shared" si="66"/>
        <v>45626</v>
      </c>
      <c r="O754" s="4">
        <f t="shared" si="67"/>
        <v>3.7429013939081053E-2</v>
      </c>
      <c r="P754">
        <f t="shared" si="68"/>
        <v>1.4866896551724138</v>
      </c>
      <c r="Q754" s="2">
        <f t="shared" si="69"/>
        <v>21.556999999999999</v>
      </c>
      <c r="R754" s="2">
        <f t="shared" si="70"/>
        <v>21.556999999999999</v>
      </c>
      <c r="S754" s="2">
        <f t="shared" si="71"/>
        <v>5.3486106601104053</v>
      </c>
    </row>
    <row r="755" spans="1:19" hidden="1">
      <c r="A755" t="s">
        <v>808</v>
      </c>
      <c r="B755" t="s">
        <v>30</v>
      </c>
      <c r="C755">
        <v>94</v>
      </c>
      <c r="D755">
        <v>5221</v>
      </c>
      <c r="E755" s="2">
        <v>225.23</v>
      </c>
      <c r="F755">
        <v>17</v>
      </c>
      <c r="G755">
        <v>3</v>
      </c>
      <c r="H755">
        <v>3.5999999999999997E-2</v>
      </c>
      <c r="I755" s="3">
        <v>1209</v>
      </c>
      <c r="J755" s="1" t="s">
        <v>348</v>
      </c>
      <c r="K755" t="s">
        <v>31</v>
      </c>
      <c r="L755" t="s">
        <v>9</v>
      </c>
      <c r="M755" t="s">
        <v>32</v>
      </c>
      <c r="N755" s="1">
        <f t="shared" si="66"/>
        <v>45615</v>
      </c>
      <c r="O755" s="4">
        <f t="shared" si="67"/>
        <v>1.800421375215476E-2</v>
      </c>
      <c r="P755">
        <f t="shared" si="68"/>
        <v>2.3960638297872339</v>
      </c>
      <c r="Q755" s="2">
        <f t="shared" si="69"/>
        <v>13.248823529411764</v>
      </c>
      <c r="R755" s="2">
        <f t="shared" si="70"/>
        <v>75.076666666666668</v>
      </c>
      <c r="S755" s="2">
        <f t="shared" si="71"/>
        <v>5.3678462016605248</v>
      </c>
    </row>
    <row r="756" spans="1:19" hidden="1">
      <c r="A756" t="s">
        <v>809</v>
      </c>
      <c r="B756" t="s">
        <v>30</v>
      </c>
      <c r="C756">
        <v>90</v>
      </c>
      <c r="D756">
        <v>5859</v>
      </c>
      <c r="E756" s="2">
        <v>187.29</v>
      </c>
      <c r="F756">
        <v>17</v>
      </c>
      <c r="G756">
        <v>5</v>
      </c>
      <c r="H756">
        <v>5.6000000000000001E-2</v>
      </c>
      <c r="I756" s="3">
        <v>1375</v>
      </c>
      <c r="J756" s="1" t="s">
        <v>43</v>
      </c>
      <c r="K756" t="s">
        <v>31</v>
      </c>
      <c r="L756" t="s">
        <v>8</v>
      </c>
      <c r="M756" t="s">
        <v>46</v>
      </c>
      <c r="N756" s="1">
        <f t="shared" si="66"/>
        <v>45612</v>
      </c>
      <c r="O756" s="4">
        <f t="shared" si="67"/>
        <v>1.5360983102918587E-2</v>
      </c>
      <c r="P756">
        <f t="shared" si="68"/>
        <v>2.081</v>
      </c>
      <c r="Q756" s="2">
        <f t="shared" si="69"/>
        <v>11.01705882352941</v>
      </c>
      <c r="R756" s="2">
        <f t="shared" si="70"/>
        <v>37.457999999999998</v>
      </c>
      <c r="S756" s="2">
        <f t="shared" si="71"/>
        <v>7.3415558759143575</v>
      </c>
    </row>
    <row r="757" spans="1:19" hidden="1">
      <c r="A757" t="s">
        <v>810</v>
      </c>
      <c r="B757" t="s">
        <v>30</v>
      </c>
      <c r="C757">
        <v>182</v>
      </c>
      <c r="D757">
        <v>5055</v>
      </c>
      <c r="E757" s="2">
        <v>232.64</v>
      </c>
      <c r="F757">
        <v>26</v>
      </c>
      <c r="G757">
        <v>8</v>
      </c>
      <c r="H757">
        <v>3.5999999999999997E-2</v>
      </c>
      <c r="I757" s="3">
        <v>1815</v>
      </c>
      <c r="J757" s="1">
        <v>45576</v>
      </c>
      <c r="K757" t="s">
        <v>31</v>
      </c>
      <c r="L757" t="s">
        <v>8</v>
      </c>
      <c r="M757" t="s">
        <v>39</v>
      </c>
      <c r="N757" s="1">
        <f t="shared" si="66"/>
        <v>45576</v>
      </c>
      <c r="O757" s="4">
        <f t="shared" si="67"/>
        <v>3.6003956478733924E-2</v>
      </c>
      <c r="P757">
        <f t="shared" si="68"/>
        <v>1.2782417582417582</v>
      </c>
      <c r="Q757" s="2">
        <f t="shared" si="69"/>
        <v>8.9476923076923072</v>
      </c>
      <c r="R757" s="2">
        <f t="shared" si="70"/>
        <v>29.08</v>
      </c>
      <c r="S757" s="2">
        <f t="shared" si="71"/>
        <v>7.8017537826685013</v>
      </c>
    </row>
    <row r="758" spans="1:19">
      <c r="A758" t="s">
        <v>811</v>
      </c>
      <c r="B758" t="s">
        <v>30</v>
      </c>
      <c r="C758">
        <v>139</v>
      </c>
      <c r="D758">
        <v>4373</v>
      </c>
      <c r="E758" s="2">
        <v>199.32</v>
      </c>
      <c r="F758">
        <v>16</v>
      </c>
      <c r="G758">
        <v>5</v>
      </c>
      <c r="H758">
        <v>4.5999999999999999E-2</v>
      </c>
      <c r="I758" s="3">
        <v>1150</v>
      </c>
      <c r="J758" s="1">
        <v>45598</v>
      </c>
      <c r="K758" t="s">
        <v>31</v>
      </c>
      <c r="L758" t="s">
        <v>7</v>
      </c>
      <c r="M758" t="s">
        <v>39</v>
      </c>
      <c r="N758" s="1">
        <f t="shared" si="66"/>
        <v>45598</v>
      </c>
      <c r="O758" s="4">
        <f t="shared" si="67"/>
        <v>3.1785959295678026E-2</v>
      </c>
      <c r="P758">
        <f t="shared" si="68"/>
        <v>1.4339568345323741</v>
      </c>
      <c r="Q758" s="2">
        <f t="shared" si="69"/>
        <v>12.4575</v>
      </c>
      <c r="R758" s="2">
        <f t="shared" si="70"/>
        <v>39.863999999999997</v>
      </c>
      <c r="S758" s="2">
        <f t="shared" si="71"/>
        <v>5.769616696769015</v>
      </c>
    </row>
    <row r="759" spans="1:19">
      <c r="A759" t="s">
        <v>812</v>
      </c>
      <c r="B759" t="s">
        <v>30</v>
      </c>
      <c r="C759">
        <v>139</v>
      </c>
      <c r="D759">
        <v>4518.5</v>
      </c>
      <c r="E759" s="2">
        <v>234.85</v>
      </c>
      <c r="F759">
        <v>11</v>
      </c>
      <c r="G759">
        <v>8</v>
      </c>
      <c r="H759">
        <v>4.5999999999999999E-2</v>
      </c>
      <c r="I759" s="3">
        <v>1398</v>
      </c>
      <c r="J759" s="1">
        <v>45600</v>
      </c>
      <c r="K759" t="s">
        <v>31</v>
      </c>
      <c r="L759" t="s">
        <v>7</v>
      </c>
      <c r="M759" t="s">
        <v>39</v>
      </c>
      <c r="N759" s="1">
        <f t="shared" si="66"/>
        <v>45600</v>
      </c>
      <c r="O759" s="4">
        <f t="shared" si="67"/>
        <v>3.0762421157463759E-2</v>
      </c>
      <c r="P759">
        <f t="shared" si="68"/>
        <v>1.6895683453237409</v>
      </c>
      <c r="Q759" s="2">
        <f t="shared" si="69"/>
        <v>21.349999999999998</v>
      </c>
      <c r="R759" s="2">
        <f t="shared" si="70"/>
        <v>29.356249999999999</v>
      </c>
      <c r="S759" s="2">
        <f t="shared" si="71"/>
        <v>5.9527357888013626</v>
      </c>
    </row>
    <row r="760" spans="1:19" hidden="1">
      <c r="A760" t="s">
        <v>813</v>
      </c>
      <c r="B760" t="s">
        <v>30</v>
      </c>
      <c r="C760">
        <v>103</v>
      </c>
      <c r="D760">
        <v>3547</v>
      </c>
      <c r="E760" s="2">
        <v>232.35</v>
      </c>
      <c r="F760">
        <v>11</v>
      </c>
      <c r="G760">
        <v>8</v>
      </c>
      <c r="H760">
        <v>7.8E-2</v>
      </c>
      <c r="I760" s="3">
        <v>1663</v>
      </c>
      <c r="J760" s="1" t="s">
        <v>100</v>
      </c>
      <c r="K760" t="s">
        <v>31</v>
      </c>
      <c r="L760" t="s">
        <v>9</v>
      </c>
      <c r="M760" t="s">
        <v>32</v>
      </c>
      <c r="N760" s="1">
        <f t="shared" si="66"/>
        <v>45622</v>
      </c>
      <c r="O760" s="4">
        <f t="shared" si="67"/>
        <v>2.9038624189455877E-2</v>
      </c>
      <c r="P760">
        <f t="shared" si="68"/>
        <v>2.2558252427184464</v>
      </c>
      <c r="Q760" s="2">
        <f t="shared" si="69"/>
        <v>21.122727272727271</v>
      </c>
      <c r="R760" s="2">
        <f t="shared" si="70"/>
        <v>29.043749999999999</v>
      </c>
      <c r="S760" s="2">
        <f t="shared" si="71"/>
        <v>7.15730578868087</v>
      </c>
    </row>
    <row r="761" spans="1:19" hidden="1">
      <c r="A761" t="s">
        <v>814</v>
      </c>
      <c r="B761" t="s">
        <v>30</v>
      </c>
      <c r="C761">
        <v>148</v>
      </c>
      <c r="D761">
        <v>3128</v>
      </c>
      <c r="E761" s="2">
        <v>197.02</v>
      </c>
      <c r="F761">
        <v>27</v>
      </c>
      <c r="G761">
        <v>9</v>
      </c>
      <c r="H761">
        <v>6.0999999999999999E-2</v>
      </c>
      <c r="I761" s="3">
        <v>1214</v>
      </c>
      <c r="J761" s="1">
        <v>45608</v>
      </c>
      <c r="K761" t="s">
        <v>31</v>
      </c>
      <c r="L761" t="s">
        <v>9</v>
      </c>
      <c r="M761" t="s">
        <v>39</v>
      </c>
      <c r="N761" s="1">
        <f t="shared" si="66"/>
        <v>45608</v>
      </c>
      <c r="O761" s="4">
        <f t="shared" si="67"/>
        <v>4.7314578005115092E-2</v>
      </c>
      <c r="P761">
        <f t="shared" si="68"/>
        <v>1.3312162162162162</v>
      </c>
      <c r="Q761" s="2">
        <f t="shared" si="69"/>
        <v>7.297037037037037</v>
      </c>
      <c r="R761" s="2">
        <f t="shared" si="70"/>
        <v>21.891111111111112</v>
      </c>
      <c r="S761" s="2">
        <f t="shared" si="71"/>
        <v>6.1618109836564816</v>
      </c>
    </row>
    <row r="762" spans="1:19" hidden="1">
      <c r="A762" t="s">
        <v>815</v>
      </c>
      <c r="B762" t="s">
        <v>30</v>
      </c>
      <c r="C762">
        <v>151</v>
      </c>
      <c r="D762">
        <v>5201</v>
      </c>
      <c r="E762" s="2">
        <v>198.56</v>
      </c>
      <c r="F762">
        <v>15</v>
      </c>
      <c r="G762">
        <v>10</v>
      </c>
      <c r="H762">
        <v>6.6000000000000003E-2</v>
      </c>
      <c r="I762" s="3">
        <v>1716</v>
      </c>
      <c r="J762" s="1">
        <v>45601</v>
      </c>
      <c r="K762" t="s">
        <v>31</v>
      </c>
      <c r="L762" t="s">
        <v>9</v>
      </c>
      <c r="M762" t="s">
        <v>39</v>
      </c>
      <c r="N762" s="1">
        <f t="shared" si="66"/>
        <v>45601</v>
      </c>
      <c r="O762" s="4">
        <f t="shared" si="67"/>
        <v>2.9032878292636032E-2</v>
      </c>
      <c r="P762">
        <f t="shared" si="68"/>
        <v>1.3149668874172185</v>
      </c>
      <c r="Q762" s="2">
        <f t="shared" si="69"/>
        <v>13.237333333333334</v>
      </c>
      <c r="R762" s="2">
        <f t="shared" si="70"/>
        <v>19.856000000000002</v>
      </c>
      <c r="S762" s="2">
        <f t="shared" si="71"/>
        <v>8.6422240128928287</v>
      </c>
    </row>
    <row r="763" spans="1:19" hidden="1">
      <c r="A763" t="s">
        <v>816</v>
      </c>
      <c r="B763" t="s">
        <v>30</v>
      </c>
      <c r="C763">
        <v>148</v>
      </c>
      <c r="D763">
        <v>5510</v>
      </c>
      <c r="E763" s="2">
        <v>210.42</v>
      </c>
      <c r="F763">
        <v>27</v>
      </c>
      <c r="G763">
        <v>4</v>
      </c>
      <c r="H763">
        <v>4.8000000000000001E-2</v>
      </c>
      <c r="I763" s="3">
        <v>1352</v>
      </c>
      <c r="J763" s="1">
        <v>45602</v>
      </c>
      <c r="K763" t="s">
        <v>31</v>
      </c>
      <c r="L763" t="s">
        <v>8</v>
      </c>
      <c r="M763" t="s">
        <v>32</v>
      </c>
      <c r="N763" s="1">
        <f t="shared" si="66"/>
        <v>45602</v>
      </c>
      <c r="O763" s="4">
        <f t="shared" si="67"/>
        <v>2.6860254083484573E-2</v>
      </c>
      <c r="P763">
        <f t="shared" si="68"/>
        <v>1.4217567567567566</v>
      </c>
      <c r="Q763" s="2">
        <f t="shared" si="69"/>
        <v>7.793333333333333</v>
      </c>
      <c r="R763" s="2">
        <f t="shared" si="70"/>
        <v>52.604999999999997</v>
      </c>
      <c r="S763" s="2">
        <f t="shared" si="71"/>
        <v>6.4252447485980424</v>
      </c>
    </row>
    <row r="764" spans="1:19" hidden="1">
      <c r="A764" t="s">
        <v>817</v>
      </c>
      <c r="B764" t="s">
        <v>30</v>
      </c>
      <c r="C764">
        <v>103</v>
      </c>
      <c r="D764">
        <v>5628</v>
      </c>
      <c r="E764" s="2">
        <v>195.6</v>
      </c>
      <c r="F764">
        <v>24</v>
      </c>
      <c r="G764">
        <v>8</v>
      </c>
      <c r="H764">
        <v>3.4000000000000002E-2</v>
      </c>
      <c r="I764" s="3">
        <v>1065</v>
      </c>
      <c r="J764" s="1">
        <v>45605</v>
      </c>
      <c r="K764" t="s">
        <v>31</v>
      </c>
      <c r="L764" t="s">
        <v>8</v>
      </c>
      <c r="M764" t="s">
        <v>46</v>
      </c>
      <c r="N764" s="1">
        <f t="shared" si="66"/>
        <v>45605</v>
      </c>
      <c r="O764" s="4">
        <f t="shared" si="67"/>
        <v>1.8301350390902631E-2</v>
      </c>
      <c r="P764">
        <f t="shared" si="68"/>
        <v>1.8990291262135921</v>
      </c>
      <c r="Q764" s="2">
        <f t="shared" si="69"/>
        <v>8.15</v>
      </c>
      <c r="R764" s="2">
        <f t="shared" si="70"/>
        <v>24.45</v>
      </c>
      <c r="S764" s="2">
        <f t="shared" si="71"/>
        <v>5.4447852760736195</v>
      </c>
    </row>
    <row r="765" spans="1:19" hidden="1">
      <c r="A765" t="s">
        <v>818</v>
      </c>
      <c r="B765" t="s">
        <v>30</v>
      </c>
      <c r="C765">
        <v>115</v>
      </c>
      <c r="D765">
        <v>5445</v>
      </c>
      <c r="E765" s="2">
        <v>183.55</v>
      </c>
      <c r="F765">
        <v>21</v>
      </c>
      <c r="G765">
        <v>7</v>
      </c>
      <c r="H765">
        <v>5.8999999999999997E-2</v>
      </c>
      <c r="I765" s="3">
        <v>1721</v>
      </c>
      <c r="J765" s="1">
        <v>45603</v>
      </c>
      <c r="K765" t="s">
        <v>31</v>
      </c>
      <c r="L765" t="s">
        <v>9</v>
      </c>
      <c r="M765" t="s">
        <v>35</v>
      </c>
      <c r="N765" s="1">
        <f t="shared" si="66"/>
        <v>45603</v>
      </c>
      <c r="O765" s="4">
        <f t="shared" si="67"/>
        <v>2.1120293847566574E-2</v>
      </c>
      <c r="P765">
        <f t="shared" si="68"/>
        <v>1.5960869565217393</v>
      </c>
      <c r="Q765" s="2">
        <f t="shared" si="69"/>
        <v>8.7404761904761905</v>
      </c>
      <c r="R765" s="2">
        <f t="shared" si="70"/>
        <v>26.221428571428572</v>
      </c>
      <c r="S765" s="2">
        <f t="shared" si="71"/>
        <v>9.376191773358757</v>
      </c>
    </row>
    <row r="766" spans="1:19">
      <c r="A766" t="s">
        <v>819</v>
      </c>
      <c r="B766" t="s">
        <v>30</v>
      </c>
      <c r="C766">
        <v>160</v>
      </c>
      <c r="D766">
        <v>5936</v>
      </c>
      <c r="E766" s="2">
        <v>239.87</v>
      </c>
      <c r="F766">
        <v>29</v>
      </c>
      <c r="G766">
        <v>4</v>
      </c>
      <c r="H766">
        <v>4.5999999999999999E-2</v>
      </c>
      <c r="I766" s="3">
        <v>1320</v>
      </c>
      <c r="J766" s="1">
        <v>45620</v>
      </c>
      <c r="K766" t="s">
        <v>31</v>
      </c>
      <c r="L766" t="s">
        <v>8</v>
      </c>
      <c r="M766" t="s">
        <v>46</v>
      </c>
      <c r="N766" s="1">
        <f t="shared" si="66"/>
        <v>45620</v>
      </c>
      <c r="O766" s="4">
        <f t="shared" si="67"/>
        <v>2.6954177897574125E-2</v>
      </c>
      <c r="P766">
        <f t="shared" si="68"/>
        <v>1.4991875000000001</v>
      </c>
      <c r="Q766" s="2">
        <f t="shared" si="69"/>
        <v>8.2713793103448285</v>
      </c>
      <c r="R766" s="2">
        <f t="shared" si="70"/>
        <v>59.967500000000001</v>
      </c>
      <c r="S766" s="2">
        <f t="shared" si="71"/>
        <v>5.5029807812565137</v>
      </c>
    </row>
    <row r="767" spans="1:19" hidden="1">
      <c r="A767" t="s">
        <v>820</v>
      </c>
      <c r="B767" t="s">
        <v>30</v>
      </c>
      <c r="C767">
        <v>166</v>
      </c>
      <c r="D767">
        <v>5808</v>
      </c>
      <c r="E767" s="2">
        <v>194.79</v>
      </c>
      <c r="F767">
        <v>14</v>
      </c>
      <c r="G767">
        <v>8</v>
      </c>
      <c r="H767">
        <v>4.8000000000000001E-2</v>
      </c>
      <c r="I767" s="3">
        <v>1799</v>
      </c>
      <c r="J767" s="1">
        <v>45610</v>
      </c>
      <c r="K767" t="s">
        <v>31</v>
      </c>
      <c r="L767" t="s">
        <v>9</v>
      </c>
      <c r="M767" t="s">
        <v>39</v>
      </c>
      <c r="N767" s="1">
        <f t="shared" si="66"/>
        <v>45610</v>
      </c>
      <c r="O767" s="4">
        <f t="shared" si="67"/>
        <v>2.8581267217630855E-2</v>
      </c>
      <c r="P767">
        <f t="shared" si="68"/>
        <v>1.173433734939759</v>
      </c>
      <c r="Q767" s="2">
        <f t="shared" si="69"/>
        <v>13.913571428571428</v>
      </c>
      <c r="R767" s="2">
        <f t="shared" si="70"/>
        <v>24.348749999999999</v>
      </c>
      <c r="S767" s="2">
        <f t="shared" si="71"/>
        <v>9.2355870424559789</v>
      </c>
    </row>
    <row r="768" spans="1:19" hidden="1">
      <c r="A768" t="s">
        <v>821</v>
      </c>
      <c r="B768" t="s">
        <v>30</v>
      </c>
      <c r="C768">
        <v>187</v>
      </c>
      <c r="D768">
        <v>3282</v>
      </c>
      <c r="E768" s="2">
        <v>234.91</v>
      </c>
      <c r="F768">
        <v>10</v>
      </c>
      <c r="G768">
        <v>7</v>
      </c>
      <c r="H768">
        <v>4.1000000000000002E-2</v>
      </c>
      <c r="I768" s="3">
        <v>1525</v>
      </c>
      <c r="J768" s="1" t="s">
        <v>86</v>
      </c>
      <c r="K768" t="s">
        <v>31</v>
      </c>
      <c r="L768" t="s">
        <v>8</v>
      </c>
      <c r="M768" t="s">
        <v>41</v>
      </c>
      <c r="N768" s="1">
        <f t="shared" si="66"/>
        <v>45625</v>
      </c>
      <c r="O768" s="4">
        <f t="shared" si="67"/>
        <v>5.6977452772699576E-2</v>
      </c>
      <c r="P768">
        <f t="shared" si="68"/>
        <v>1.2562032085561496</v>
      </c>
      <c r="Q768" s="2">
        <f t="shared" si="69"/>
        <v>23.491</v>
      </c>
      <c r="R768" s="2">
        <f t="shared" si="70"/>
        <v>33.558571428571426</v>
      </c>
      <c r="S768" s="2">
        <f t="shared" si="71"/>
        <v>6.4918479417649317</v>
      </c>
    </row>
    <row r="769" spans="1:19" hidden="1">
      <c r="A769" t="s">
        <v>822</v>
      </c>
      <c r="B769" t="s">
        <v>30</v>
      </c>
      <c r="C769">
        <v>172</v>
      </c>
      <c r="D769">
        <v>3334</v>
      </c>
      <c r="E769" s="2">
        <v>243.12</v>
      </c>
      <c r="F769">
        <v>30</v>
      </c>
      <c r="G769">
        <v>9</v>
      </c>
      <c r="H769">
        <v>5.1999999999999998E-2</v>
      </c>
      <c r="I769" s="3">
        <v>1505</v>
      </c>
      <c r="J769" s="1">
        <v>45604</v>
      </c>
      <c r="K769" t="s">
        <v>31</v>
      </c>
      <c r="L769" t="s">
        <v>8</v>
      </c>
      <c r="M769" t="s">
        <v>41</v>
      </c>
      <c r="N769" s="1">
        <f t="shared" si="66"/>
        <v>45604</v>
      </c>
      <c r="O769" s="4">
        <f t="shared" si="67"/>
        <v>5.1589682063587279E-2</v>
      </c>
      <c r="P769">
        <f t="shared" si="68"/>
        <v>1.4134883720930234</v>
      </c>
      <c r="Q769" s="2">
        <f t="shared" si="69"/>
        <v>8.104000000000001</v>
      </c>
      <c r="R769" s="2">
        <f t="shared" si="70"/>
        <v>27.013333333333335</v>
      </c>
      <c r="S769" s="2">
        <f t="shared" si="71"/>
        <v>6.1903586706153337</v>
      </c>
    </row>
    <row r="770" spans="1:19" hidden="1">
      <c r="A770" t="s">
        <v>823</v>
      </c>
      <c r="B770" t="s">
        <v>30</v>
      </c>
      <c r="C770">
        <v>172</v>
      </c>
      <c r="D770">
        <v>5546</v>
      </c>
      <c r="E770" s="2">
        <v>241.81</v>
      </c>
      <c r="F770">
        <v>24</v>
      </c>
      <c r="G770">
        <v>10</v>
      </c>
      <c r="H770">
        <v>5.8000000000000003E-2</v>
      </c>
      <c r="I770" s="3">
        <v>1681</v>
      </c>
      <c r="J770" s="1">
        <v>45599</v>
      </c>
      <c r="K770" t="s">
        <v>31</v>
      </c>
      <c r="L770" t="s">
        <v>7</v>
      </c>
      <c r="M770" t="s">
        <v>32</v>
      </c>
      <c r="N770" s="1">
        <f t="shared" ref="N770:N833" si="72">IF(A770="","",IF(ISNUMBER(J770),J770,IF(MID(J770,5,1)="-",DATE(LEFT(J770,4),MID(J770,6,2),RIGHT(J770,2)),IF(MID(J770,5,1)="/",DATE(LEFT(J770,4),MID(J770,6,2),RIGHT(J770,2)),DATE(RIGHT(J770,4),MID(J770,4,2),LEFT(J770,2))))))</f>
        <v>45599</v>
      </c>
      <c r="O770" s="4">
        <f t="shared" ref="O770:O833" si="73">IFERROR(C770/D770,0)</f>
        <v>3.1013342949873783E-2</v>
      </c>
      <c r="P770">
        <f t="shared" ref="P770:P833" si="74">IFERROR(E770/C770,0)</f>
        <v>1.4058720930232558</v>
      </c>
      <c r="Q770" s="2">
        <f t="shared" ref="Q770:Q833" si="75">IFERROR(E770/F770,0)</f>
        <v>10.075416666666667</v>
      </c>
      <c r="R770" s="2">
        <f t="shared" ref="R770:R833" si="76">IFERROR(E770/G770,0)</f>
        <v>24.181000000000001</v>
      </c>
      <c r="S770" s="2">
        <f t="shared" ref="S770:S833" si="77">IFERROR(I770/E770,0)</f>
        <v>6.9517389686117195</v>
      </c>
    </row>
    <row r="771" spans="1:19" hidden="1">
      <c r="A771" t="s">
        <v>824</v>
      </c>
      <c r="B771" t="s">
        <v>30</v>
      </c>
      <c r="C771">
        <v>187</v>
      </c>
      <c r="D771">
        <v>5734</v>
      </c>
      <c r="E771" s="2">
        <v>187.44</v>
      </c>
      <c r="F771">
        <v>10</v>
      </c>
      <c r="G771">
        <v>8</v>
      </c>
      <c r="H771">
        <v>4.2999999999999997E-2</v>
      </c>
      <c r="I771" s="3">
        <v>1183</v>
      </c>
      <c r="J771" s="1" t="s">
        <v>111</v>
      </c>
      <c r="K771" t="s">
        <v>31</v>
      </c>
      <c r="L771" t="s">
        <v>9</v>
      </c>
      <c r="M771" t="s">
        <v>46</v>
      </c>
      <c r="N771" s="1">
        <f t="shared" si="72"/>
        <v>45619</v>
      </c>
      <c r="O771" s="4">
        <f t="shared" si="73"/>
        <v>3.2612486920125569E-2</v>
      </c>
      <c r="P771">
        <f t="shared" si="74"/>
        <v>1.0023529411764707</v>
      </c>
      <c r="Q771" s="2">
        <f t="shared" si="75"/>
        <v>18.744</v>
      </c>
      <c r="R771" s="2">
        <f t="shared" si="76"/>
        <v>23.43</v>
      </c>
      <c r="S771" s="2">
        <f t="shared" si="77"/>
        <v>6.3113529662825441</v>
      </c>
    </row>
    <row r="772" spans="1:19" hidden="1">
      <c r="A772" t="s">
        <v>825</v>
      </c>
      <c r="B772" t="s">
        <v>30</v>
      </c>
      <c r="C772">
        <v>196</v>
      </c>
      <c r="D772">
        <v>4964</v>
      </c>
      <c r="E772" s="2">
        <v>249.47</v>
      </c>
      <c r="F772">
        <v>26</v>
      </c>
      <c r="G772">
        <v>9</v>
      </c>
      <c r="H772">
        <v>4.5999999999999999E-2</v>
      </c>
      <c r="I772" s="3">
        <v>1996</v>
      </c>
      <c r="J772" s="1">
        <v>45615</v>
      </c>
      <c r="K772" t="s">
        <v>31</v>
      </c>
      <c r="L772" t="s">
        <v>8</v>
      </c>
      <c r="M772" t="s">
        <v>32</v>
      </c>
      <c r="N772" s="1">
        <f t="shared" si="72"/>
        <v>45615</v>
      </c>
      <c r="O772" s="4">
        <f t="shared" si="73"/>
        <v>3.9484286865431102E-2</v>
      </c>
      <c r="P772">
        <f t="shared" si="74"/>
        <v>1.2728061224489795</v>
      </c>
      <c r="Q772" s="2">
        <f t="shared" si="75"/>
        <v>9.5950000000000006</v>
      </c>
      <c r="R772" s="2">
        <f t="shared" si="76"/>
        <v>27.718888888888888</v>
      </c>
      <c r="S772" s="2">
        <f t="shared" si="77"/>
        <v>8.0009620395237899</v>
      </c>
    </row>
    <row r="773" spans="1:19" hidden="1">
      <c r="A773" t="s">
        <v>826</v>
      </c>
      <c r="B773" t="s">
        <v>30</v>
      </c>
      <c r="C773">
        <v>131</v>
      </c>
      <c r="D773">
        <v>4774</v>
      </c>
      <c r="E773" s="2">
        <v>240.53</v>
      </c>
      <c r="F773">
        <v>24</v>
      </c>
      <c r="G773">
        <v>7</v>
      </c>
      <c r="H773">
        <v>5.2999999999999999E-2</v>
      </c>
      <c r="I773" s="3">
        <v>1505</v>
      </c>
      <c r="J773" s="1">
        <v>45546</v>
      </c>
      <c r="K773" t="s">
        <v>31</v>
      </c>
      <c r="L773" t="s">
        <v>9</v>
      </c>
      <c r="M773" t="s">
        <v>39</v>
      </c>
      <c r="N773" s="1">
        <f t="shared" si="72"/>
        <v>45546</v>
      </c>
      <c r="O773" s="4">
        <f t="shared" si="73"/>
        <v>2.7440301633850021E-2</v>
      </c>
      <c r="P773">
        <f t="shared" si="74"/>
        <v>1.8361068702290075</v>
      </c>
      <c r="Q773" s="2">
        <f t="shared" si="75"/>
        <v>10.022083333333333</v>
      </c>
      <c r="R773" s="2">
        <f t="shared" si="76"/>
        <v>34.361428571428569</v>
      </c>
      <c r="S773" s="2">
        <f t="shared" si="77"/>
        <v>6.2570157568702447</v>
      </c>
    </row>
    <row r="774" spans="1:19" hidden="1">
      <c r="A774" t="s">
        <v>827</v>
      </c>
      <c r="B774" t="s">
        <v>30</v>
      </c>
      <c r="C774">
        <v>103</v>
      </c>
      <c r="D774">
        <v>5244</v>
      </c>
      <c r="E774" s="2">
        <v>205.9</v>
      </c>
      <c r="F774">
        <v>22</v>
      </c>
      <c r="G774">
        <v>7</v>
      </c>
      <c r="H774">
        <v>3.2000000000000001E-2</v>
      </c>
      <c r="I774" s="3">
        <v>1954</v>
      </c>
      <c r="J774" s="1">
        <v>45612</v>
      </c>
      <c r="K774" t="s">
        <v>31</v>
      </c>
      <c r="L774" t="s">
        <v>8</v>
      </c>
      <c r="M774" t="s">
        <v>46</v>
      </c>
      <c r="N774" s="1">
        <f t="shared" si="72"/>
        <v>45612</v>
      </c>
      <c r="O774" s="4">
        <f t="shared" si="73"/>
        <v>1.9641495041952707E-2</v>
      </c>
      <c r="P774">
        <f t="shared" si="74"/>
        <v>1.9990291262135922</v>
      </c>
      <c r="Q774" s="2">
        <f t="shared" si="75"/>
        <v>9.3590909090909093</v>
      </c>
      <c r="R774" s="2">
        <f t="shared" si="76"/>
        <v>29.414285714285715</v>
      </c>
      <c r="S774" s="2">
        <f t="shared" si="77"/>
        <v>9.490043710539096</v>
      </c>
    </row>
    <row r="775" spans="1:19" hidden="1">
      <c r="A775" t="s">
        <v>828</v>
      </c>
      <c r="B775" t="s">
        <v>30</v>
      </c>
      <c r="C775">
        <v>114</v>
      </c>
      <c r="D775">
        <v>3064</v>
      </c>
      <c r="E775" s="2">
        <v>196.01</v>
      </c>
      <c r="F775">
        <v>23</v>
      </c>
      <c r="G775">
        <v>6</v>
      </c>
      <c r="H775">
        <v>5.2999999999999999E-2</v>
      </c>
      <c r="I775" s="3">
        <v>1348</v>
      </c>
      <c r="J775" s="1" t="s">
        <v>64</v>
      </c>
      <c r="K775" t="s">
        <v>31</v>
      </c>
      <c r="L775" t="s">
        <v>8</v>
      </c>
      <c r="M775" t="s">
        <v>32</v>
      </c>
      <c r="N775" s="1">
        <f t="shared" si="72"/>
        <v>45626</v>
      </c>
      <c r="O775" s="4">
        <f t="shared" si="73"/>
        <v>3.7206266318537858E-2</v>
      </c>
      <c r="P775">
        <f t="shared" si="74"/>
        <v>1.7193859649122807</v>
      </c>
      <c r="Q775" s="2">
        <f t="shared" si="75"/>
        <v>8.5221739130434777</v>
      </c>
      <c r="R775" s="2">
        <f t="shared" si="76"/>
        <v>32.668333333333329</v>
      </c>
      <c r="S775" s="2">
        <f t="shared" si="77"/>
        <v>6.8772001428498548</v>
      </c>
    </row>
    <row r="776" spans="1:19" hidden="1">
      <c r="A776" t="s">
        <v>829</v>
      </c>
      <c r="B776" t="s">
        <v>30</v>
      </c>
      <c r="C776">
        <v>116</v>
      </c>
      <c r="D776">
        <v>3265</v>
      </c>
      <c r="E776" s="2">
        <v>199.21</v>
      </c>
      <c r="F776">
        <v>24</v>
      </c>
      <c r="G776">
        <v>10</v>
      </c>
      <c r="H776">
        <v>8.5999999999999993E-2</v>
      </c>
      <c r="I776" s="3">
        <v>1006</v>
      </c>
      <c r="J776" s="1" t="s">
        <v>94</v>
      </c>
      <c r="K776" t="s">
        <v>31</v>
      </c>
      <c r="L776" t="s">
        <v>8</v>
      </c>
      <c r="M776" t="s">
        <v>32</v>
      </c>
      <c r="N776" s="1">
        <f t="shared" si="72"/>
        <v>45617</v>
      </c>
      <c r="O776" s="4">
        <f t="shared" si="73"/>
        <v>3.5528330781010718E-2</v>
      </c>
      <c r="P776">
        <f t="shared" si="74"/>
        <v>1.7173275862068966</v>
      </c>
      <c r="Q776" s="2">
        <f t="shared" si="75"/>
        <v>8.300416666666667</v>
      </c>
      <c r="R776" s="2">
        <f t="shared" si="76"/>
        <v>19.920999999999999</v>
      </c>
      <c r="S776" s="2">
        <f t="shared" si="77"/>
        <v>5.0499472918026198</v>
      </c>
    </row>
    <row r="777" spans="1:19" hidden="1">
      <c r="A777" t="s">
        <v>830</v>
      </c>
      <c r="B777" t="s">
        <v>30</v>
      </c>
      <c r="C777">
        <v>164</v>
      </c>
      <c r="D777">
        <v>5351</v>
      </c>
      <c r="E777" s="2">
        <v>217.9</v>
      </c>
      <c r="F777">
        <v>10</v>
      </c>
      <c r="G777">
        <v>9</v>
      </c>
      <c r="H777">
        <v>5.5E-2</v>
      </c>
      <c r="I777" s="3">
        <v>1431</v>
      </c>
      <c r="J777" s="1">
        <v>45608</v>
      </c>
      <c r="K777" t="s">
        <v>31</v>
      </c>
      <c r="L777" t="s">
        <v>9</v>
      </c>
      <c r="M777" t="s">
        <v>41</v>
      </c>
      <c r="N777" s="1">
        <f t="shared" si="72"/>
        <v>45608</v>
      </c>
      <c r="O777" s="4">
        <f t="shared" si="73"/>
        <v>3.0648476920201832E-2</v>
      </c>
      <c r="P777">
        <f t="shared" si="74"/>
        <v>1.3286585365853658</v>
      </c>
      <c r="Q777" s="2">
        <f t="shared" si="75"/>
        <v>21.79</v>
      </c>
      <c r="R777" s="2">
        <f t="shared" si="76"/>
        <v>24.211111111111112</v>
      </c>
      <c r="S777" s="2">
        <f t="shared" si="77"/>
        <v>6.5672326755392376</v>
      </c>
    </row>
    <row r="778" spans="1:19" hidden="1">
      <c r="A778" t="s">
        <v>831</v>
      </c>
      <c r="B778" t="s">
        <v>30</v>
      </c>
      <c r="C778">
        <v>160</v>
      </c>
      <c r="D778">
        <v>5830</v>
      </c>
      <c r="E778" s="2">
        <v>215.57</v>
      </c>
      <c r="F778">
        <v>15</v>
      </c>
      <c r="G778">
        <v>10</v>
      </c>
      <c r="H778">
        <v>6.2E-2</v>
      </c>
      <c r="I778" s="3">
        <v>1270</v>
      </c>
      <c r="J778" s="1" t="s">
        <v>100</v>
      </c>
      <c r="K778" t="s">
        <v>31</v>
      </c>
      <c r="L778" t="s">
        <v>8</v>
      </c>
      <c r="M778" t="s">
        <v>41</v>
      </c>
      <c r="N778" s="1">
        <f t="shared" si="72"/>
        <v>45622</v>
      </c>
      <c r="O778" s="4">
        <f t="shared" si="73"/>
        <v>2.7444253859348199E-2</v>
      </c>
      <c r="P778">
        <f t="shared" si="74"/>
        <v>1.3473124999999999</v>
      </c>
      <c r="Q778" s="2">
        <f t="shared" si="75"/>
        <v>14.371333333333332</v>
      </c>
      <c r="R778" s="2">
        <f t="shared" si="76"/>
        <v>21.556999999999999</v>
      </c>
      <c r="S778" s="2">
        <f t="shared" si="77"/>
        <v>5.8913577956116345</v>
      </c>
    </row>
    <row r="779" spans="1:19" hidden="1">
      <c r="A779" t="s">
        <v>832</v>
      </c>
      <c r="B779" t="s">
        <v>30</v>
      </c>
      <c r="C779">
        <v>112</v>
      </c>
      <c r="D779">
        <v>4808</v>
      </c>
      <c r="E779" s="2">
        <v>221.57</v>
      </c>
      <c r="F779">
        <v>17</v>
      </c>
      <c r="G779">
        <v>7</v>
      </c>
      <c r="H779">
        <v>6.2E-2</v>
      </c>
      <c r="I779" s="3">
        <v>1186</v>
      </c>
      <c r="J779" s="1">
        <v>45621</v>
      </c>
      <c r="K779" t="s">
        <v>31</v>
      </c>
      <c r="L779" t="s">
        <v>7</v>
      </c>
      <c r="M779" t="s">
        <v>37</v>
      </c>
      <c r="N779" s="1">
        <f t="shared" si="72"/>
        <v>45621</v>
      </c>
      <c r="O779" s="4">
        <f t="shared" si="73"/>
        <v>2.329450915141431E-2</v>
      </c>
      <c r="P779">
        <f t="shared" si="74"/>
        <v>1.9783035714285713</v>
      </c>
      <c r="Q779" s="2">
        <f t="shared" si="75"/>
        <v>13.033529411764706</v>
      </c>
      <c r="R779" s="2">
        <f t="shared" si="76"/>
        <v>31.65285714285714</v>
      </c>
      <c r="S779" s="2">
        <f t="shared" si="77"/>
        <v>5.3527102044500614</v>
      </c>
    </row>
    <row r="780" spans="1:19">
      <c r="A780" t="s">
        <v>833</v>
      </c>
      <c r="B780" t="s">
        <v>30</v>
      </c>
      <c r="C780">
        <v>87</v>
      </c>
      <c r="D780">
        <v>5506</v>
      </c>
      <c r="E780" s="2">
        <v>188.77</v>
      </c>
      <c r="F780">
        <v>11</v>
      </c>
      <c r="G780">
        <v>5</v>
      </c>
      <c r="H780">
        <v>4.5999999999999999E-2</v>
      </c>
      <c r="I780" s="3">
        <v>1774</v>
      </c>
      <c r="J780" s="1">
        <v>45618</v>
      </c>
      <c r="K780" t="s">
        <v>31</v>
      </c>
      <c r="L780" t="s">
        <v>8</v>
      </c>
      <c r="M780" t="s">
        <v>32</v>
      </c>
      <c r="N780" s="1">
        <f t="shared" si="72"/>
        <v>45618</v>
      </c>
      <c r="O780" s="4">
        <f t="shared" si="73"/>
        <v>1.580094442426444E-2</v>
      </c>
      <c r="P780">
        <f t="shared" si="74"/>
        <v>2.169770114942529</v>
      </c>
      <c r="Q780" s="2">
        <f t="shared" si="75"/>
        <v>17.16090909090909</v>
      </c>
      <c r="R780" s="2">
        <f t="shared" si="76"/>
        <v>37.754000000000005</v>
      </c>
      <c r="S780" s="2">
        <f t="shared" si="77"/>
        <v>9.3976797160565759</v>
      </c>
    </row>
    <row r="781" spans="1:19">
      <c r="A781" t="s">
        <v>834</v>
      </c>
      <c r="B781" t="s">
        <v>30</v>
      </c>
      <c r="C781">
        <v>139</v>
      </c>
      <c r="D781">
        <v>4798</v>
      </c>
      <c r="E781" s="2">
        <v>198.45</v>
      </c>
      <c r="F781">
        <v>20</v>
      </c>
      <c r="G781">
        <v>10</v>
      </c>
      <c r="H781">
        <v>4.5999999999999999E-2</v>
      </c>
      <c r="I781" s="3">
        <v>1937</v>
      </c>
      <c r="J781" s="1">
        <v>45610</v>
      </c>
      <c r="K781" t="s">
        <v>31</v>
      </c>
      <c r="L781" t="s">
        <v>8</v>
      </c>
      <c r="M781" t="s">
        <v>39</v>
      </c>
      <c r="N781" s="1">
        <f t="shared" si="72"/>
        <v>45610</v>
      </c>
      <c r="O781" s="4">
        <f t="shared" si="73"/>
        <v>2.897040433513964E-2</v>
      </c>
      <c r="P781">
        <f t="shared" si="74"/>
        <v>1.4276978417266186</v>
      </c>
      <c r="Q781" s="2">
        <f t="shared" si="75"/>
        <v>9.9224999999999994</v>
      </c>
      <c r="R781" s="2">
        <f t="shared" si="76"/>
        <v>19.844999999999999</v>
      </c>
      <c r="S781" s="2">
        <f t="shared" si="77"/>
        <v>9.7606449987402382</v>
      </c>
    </row>
    <row r="782" spans="1:19" hidden="1">
      <c r="A782" t="s">
        <v>835</v>
      </c>
      <c r="B782" t="s">
        <v>30</v>
      </c>
      <c r="C782">
        <v>139</v>
      </c>
      <c r="D782">
        <v>5763</v>
      </c>
      <c r="E782" s="2">
        <v>214.49</v>
      </c>
      <c r="F782">
        <v>15</v>
      </c>
      <c r="G782">
        <v>5</v>
      </c>
      <c r="H782">
        <v>4.4999999999999998E-2</v>
      </c>
      <c r="I782" s="3">
        <v>1781</v>
      </c>
      <c r="J782" s="1">
        <v>45597</v>
      </c>
      <c r="K782" t="s">
        <v>31</v>
      </c>
      <c r="L782" t="s">
        <v>7</v>
      </c>
      <c r="M782" t="s">
        <v>37</v>
      </c>
      <c r="N782" s="1">
        <f t="shared" si="72"/>
        <v>45597</v>
      </c>
      <c r="O782" s="4">
        <f t="shared" si="73"/>
        <v>2.4119382266180808E-2</v>
      </c>
      <c r="P782">
        <f t="shared" si="74"/>
        <v>1.5430935251798561</v>
      </c>
      <c r="Q782" s="2">
        <f t="shared" si="75"/>
        <v>14.299333333333333</v>
      </c>
      <c r="R782" s="2">
        <f t="shared" si="76"/>
        <v>42.898000000000003</v>
      </c>
      <c r="S782" s="2">
        <f t="shared" si="77"/>
        <v>8.303417408737003</v>
      </c>
    </row>
    <row r="783" spans="1:19" hidden="1">
      <c r="A783" t="s">
        <v>836</v>
      </c>
      <c r="B783" t="s">
        <v>30</v>
      </c>
      <c r="C783">
        <v>193</v>
      </c>
      <c r="D783">
        <v>3271</v>
      </c>
      <c r="E783" s="2">
        <v>187.76</v>
      </c>
      <c r="F783">
        <v>30</v>
      </c>
      <c r="G783">
        <v>9</v>
      </c>
      <c r="H783">
        <v>5.2999999999999999E-2</v>
      </c>
      <c r="I783" s="3">
        <v>1209</v>
      </c>
      <c r="J783" s="1">
        <v>45609</v>
      </c>
      <c r="K783" t="s">
        <v>31</v>
      </c>
      <c r="L783" t="s">
        <v>9</v>
      </c>
      <c r="M783" t="s">
        <v>41</v>
      </c>
      <c r="N783" s="1">
        <f t="shared" si="72"/>
        <v>45609</v>
      </c>
      <c r="O783" s="4">
        <f t="shared" si="73"/>
        <v>5.9003362885967595E-2</v>
      </c>
      <c r="P783">
        <f t="shared" si="74"/>
        <v>0.97284974093264243</v>
      </c>
      <c r="Q783" s="2">
        <f t="shared" si="75"/>
        <v>6.2586666666666666</v>
      </c>
      <c r="R783" s="2">
        <f t="shared" si="76"/>
        <v>20.862222222222222</v>
      </c>
      <c r="S783" s="2">
        <f t="shared" si="77"/>
        <v>6.4390711546655304</v>
      </c>
    </row>
    <row r="784" spans="1:19">
      <c r="A784" t="s">
        <v>837</v>
      </c>
      <c r="B784" t="s">
        <v>30</v>
      </c>
      <c r="C784">
        <v>151</v>
      </c>
      <c r="D784">
        <v>4402</v>
      </c>
      <c r="E784" s="2">
        <v>248.65</v>
      </c>
      <c r="F784">
        <v>21</v>
      </c>
      <c r="G784">
        <v>4</v>
      </c>
      <c r="H784">
        <v>4.5999999999999999E-2</v>
      </c>
      <c r="I784" s="3">
        <v>1722</v>
      </c>
      <c r="J784" s="1" t="s">
        <v>348</v>
      </c>
      <c r="K784" t="s">
        <v>31</v>
      </c>
      <c r="L784" t="s">
        <v>7</v>
      </c>
      <c r="M784" t="s">
        <v>37</v>
      </c>
      <c r="N784" s="1">
        <f t="shared" si="72"/>
        <v>45615</v>
      </c>
      <c r="O784" s="4">
        <f t="shared" si="73"/>
        <v>3.4302589731940024E-2</v>
      </c>
      <c r="P784">
        <f t="shared" si="74"/>
        <v>1.6466887417218543</v>
      </c>
      <c r="Q784" s="2">
        <f t="shared" si="75"/>
        <v>11.84047619047619</v>
      </c>
      <c r="R784" s="2">
        <f t="shared" si="76"/>
        <v>62.162500000000001</v>
      </c>
      <c r="S784" s="2">
        <f t="shared" si="77"/>
        <v>6.9253971445807361</v>
      </c>
    </row>
    <row r="785" spans="1:19">
      <c r="A785" t="s">
        <v>838</v>
      </c>
      <c r="B785" t="s">
        <v>30</v>
      </c>
      <c r="C785">
        <v>90</v>
      </c>
      <c r="D785">
        <v>4281</v>
      </c>
      <c r="E785" s="2">
        <v>216.36</v>
      </c>
      <c r="F785">
        <v>24</v>
      </c>
      <c r="G785">
        <v>4</v>
      </c>
      <c r="H785">
        <v>4.5999999999999999E-2</v>
      </c>
      <c r="I785" s="3">
        <v>1768</v>
      </c>
      <c r="J785" s="1">
        <v>45600</v>
      </c>
      <c r="K785" t="s">
        <v>31</v>
      </c>
      <c r="L785" t="s">
        <v>8</v>
      </c>
      <c r="M785" t="s">
        <v>32</v>
      </c>
      <c r="N785" s="1">
        <f t="shared" si="72"/>
        <v>45600</v>
      </c>
      <c r="O785" s="4">
        <f t="shared" si="73"/>
        <v>2.1023125437981779E-2</v>
      </c>
      <c r="P785">
        <f t="shared" si="74"/>
        <v>2.4040000000000004</v>
      </c>
      <c r="Q785" s="2">
        <f t="shared" si="75"/>
        <v>9.0150000000000006</v>
      </c>
      <c r="R785" s="2">
        <f t="shared" si="76"/>
        <v>54.09</v>
      </c>
      <c r="S785" s="2">
        <f t="shared" si="77"/>
        <v>8.1715659086707326</v>
      </c>
    </row>
    <row r="786" spans="1:19" hidden="1">
      <c r="A786" t="s">
        <v>839</v>
      </c>
      <c r="B786" t="s">
        <v>30</v>
      </c>
      <c r="C786">
        <v>169</v>
      </c>
      <c r="D786">
        <v>4480</v>
      </c>
      <c r="E786" s="2">
        <v>215.57</v>
      </c>
      <c r="F786">
        <v>11</v>
      </c>
      <c r="G786">
        <v>10</v>
      </c>
      <c r="H786">
        <v>5.8999999999999997E-2</v>
      </c>
      <c r="I786" s="3">
        <v>1769</v>
      </c>
      <c r="J786" s="1">
        <v>45624</v>
      </c>
      <c r="K786" t="s">
        <v>31</v>
      </c>
      <c r="L786" t="s">
        <v>9</v>
      </c>
      <c r="M786" t="s">
        <v>41</v>
      </c>
      <c r="N786" s="1">
        <f t="shared" si="72"/>
        <v>45624</v>
      </c>
      <c r="O786" s="4">
        <f t="shared" si="73"/>
        <v>3.7723214285714284E-2</v>
      </c>
      <c r="P786">
        <f t="shared" si="74"/>
        <v>1.2755621301775149</v>
      </c>
      <c r="Q786" s="2">
        <f t="shared" si="75"/>
        <v>19.597272727272728</v>
      </c>
      <c r="R786" s="2">
        <f t="shared" si="76"/>
        <v>21.556999999999999</v>
      </c>
      <c r="S786" s="2">
        <f t="shared" si="77"/>
        <v>8.2061511342023472</v>
      </c>
    </row>
    <row r="787" spans="1:19" hidden="1">
      <c r="A787" t="s">
        <v>840</v>
      </c>
      <c r="B787" t="s">
        <v>30</v>
      </c>
      <c r="C787">
        <v>197</v>
      </c>
      <c r="D787">
        <v>4373</v>
      </c>
      <c r="E787" s="2">
        <v>218.3</v>
      </c>
      <c r="F787">
        <v>18</v>
      </c>
      <c r="G787">
        <v>9</v>
      </c>
      <c r="H787">
        <v>5.8999999999999997E-2</v>
      </c>
      <c r="I787" s="3">
        <v>1988</v>
      </c>
      <c r="J787" s="1">
        <v>45610</v>
      </c>
      <c r="K787" t="s">
        <v>31</v>
      </c>
      <c r="L787" t="s">
        <v>7</v>
      </c>
      <c r="M787" t="s">
        <v>32</v>
      </c>
      <c r="N787" s="1">
        <f t="shared" si="72"/>
        <v>45610</v>
      </c>
      <c r="O787" s="4">
        <f t="shared" si="73"/>
        <v>4.5049165332723531E-2</v>
      </c>
      <c r="P787">
        <f t="shared" si="74"/>
        <v>1.1081218274111675</v>
      </c>
      <c r="Q787" s="2">
        <f t="shared" si="75"/>
        <v>12.127777777777778</v>
      </c>
      <c r="R787" s="2">
        <f t="shared" si="76"/>
        <v>24.255555555555556</v>
      </c>
      <c r="S787" s="2">
        <f t="shared" si="77"/>
        <v>9.1067338524965642</v>
      </c>
    </row>
    <row r="788" spans="1:19" hidden="1">
      <c r="A788" t="s">
        <v>841</v>
      </c>
      <c r="B788" t="s">
        <v>30</v>
      </c>
      <c r="C788">
        <v>132</v>
      </c>
      <c r="D788">
        <v>4518.5</v>
      </c>
      <c r="E788" s="2">
        <v>219.44</v>
      </c>
      <c r="F788">
        <v>17</v>
      </c>
      <c r="G788">
        <v>3</v>
      </c>
      <c r="H788">
        <v>5.5E-2</v>
      </c>
      <c r="I788" s="3">
        <v>1949</v>
      </c>
      <c r="J788" s="1">
        <v>45620</v>
      </c>
      <c r="K788" t="s">
        <v>31</v>
      </c>
      <c r="L788" t="s">
        <v>7</v>
      </c>
      <c r="M788" t="s">
        <v>32</v>
      </c>
      <c r="N788" s="1">
        <f t="shared" si="72"/>
        <v>45620</v>
      </c>
      <c r="O788" s="4">
        <f t="shared" si="73"/>
        <v>2.9213234480469183E-2</v>
      </c>
      <c r="P788">
        <f t="shared" si="74"/>
        <v>1.6624242424242424</v>
      </c>
      <c r="Q788" s="2">
        <f t="shared" si="75"/>
        <v>12.908235294117647</v>
      </c>
      <c r="R788" s="2">
        <f t="shared" si="76"/>
        <v>73.146666666666661</v>
      </c>
      <c r="S788" s="2">
        <f t="shared" si="77"/>
        <v>8.8816988698505295</v>
      </c>
    </row>
    <row r="789" spans="1:19" hidden="1">
      <c r="A789" t="s">
        <v>842</v>
      </c>
      <c r="B789" t="s">
        <v>30</v>
      </c>
      <c r="C789">
        <v>96</v>
      </c>
      <c r="D789">
        <v>5503</v>
      </c>
      <c r="E789" s="2">
        <v>243.51</v>
      </c>
      <c r="F789">
        <v>11</v>
      </c>
      <c r="G789">
        <v>6</v>
      </c>
      <c r="H789">
        <v>6.2E-2</v>
      </c>
      <c r="I789" s="3">
        <v>1687</v>
      </c>
      <c r="J789" s="1">
        <v>45598</v>
      </c>
      <c r="K789" t="s">
        <v>31</v>
      </c>
      <c r="L789" t="s">
        <v>7</v>
      </c>
      <c r="M789" t="s">
        <v>37</v>
      </c>
      <c r="N789" s="1">
        <f t="shared" si="72"/>
        <v>45598</v>
      </c>
      <c r="O789" s="4">
        <f t="shared" si="73"/>
        <v>1.7445029983645284E-2</v>
      </c>
      <c r="P789">
        <f t="shared" si="74"/>
        <v>2.5365625000000001</v>
      </c>
      <c r="Q789" s="2">
        <f t="shared" si="75"/>
        <v>22.137272727272727</v>
      </c>
      <c r="R789" s="2">
        <f t="shared" si="76"/>
        <v>40.585000000000001</v>
      </c>
      <c r="S789" s="2">
        <f t="shared" si="77"/>
        <v>6.9278469056712249</v>
      </c>
    </row>
    <row r="790" spans="1:19">
      <c r="A790" t="s">
        <v>843</v>
      </c>
      <c r="B790" t="s">
        <v>30</v>
      </c>
      <c r="C790">
        <v>160</v>
      </c>
      <c r="D790">
        <v>4154</v>
      </c>
      <c r="E790" s="2">
        <v>230.16</v>
      </c>
      <c r="F790">
        <v>15</v>
      </c>
      <c r="G790">
        <v>6</v>
      </c>
      <c r="H790">
        <v>4.5999999999999999E-2</v>
      </c>
      <c r="I790" s="3">
        <v>1667</v>
      </c>
      <c r="J790" s="1">
        <v>45612</v>
      </c>
      <c r="K790" t="s">
        <v>31</v>
      </c>
      <c r="L790" t="s">
        <v>8</v>
      </c>
      <c r="M790" t="s">
        <v>41</v>
      </c>
      <c r="N790" s="1">
        <f t="shared" si="72"/>
        <v>45612</v>
      </c>
      <c r="O790" s="4">
        <f t="shared" si="73"/>
        <v>3.8517091959557055E-2</v>
      </c>
      <c r="P790">
        <f t="shared" si="74"/>
        <v>1.4384999999999999</v>
      </c>
      <c r="Q790" s="2">
        <f t="shared" si="75"/>
        <v>15.343999999999999</v>
      </c>
      <c r="R790" s="2">
        <f t="shared" si="76"/>
        <v>38.36</v>
      </c>
      <c r="S790" s="2">
        <f t="shared" si="77"/>
        <v>7.2427876259993047</v>
      </c>
    </row>
    <row r="791" spans="1:19">
      <c r="A791" t="s">
        <v>844</v>
      </c>
      <c r="B791" t="s">
        <v>30</v>
      </c>
      <c r="C791">
        <v>162</v>
      </c>
      <c r="D791">
        <v>5161</v>
      </c>
      <c r="E791" s="2">
        <v>240.72</v>
      </c>
      <c r="F791">
        <v>16</v>
      </c>
      <c r="G791">
        <v>7</v>
      </c>
      <c r="H791">
        <v>4.5999999999999999E-2</v>
      </c>
      <c r="I791" s="3">
        <v>1649</v>
      </c>
      <c r="J791" s="1">
        <v>45611</v>
      </c>
      <c r="K791" t="s">
        <v>31</v>
      </c>
      <c r="L791" t="s">
        <v>9</v>
      </c>
      <c r="M791" t="s">
        <v>32</v>
      </c>
      <c r="N791" s="1">
        <f t="shared" si="72"/>
        <v>45611</v>
      </c>
      <c r="O791" s="4">
        <f t="shared" si="73"/>
        <v>3.1389265646192599E-2</v>
      </c>
      <c r="P791">
        <f t="shared" si="74"/>
        <v>1.4859259259259259</v>
      </c>
      <c r="Q791" s="2">
        <f t="shared" si="75"/>
        <v>15.045</v>
      </c>
      <c r="R791" s="2">
        <f t="shared" si="76"/>
        <v>34.388571428571431</v>
      </c>
      <c r="S791" s="2">
        <f t="shared" si="77"/>
        <v>6.8502824858757059</v>
      </c>
    </row>
    <row r="792" spans="1:19" hidden="1">
      <c r="A792" t="s">
        <v>845</v>
      </c>
      <c r="B792" t="s">
        <v>30</v>
      </c>
      <c r="C792">
        <v>171</v>
      </c>
      <c r="D792">
        <v>5517</v>
      </c>
      <c r="E792" s="2">
        <v>233.86</v>
      </c>
      <c r="F792">
        <v>23</v>
      </c>
      <c r="G792">
        <v>5</v>
      </c>
      <c r="H792">
        <v>2.9000000000000001E-2</v>
      </c>
      <c r="I792" s="3">
        <v>1349</v>
      </c>
      <c r="J792" s="1" t="s">
        <v>167</v>
      </c>
      <c r="K792" t="s">
        <v>31</v>
      </c>
      <c r="L792" t="s">
        <v>9</v>
      </c>
      <c r="M792" t="s">
        <v>35</v>
      </c>
      <c r="N792" s="1">
        <f t="shared" si="72"/>
        <v>45620</v>
      </c>
      <c r="O792" s="4">
        <f t="shared" si="73"/>
        <v>3.0995106035889071E-2</v>
      </c>
      <c r="P792">
        <f t="shared" si="74"/>
        <v>1.3676023391812866</v>
      </c>
      <c r="Q792" s="2">
        <f t="shared" si="75"/>
        <v>10.167826086956522</v>
      </c>
      <c r="R792" s="2">
        <f t="shared" si="76"/>
        <v>46.772000000000006</v>
      </c>
      <c r="S792" s="2">
        <f t="shared" si="77"/>
        <v>5.7684084494997006</v>
      </c>
    </row>
    <row r="793" spans="1:19">
      <c r="A793" t="s">
        <v>846</v>
      </c>
      <c r="B793" t="s">
        <v>30</v>
      </c>
      <c r="C793">
        <v>110</v>
      </c>
      <c r="D793">
        <v>4161</v>
      </c>
      <c r="E793" s="2">
        <v>204.28</v>
      </c>
      <c r="F793">
        <v>16</v>
      </c>
      <c r="G793">
        <v>10</v>
      </c>
      <c r="H793">
        <v>4.5999999999999999E-2</v>
      </c>
      <c r="I793" s="3">
        <v>1447</v>
      </c>
      <c r="J793" s="1">
        <v>45610</v>
      </c>
      <c r="K793" t="s">
        <v>31</v>
      </c>
      <c r="L793" t="s">
        <v>8</v>
      </c>
      <c r="M793" t="s">
        <v>37</v>
      </c>
      <c r="N793" s="1">
        <f t="shared" si="72"/>
        <v>45610</v>
      </c>
      <c r="O793" s="4">
        <f t="shared" si="73"/>
        <v>2.6435952895938475E-2</v>
      </c>
      <c r="P793">
        <f t="shared" si="74"/>
        <v>1.8570909090909091</v>
      </c>
      <c r="Q793" s="2">
        <f t="shared" si="75"/>
        <v>12.7675</v>
      </c>
      <c r="R793" s="2">
        <f t="shared" si="76"/>
        <v>20.428000000000001</v>
      </c>
      <c r="S793" s="2">
        <f t="shared" si="77"/>
        <v>7.0834149206970825</v>
      </c>
    </row>
    <row r="794" spans="1:19" hidden="1">
      <c r="A794" t="s">
        <v>847</v>
      </c>
      <c r="B794" t="s">
        <v>30</v>
      </c>
      <c r="C794">
        <v>103</v>
      </c>
      <c r="D794">
        <v>5332</v>
      </c>
      <c r="E794" s="2">
        <v>243.72</v>
      </c>
      <c r="F794">
        <v>16</v>
      </c>
      <c r="G794">
        <v>3</v>
      </c>
      <c r="H794">
        <v>2.9000000000000001E-2</v>
      </c>
      <c r="I794" s="3">
        <v>1882</v>
      </c>
      <c r="J794" s="1">
        <v>45624</v>
      </c>
      <c r="K794" t="s">
        <v>31</v>
      </c>
      <c r="L794" t="s">
        <v>7</v>
      </c>
      <c r="M794" t="s">
        <v>41</v>
      </c>
      <c r="N794" s="1">
        <f t="shared" si="72"/>
        <v>45624</v>
      </c>
      <c r="O794" s="4">
        <f t="shared" si="73"/>
        <v>1.9317329332333082E-2</v>
      </c>
      <c r="P794">
        <f t="shared" si="74"/>
        <v>2.3662135922330099</v>
      </c>
      <c r="Q794" s="2">
        <f t="shared" si="75"/>
        <v>15.2325</v>
      </c>
      <c r="R794" s="2">
        <f t="shared" si="76"/>
        <v>81.239999999999995</v>
      </c>
      <c r="S794" s="2">
        <f t="shared" si="77"/>
        <v>7.7219760380764813</v>
      </c>
    </row>
    <row r="795" spans="1:19" hidden="1">
      <c r="A795" t="s">
        <v>848</v>
      </c>
      <c r="B795" t="s">
        <v>30</v>
      </c>
      <c r="C795">
        <v>167</v>
      </c>
      <c r="D795">
        <v>3620</v>
      </c>
      <c r="E795" s="2">
        <v>243.81</v>
      </c>
      <c r="F795">
        <v>24</v>
      </c>
      <c r="G795">
        <v>8</v>
      </c>
      <c r="H795">
        <v>5.2999999999999999E-2</v>
      </c>
      <c r="I795" s="3">
        <v>1001</v>
      </c>
      <c r="J795" s="1">
        <v>45601</v>
      </c>
      <c r="K795" t="s">
        <v>31</v>
      </c>
      <c r="L795" t="s">
        <v>7</v>
      </c>
      <c r="M795" t="s">
        <v>35</v>
      </c>
      <c r="N795" s="1">
        <f t="shared" si="72"/>
        <v>45601</v>
      </c>
      <c r="O795" s="4">
        <f t="shared" si="73"/>
        <v>4.613259668508287E-2</v>
      </c>
      <c r="P795">
        <f t="shared" si="74"/>
        <v>1.4599401197604791</v>
      </c>
      <c r="Q795" s="2">
        <f t="shared" si="75"/>
        <v>10.15875</v>
      </c>
      <c r="R795" s="2">
        <f t="shared" si="76"/>
        <v>30.47625</v>
      </c>
      <c r="S795" s="2">
        <f t="shared" si="77"/>
        <v>4.1056560436405398</v>
      </c>
    </row>
    <row r="796" spans="1:19" hidden="1">
      <c r="A796" t="s">
        <v>849</v>
      </c>
      <c r="B796" t="s">
        <v>30</v>
      </c>
      <c r="C796">
        <v>132</v>
      </c>
      <c r="D796">
        <v>4117</v>
      </c>
      <c r="E796" s="2">
        <v>239.04</v>
      </c>
      <c r="F796">
        <v>28</v>
      </c>
      <c r="G796">
        <v>3</v>
      </c>
      <c r="H796">
        <v>2.3E-2</v>
      </c>
      <c r="I796" s="3">
        <v>1761</v>
      </c>
      <c r="J796" s="1">
        <v>45603</v>
      </c>
      <c r="K796" t="s">
        <v>31</v>
      </c>
      <c r="L796" t="s">
        <v>8</v>
      </c>
      <c r="M796" t="s">
        <v>46</v>
      </c>
      <c r="N796" s="1">
        <f t="shared" si="72"/>
        <v>45603</v>
      </c>
      <c r="O796" s="4">
        <f t="shared" si="73"/>
        <v>3.2062181199902839E-2</v>
      </c>
      <c r="P796">
        <f t="shared" si="74"/>
        <v>1.8109090909090908</v>
      </c>
      <c r="Q796" s="2">
        <f t="shared" si="75"/>
        <v>8.5371428571428574</v>
      </c>
      <c r="R796" s="2">
        <f t="shared" si="76"/>
        <v>79.679999999999993</v>
      </c>
      <c r="S796" s="2">
        <f t="shared" si="77"/>
        <v>7.3669678714859437</v>
      </c>
    </row>
    <row r="797" spans="1:19">
      <c r="A797" t="s">
        <v>850</v>
      </c>
      <c r="B797" t="s">
        <v>30</v>
      </c>
      <c r="C797">
        <v>145</v>
      </c>
      <c r="D797">
        <v>5400</v>
      </c>
      <c r="E797" s="2">
        <v>219.89</v>
      </c>
      <c r="F797">
        <v>29</v>
      </c>
      <c r="G797">
        <v>3</v>
      </c>
      <c r="H797">
        <v>4.5999999999999999E-2</v>
      </c>
      <c r="I797" s="3">
        <v>1152</v>
      </c>
      <c r="J797" s="1" t="s">
        <v>34</v>
      </c>
      <c r="K797" t="s">
        <v>31</v>
      </c>
      <c r="L797" t="s">
        <v>9</v>
      </c>
      <c r="M797" t="s">
        <v>35</v>
      </c>
      <c r="N797" s="1">
        <f t="shared" si="72"/>
        <v>45616</v>
      </c>
      <c r="O797" s="4">
        <f t="shared" si="73"/>
        <v>2.6851851851851852E-2</v>
      </c>
      <c r="P797">
        <f t="shared" si="74"/>
        <v>1.5164827586206895</v>
      </c>
      <c r="Q797" s="2">
        <f t="shared" si="75"/>
        <v>7.5824137931034477</v>
      </c>
      <c r="R797" s="2">
        <f t="shared" si="76"/>
        <v>73.296666666666667</v>
      </c>
      <c r="S797" s="2">
        <f t="shared" si="77"/>
        <v>5.2389831279276002</v>
      </c>
    </row>
    <row r="798" spans="1:19" hidden="1">
      <c r="A798" t="s">
        <v>851</v>
      </c>
      <c r="B798" t="s">
        <v>30</v>
      </c>
      <c r="C798">
        <v>140</v>
      </c>
      <c r="D798">
        <v>5220</v>
      </c>
      <c r="E798" s="2">
        <v>183.39</v>
      </c>
      <c r="F798">
        <v>25</v>
      </c>
      <c r="G798">
        <v>8</v>
      </c>
      <c r="H798">
        <v>5.7000000000000002E-2</v>
      </c>
      <c r="I798" s="3">
        <v>1918</v>
      </c>
      <c r="J798" s="1">
        <v>45607</v>
      </c>
      <c r="K798" t="s">
        <v>31</v>
      </c>
      <c r="L798" t="s">
        <v>7</v>
      </c>
      <c r="M798" t="s">
        <v>32</v>
      </c>
      <c r="N798" s="1">
        <f t="shared" si="72"/>
        <v>45607</v>
      </c>
      <c r="O798" s="4">
        <f t="shared" si="73"/>
        <v>2.681992337164751E-2</v>
      </c>
      <c r="P798">
        <f t="shared" si="74"/>
        <v>1.3099285714285713</v>
      </c>
      <c r="Q798" s="2">
        <f t="shared" si="75"/>
        <v>7.3355999999999995</v>
      </c>
      <c r="R798" s="2">
        <f t="shared" si="76"/>
        <v>22.923749999999998</v>
      </c>
      <c r="S798" s="2">
        <f t="shared" si="77"/>
        <v>10.458585528109495</v>
      </c>
    </row>
    <row r="799" spans="1:19" hidden="1">
      <c r="A799" t="s">
        <v>852</v>
      </c>
      <c r="B799" t="s">
        <v>30</v>
      </c>
      <c r="C799">
        <v>122</v>
      </c>
      <c r="D799">
        <v>4518.5</v>
      </c>
      <c r="E799" s="2">
        <v>217.66</v>
      </c>
      <c r="F799">
        <v>25</v>
      </c>
      <c r="G799">
        <v>10</v>
      </c>
      <c r="H799">
        <v>5.2999999999999999E-2</v>
      </c>
      <c r="I799" s="3">
        <v>1799</v>
      </c>
      <c r="J799" s="1">
        <v>45622</v>
      </c>
      <c r="K799" t="s">
        <v>31</v>
      </c>
      <c r="L799" t="s">
        <v>9</v>
      </c>
      <c r="M799" t="s">
        <v>37</v>
      </c>
      <c r="N799" s="1">
        <f t="shared" si="72"/>
        <v>45622</v>
      </c>
      <c r="O799" s="4">
        <f t="shared" si="73"/>
        <v>2.7000110656191213E-2</v>
      </c>
      <c r="P799">
        <f t="shared" si="74"/>
        <v>1.7840983606557377</v>
      </c>
      <c r="Q799" s="2">
        <f t="shared" si="75"/>
        <v>8.7064000000000004</v>
      </c>
      <c r="R799" s="2">
        <f t="shared" si="76"/>
        <v>21.765999999999998</v>
      </c>
      <c r="S799" s="2">
        <f t="shared" si="77"/>
        <v>8.2651842322888918</v>
      </c>
    </row>
    <row r="800" spans="1:19" hidden="1">
      <c r="A800" t="s">
        <v>853</v>
      </c>
      <c r="B800" t="s">
        <v>30</v>
      </c>
      <c r="C800">
        <v>87</v>
      </c>
      <c r="D800">
        <v>4081</v>
      </c>
      <c r="E800" s="2">
        <v>180.63</v>
      </c>
      <c r="F800">
        <v>20</v>
      </c>
      <c r="G800">
        <v>4</v>
      </c>
      <c r="H800">
        <v>4.5999999999999999E-2</v>
      </c>
      <c r="I800" s="3">
        <v>1665</v>
      </c>
      <c r="J800" s="1">
        <v>45604</v>
      </c>
      <c r="K800" t="s">
        <v>31</v>
      </c>
      <c r="L800" t="s">
        <v>9</v>
      </c>
      <c r="M800" t="s">
        <v>37</v>
      </c>
      <c r="N800" s="1">
        <f t="shared" si="72"/>
        <v>45604</v>
      </c>
      <c r="O800" s="4">
        <f t="shared" si="73"/>
        <v>2.1318304337172262E-2</v>
      </c>
      <c r="P800">
        <f t="shared" si="74"/>
        <v>2.076206896551724</v>
      </c>
      <c r="Q800" s="2">
        <f t="shared" si="75"/>
        <v>9.0314999999999994</v>
      </c>
      <c r="R800" s="2">
        <f t="shared" si="76"/>
        <v>45.157499999999999</v>
      </c>
      <c r="S800" s="2">
        <f t="shared" si="77"/>
        <v>9.2177379172894867</v>
      </c>
    </row>
    <row r="801" spans="1:19" hidden="1">
      <c r="A801" t="s">
        <v>854</v>
      </c>
      <c r="B801" t="s">
        <v>30</v>
      </c>
      <c r="C801">
        <v>141</v>
      </c>
      <c r="D801">
        <v>4239</v>
      </c>
      <c r="E801" s="2">
        <v>199.82</v>
      </c>
      <c r="F801">
        <v>15</v>
      </c>
      <c r="G801">
        <v>5</v>
      </c>
      <c r="H801">
        <v>3.5000000000000003E-2</v>
      </c>
      <c r="I801" s="3">
        <v>1639</v>
      </c>
      <c r="J801" s="1">
        <v>45623</v>
      </c>
      <c r="K801" t="s">
        <v>31</v>
      </c>
      <c r="L801" t="s">
        <v>8</v>
      </c>
      <c r="M801" t="s">
        <v>39</v>
      </c>
      <c r="N801" s="1">
        <f t="shared" si="72"/>
        <v>45623</v>
      </c>
      <c r="O801" s="4">
        <f t="shared" si="73"/>
        <v>3.3262561924982309E-2</v>
      </c>
      <c r="P801">
        <f t="shared" si="74"/>
        <v>1.4171631205673758</v>
      </c>
      <c r="Q801" s="2">
        <f t="shared" si="75"/>
        <v>13.321333333333333</v>
      </c>
      <c r="R801" s="2">
        <f t="shared" si="76"/>
        <v>39.963999999999999</v>
      </c>
      <c r="S801" s="2">
        <f t="shared" si="77"/>
        <v>8.2023821439295368</v>
      </c>
    </row>
    <row r="802" spans="1:19" hidden="1">
      <c r="A802" t="s">
        <v>855</v>
      </c>
      <c r="B802" t="s">
        <v>30</v>
      </c>
      <c r="C802">
        <v>157</v>
      </c>
      <c r="D802">
        <v>3367</v>
      </c>
      <c r="E802" s="2">
        <v>248.9</v>
      </c>
      <c r="F802">
        <v>20</v>
      </c>
      <c r="G802">
        <v>8</v>
      </c>
      <c r="H802">
        <v>5.0999999999999997E-2</v>
      </c>
      <c r="I802" s="3">
        <v>1470</v>
      </c>
      <c r="J802" s="1" t="s">
        <v>64</v>
      </c>
      <c r="K802" t="s">
        <v>31</v>
      </c>
      <c r="L802" t="s">
        <v>9</v>
      </c>
      <c r="M802" t="s">
        <v>39</v>
      </c>
      <c r="N802" s="1">
        <f t="shared" si="72"/>
        <v>45626</v>
      </c>
      <c r="O802" s="4">
        <f t="shared" si="73"/>
        <v>4.6629046629046628E-2</v>
      </c>
      <c r="P802">
        <f t="shared" si="74"/>
        <v>1.5853503184713376</v>
      </c>
      <c r="Q802" s="2">
        <f t="shared" si="75"/>
        <v>12.445</v>
      </c>
      <c r="R802" s="2">
        <f t="shared" si="76"/>
        <v>31.112500000000001</v>
      </c>
      <c r="S802" s="2">
        <f t="shared" si="77"/>
        <v>5.9059863398955406</v>
      </c>
    </row>
    <row r="803" spans="1:19" hidden="1">
      <c r="A803" t="s">
        <v>856</v>
      </c>
      <c r="B803" t="s">
        <v>30</v>
      </c>
      <c r="C803">
        <v>95</v>
      </c>
      <c r="D803">
        <v>5721</v>
      </c>
      <c r="E803" s="2">
        <v>208.53</v>
      </c>
      <c r="F803">
        <v>16</v>
      </c>
      <c r="G803">
        <v>6</v>
      </c>
      <c r="H803">
        <v>6.3E-2</v>
      </c>
      <c r="I803" s="3">
        <v>1863</v>
      </c>
      <c r="J803" s="1">
        <v>45601</v>
      </c>
      <c r="K803" t="s">
        <v>31</v>
      </c>
      <c r="L803" t="s">
        <v>8</v>
      </c>
      <c r="M803" t="s">
        <v>35</v>
      </c>
      <c r="N803" s="1">
        <f t="shared" si="72"/>
        <v>45601</v>
      </c>
      <c r="O803" s="4">
        <f t="shared" si="73"/>
        <v>1.6605488550952632E-2</v>
      </c>
      <c r="P803">
        <f t="shared" si="74"/>
        <v>2.1950526315789474</v>
      </c>
      <c r="Q803" s="2">
        <f t="shared" si="75"/>
        <v>13.033125</v>
      </c>
      <c r="R803" s="2">
        <f t="shared" si="76"/>
        <v>34.755000000000003</v>
      </c>
      <c r="S803" s="2">
        <f t="shared" si="77"/>
        <v>8.933966335779024</v>
      </c>
    </row>
    <row r="804" spans="1:19" hidden="1">
      <c r="A804" t="s">
        <v>857</v>
      </c>
      <c r="B804" t="s">
        <v>30</v>
      </c>
      <c r="C804">
        <v>160</v>
      </c>
      <c r="D804">
        <v>5166</v>
      </c>
      <c r="E804" s="2">
        <v>210.21</v>
      </c>
      <c r="F804">
        <v>20</v>
      </c>
      <c r="G804">
        <v>7</v>
      </c>
      <c r="H804">
        <v>4.3999999999999997E-2</v>
      </c>
      <c r="I804" s="3">
        <v>1850</v>
      </c>
      <c r="J804" s="1">
        <v>45617</v>
      </c>
      <c r="K804" t="s">
        <v>31</v>
      </c>
      <c r="L804" t="s">
        <v>7</v>
      </c>
      <c r="M804" t="s">
        <v>35</v>
      </c>
      <c r="N804" s="1">
        <f t="shared" si="72"/>
        <v>45617</v>
      </c>
      <c r="O804" s="4">
        <f t="shared" si="73"/>
        <v>3.097173828881146E-2</v>
      </c>
      <c r="P804">
        <f t="shared" si="74"/>
        <v>1.3138125</v>
      </c>
      <c r="Q804" s="2">
        <f t="shared" si="75"/>
        <v>10.5105</v>
      </c>
      <c r="R804" s="2">
        <f t="shared" si="76"/>
        <v>30.03</v>
      </c>
      <c r="S804" s="2">
        <f t="shared" si="77"/>
        <v>8.8007230864373724</v>
      </c>
    </row>
    <row r="805" spans="1:19" hidden="1">
      <c r="A805" t="s">
        <v>858</v>
      </c>
      <c r="B805" t="s">
        <v>30</v>
      </c>
      <c r="C805">
        <v>133</v>
      </c>
      <c r="D805">
        <v>5430</v>
      </c>
      <c r="E805" s="2">
        <v>217.34</v>
      </c>
      <c r="F805">
        <v>16</v>
      </c>
      <c r="G805">
        <v>6</v>
      </c>
      <c r="H805">
        <v>4.4999999999999998E-2</v>
      </c>
      <c r="I805" s="3">
        <v>1199</v>
      </c>
      <c r="J805" s="1">
        <v>45610</v>
      </c>
      <c r="K805" t="s">
        <v>31</v>
      </c>
      <c r="L805" t="s">
        <v>8</v>
      </c>
      <c r="M805" t="s">
        <v>37</v>
      </c>
      <c r="N805" s="1">
        <f t="shared" si="72"/>
        <v>45610</v>
      </c>
      <c r="O805" s="4">
        <f t="shared" si="73"/>
        <v>2.4493554327808472E-2</v>
      </c>
      <c r="P805">
        <f t="shared" si="74"/>
        <v>1.6341353383458648</v>
      </c>
      <c r="Q805" s="2">
        <f t="shared" si="75"/>
        <v>13.58375</v>
      </c>
      <c r="R805" s="2">
        <f t="shared" si="76"/>
        <v>36.223333333333336</v>
      </c>
      <c r="S805" s="2">
        <f t="shared" si="77"/>
        <v>5.5167019416582317</v>
      </c>
    </row>
    <row r="806" spans="1:19" hidden="1">
      <c r="A806" t="s">
        <v>859</v>
      </c>
      <c r="B806" t="s">
        <v>30</v>
      </c>
      <c r="C806">
        <v>154</v>
      </c>
      <c r="D806">
        <v>3452</v>
      </c>
      <c r="E806" s="2">
        <v>215.61</v>
      </c>
      <c r="F806">
        <v>21</v>
      </c>
      <c r="G806">
        <v>7</v>
      </c>
      <c r="H806">
        <v>5.8000000000000003E-2</v>
      </c>
      <c r="I806" s="3">
        <v>1631</v>
      </c>
      <c r="J806" s="1">
        <v>45598</v>
      </c>
      <c r="K806" t="s">
        <v>31</v>
      </c>
      <c r="L806" t="s">
        <v>8</v>
      </c>
      <c r="M806" t="s">
        <v>46</v>
      </c>
      <c r="N806" s="1">
        <f t="shared" si="72"/>
        <v>45598</v>
      </c>
      <c r="O806" s="4">
        <f t="shared" si="73"/>
        <v>4.4611819235225954E-2</v>
      </c>
      <c r="P806">
        <f t="shared" si="74"/>
        <v>1.4000649350649352</v>
      </c>
      <c r="Q806" s="2">
        <f t="shared" si="75"/>
        <v>10.267142857142858</v>
      </c>
      <c r="R806" s="2">
        <f t="shared" si="76"/>
        <v>30.801428571428573</v>
      </c>
      <c r="S806" s="2">
        <f t="shared" si="77"/>
        <v>7.564584202959046</v>
      </c>
    </row>
    <row r="807" spans="1:19" hidden="1">
      <c r="A807" t="s">
        <v>860</v>
      </c>
      <c r="B807" t="s">
        <v>30</v>
      </c>
      <c r="C807">
        <v>188</v>
      </c>
      <c r="D807">
        <v>4518.5</v>
      </c>
      <c r="E807" s="2">
        <v>220.11</v>
      </c>
      <c r="F807">
        <v>13</v>
      </c>
      <c r="G807">
        <v>4</v>
      </c>
      <c r="H807">
        <v>2.1000000000000001E-2</v>
      </c>
      <c r="I807" s="3">
        <v>1262</v>
      </c>
      <c r="J807" s="1" t="s">
        <v>86</v>
      </c>
      <c r="K807" t="s">
        <v>31</v>
      </c>
      <c r="L807" t="s">
        <v>9</v>
      </c>
      <c r="M807" t="s">
        <v>37</v>
      </c>
      <c r="N807" s="1">
        <f t="shared" si="72"/>
        <v>45625</v>
      </c>
      <c r="O807" s="4">
        <f t="shared" si="73"/>
        <v>4.1606727896425805E-2</v>
      </c>
      <c r="P807">
        <f t="shared" si="74"/>
        <v>1.1707978723404255</v>
      </c>
      <c r="Q807" s="2">
        <f t="shared" si="75"/>
        <v>16.931538461538462</v>
      </c>
      <c r="R807" s="2">
        <f t="shared" si="76"/>
        <v>55.027500000000003</v>
      </c>
      <c r="S807" s="2">
        <f t="shared" si="77"/>
        <v>5.7334968879196762</v>
      </c>
    </row>
    <row r="808" spans="1:19">
      <c r="A808" t="s">
        <v>861</v>
      </c>
      <c r="B808" t="s">
        <v>30</v>
      </c>
      <c r="C808">
        <v>186</v>
      </c>
      <c r="D808">
        <v>5073</v>
      </c>
      <c r="E808" s="2">
        <v>233.58</v>
      </c>
      <c r="F808">
        <v>15</v>
      </c>
      <c r="G808">
        <v>4</v>
      </c>
      <c r="H808">
        <v>4.5999999999999999E-2</v>
      </c>
      <c r="I808" s="3">
        <v>1965</v>
      </c>
      <c r="J808" s="1">
        <v>45600</v>
      </c>
      <c r="K808" t="s">
        <v>31</v>
      </c>
      <c r="L808" t="s">
        <v>9</v>
      </c>
      <c r="M808" t="s">
        <v>41</v>
      </c>
      <c r="N808" s="1">
        <f t="shared" si="72"/>
        <v>45600</v>
      </c>
      <c r="O808" s="4">
        <f t="shared" si="73"/>
        <v>3.666469544648137E-2</v>
      </c>
      <c r="P808">
        <f t="shared" si="74"/>
        <v>1.2558064516129033</v>
      </c>
      <c r="Q808" s="2">
        <f t="shared" si="75"/>
        <v>15.572000000000001</v>
      </c>
      <c r="R808" s="2">
        <f t="shared" si="76"/>
        <v>58.395000000000003</v>
      </c>
      <c r="S808" s="2">
        <f t="shared" si="77"/>
        <v>8.4125353198047765</v>
      </c>
    </row>
    <row r="809" spans="1:19" hidden="1">
      <c r="A809" t="s">
        <v>862</v>
      </c>
      <c r="B809" t="s">
        <v>30</v>
      </c>
      <c r="C809">
        <v>101</v>
      </c>
      <c r="D809">
        <v>5757</v>
      </c>
      <c r="E809" s="2">
        <v>249.33</v>
      </c>
      <c r="F809">
        <v>25</v>
      </c>
      <c r="G809">
        <v>9</v>
      </c>
      <c r="H809">
        <v>3.5000000000000003E-2</v>
      </c>
      <c r="I809" s="3">
        <v>1129</v>
      </c>
      <c r="J809" s="1">
        <v>45597</v>
      </c>
      <c r="K809" t="s">
        <v>31</v>
      </c>
      <c r="L809" t="s">
        <v>8</v>
      </c>
      <c r="M809" t="s">
        <v>32</v>
      </c>
      <c r="N809" s="1">
        <f t="shared" si="72"/>
        <v>45597</v>
      </c>
      <c r="O809" s="4">
        <f t="shared" si="73"/>
        <v>1.7543859649122806E-2</v>
      </c>
      <c r="P809">
        <f t="shared" si="74"/>
        <v>2.4686138613861388</v>
      </c>
      <c r="Q809" s="2">
        <f t="shared" si="75"/>
        <v>9.9732000000000003</v>
      </c>
      <c r="R809" s="2">
        <f t="shared" si="76"/>
        <v>27.703333333333333</v>
      </c>
      <c r="S809" s="2">
        <f t="shared" si="77"/>
        <v>4.5281354028797178</v>
      </c>
    </row>
    <row r="810" spans="1:19" hidden="1">
      <c r="A810" t="s">
        <v>863</v>
      </c>
      <c r="B810" t="s">
        <v>30</v>
      </c>
      <c r="C810">
        <v>150</v>
      </c>
      <c r="D810">
        <v>3323</v>
      </c>
      <c r="E810" s="2">
        <v>227.55</v>
      </c>
      <c r="F810">
        <v>14</v>
      </c>
      <c r="G810">
        <v>4</v>
      </c>
      <c r="H810">
        <v>2.7E-2</v>
      </c>
      <c r="I810" s="3">
        <v>1931</v>
      </c>
      <c r="J810" s="1">
        <v>45614</v>
      </c>
      <c r="K810" t="s">
        <v>31</v>
      </c>
      <c r="L810" t="s">
        <v>8</v>
      </c>
      <c r="M810" t="s">
        <v>35</v>
      </c>
      <c r="N810" s="1">
        <f t="shared" si="72"/>
        <v>45614</v>
      </c>
      <c r="O810" s="4">
        <f t="shared" si="73"/>
        <v>4.5139933794763769E-2</v>
      </c>
      <c r="P810">
        <f t="shared" si="74"/>
        <v>1.5170000000000001</v>
      </c>
      <c r="Q810" s="2">
        <f t="shared" si="75"/>
        <v>16.25357142857143</v>
      </c>
      <c r="R810" s="2">
        <f t="shared" si="76"/>
        <v>56.887500000000003</v>
      </c>
      <c r="S810" s="2">
        <f t="shared" si="77"/>
        <v>8.4860470226323876</v>
      </c>
    </row>
    <row r="811" spans="1:19" hidden="1">
      <c r="A811" t="s">
        <v>864</v>
      </c>
      <c r="B811" t="s">
        <v>30</v>
      </c>
      <c r="C811">
        <v>127</v>
      </c>
      <c r="D811">
        <v>5417</v>
      </c>
      <c r="E811" s="2">
        <v>229.06</v>
      </c>
      <c r="F811">
        <v>26</v>
      </c>
      <c r="G811">
        <v>8</v>
      </c>
      <c r="H811">
        <v>6.3E-2</v>
      </c>
      <c r="I811" s="3">
        <v>1086</v>
      </c>
      <c r="J811" s="1">
        <v>45617</v>
      </c>
      <c r="K811" t="s">
        <v>31</v>
      </c>
      <c r="L811" t="s">
        <v>9</v>
      </c>
      <c r="M811" t="s">
        <v>32</v>
      </c>
      <c r="N811" s="1">
        <f t="shared" si="72"/>
        <v>45617</v>
      </c>
      <c r="O811" s="4">
        <f t="shared" si="73"/>
        <v>2.3444711094701864E-2</v>
      </c>
      <c r="P811">
        <f t="shared" si="74"/>
        <v>1.8036220472440945</v>
      </c>
      <c r="Q811" s="2">
        <f t="shared" si="75"/>
        <v>8.81</v>
      </c>
      <c r="R811" s="2">
        <f t="shared" si="76"/>
        <v>28.6325</v>
      </c>
      <c r="S811" s="2">
        <f t="shared" si="77"/>
        <v>4.7411158648389069</v>
      </c>
    </row>
    <row r="812" spans="1:19" hidden="1">
      <c r="A812" t="s">
        <v>865</v>
      </c>
      <c r="B812" t="s">
        <v>30</v>
      </c>
      <c r="C812">
        <v>117</v>
      </c>
      <c r="D812">
        <v>5445</v>
      </c>
      <c r="E812" s="2">
        <v>213.9</v>
      </c>
      <c r="F812">
        <v>10</v>
      </c>
      <c r="G812">
        <v>5</v>
      </c>
      <c r="H812">
        <v>4.2999999999999997E-2</v>
      </c>
      <c r="I812" s="3">
        <v>1804</v>
      </c>
      <c r="J812" s="1" t="s">
        <v>348</v>
      </c>
      <c r="K812" t="s">
        <v>31</v>
      </c>
      <c r="L812" t="s">
        <v>7</v>
      </c>
      <c r="M812" t="s">
        <v>35</v>
      </c>
      <c r="N812" s="1">
        <f t="shared" si="72"/>
        <v>45615</v>
      </c>
      <c r="O812" s="4">
        <f t="shared" si="73"/>
        <v>2.1487603305785124E-2</v>
      </c>
      <c r="P812">
        <f t="shared" si="74"/>
        <v>1.8282051282051281</v>
      </c>
      <c r="Q812" s="2">
        <f t="shared" si="75"/>
        <v>21.39</v>
      </c>
      <c r="R812" s="2">
        <f t="shared" si="76"/>
        <v>42.78</v>
      </c>
      <c r="S812" s="2">
        <f t="shared" si="77"/>
        <v>8.4338475923328655</v>
      </c>
    </row>
    <row r="813" spans="1:19" hidden="1">
      <c r="A813" t="s">
        <v>866</v>
      </c>
      <c r="B813" t="s">
        <v>30</v>
      </c>
      <c r="C813">
        <v>152</v>
      </c>
      <c r="D813">
        <v>5173</v>
      </c>
      <c r="E813" s="2">
        <v>230.47</v>
      </c>
      <c r="F813">
        <v>15</v>
      </c>
      <c r="G813">
        <v>5</v>
      </c>
      <c r="H813">
        <v>3.5999999999999997E-2</v>
      </c>
      <c r="I813" s="3">
        <v>1779</v>
      </c>
      <c r="J813" s="1">
        <v>45622</v>
      </c>
      <c r="K813" t="s">
        <v>31</v>
      </c>
      <c r="L813" t="s">
        <v>7</v>
      </c>
      <c r="M813" t="s">
        <v>32</v>
      </c>
      <c r="N813" s="1">
        <f t="shared" si="72"/>
        <v>45622</v>
      </c>
      <c r="O813" s="4">
        <f t="shared" si="73"/>
        <v>2.938333655519041E-2</v>
      </c>
      <c r="P813">
        <f t="shared" si="74"/>
        <v>1.5162500000000001</v>
      </c>
      <c r="Q813" s="2">
        <f t="shared" si="75"/>
        <v>15.364666666666666</v>
      </c>
      <c r="R813" s="2">
        <f t="shared" si="76"/>
        <v>46.094000000000001</v>
      </c>
      <c r="S813" s="2">
        <f t="shared" si="77"/>
        <v>7.7190089816462013</v>
      </c>
    </row>
    <row r="814" spans="1:19">
      <c r="A814" t="s">
        <v>867</v>
      </c>
      <c r="B814" t="s">
        <v>30</v>
      </c>
      <c r="C814">
        <v>87</v>
      </c>
      <c r="D814">
        <v>3643</v>
      </c>
      <c r="E814" s="2">
        <v>220.76</v>
      </c>
      <c r="F814">
        <v>27</v>
      </c>
      <c r="G814">
        <v>7</v>
      </c>
      <c r="H814">
        <v>4.5999999999999999E-2</v>
      </c>
      <c r="I814" s="3">
        <v>1393</v>
      </c>
      <c r="J814" s="1">
        <v>45599</v>
      </c>
      <c r="K814" t="s">
        <v>31</v>
      </c>
      <c r="L814" t="s">
        <v>7</v>
      </c>
      <c r="M814" t="s">
        <v>37</v>
      </c>
      <c r="N814" s="1">
        <f t="shared" si="72"/>
        <v>45599</v>
      </c>
      <c r="O814" s="4">
        <f t="shared" si="73"/>
        <v>2.3881416415042548E-2</v>
      </c>
      <c r="P814">
        <f t="shared" si="74"/>
        <v>2.5374712643678161</v>
      </c>
      <c r="Q814" s="2">
        <f t="shared" si="75"/>
        <v>8.1762962962962966</v>
      </c>
      <c r="R814" s="2">
        <f t="shared" si="76"/>
        <v>31.537142857142857</v>
      </c>
      <c r="S814" s="2">
        <f t="shared" si="77"/>
        <v>6.3100199311469476</v>
      </c>
    </row>
    <row r="815" spans="1:19" hidden="1">
      <c r="A815" t="s">
        <v>868</v>
      </c>
      <c r="B815" t="s">
        <v>30</v>
      </c>
      <c r="C815">
        <v>181</v>
      </c>
      <c r="D815">
        <v>3863</v>
      </c>
      <c r="E815" s="2">
        <v>180.12</v>
      </c>
      <c r="F815">
        <v>17</v>
      </c>
      <c r="G815">
        <v>7</v>
      </c>
      <c r="H815">
        <v>3.5000000000000003E-2</v>
      </c>
      <c r="I815" s="3">
        <v>1892</v>
      </c>
      <c r="J815" s="1">
        <v>45624</v>
      </c>
      <c r="K815" t="s">
        <v>31</v>
      </c>
      <c r="L815" t="s">
        <v>7</v>
      </c>
      <c r="M815" t="s">
        <v>35</v>
      </c>
      <c r="N815" s="1">
        <f t="shared" si="72"/>
        <v>45624</v>
      </c>
      <c r="O815" s="4">
        <f t="shared" si="73"/>
        <v>4.6854776080766242E-2</v>
      </c>
      <c r="P815">
        <f t="shared" si="74"/>
        <v>0.99513812154696135</v>
      </c>
      <c r="Q815" s="2">
        <f t="shared" si="75"/>
        <v>10.595294117647059</v>
      </c>
      <c r="R815" s="2">
        <f t="shared" si="76"/>
        <v>25.731428571428573</v>
      </c>
      <c r="S815" s="2">
        <f t="shared" si="77"/>
        <v>10.504108372196313</v>
      </c>
    </row>
    <row r="816" spans="1:19" hidden="1">
      <c r="A816" t="s">
        <v>869</v>
      </c>
      <c r="B816" t="s">
        <v>30</v>
      </c>
      <c r="C816">
        <v>147</v>
      </c>
      <c r="D816">
        <v>3661</v>
      </c>
      <c r="E816" s="2">
        <v>191.67</v>
      </c>
      <c r="F816">
        <v>17</v>
      </c>
      <c r="G816">
        <v>4</v>
      </c>
      <c r="H816">
        <v>2.7E-2</v>
      </c>
      <c r="I816" s="3">
        <v>1505</v>
      </c>
      <c r="J816" s="1" t="s">
        <v>167</v>
      </c>
      <c r="K816" t="s">
        <v>31</v>
      </c>
      <c r="L816" t="s">
        <v>7</v>
      </c>
      <c r="M816" t="s">
        <v>41</v>
      </c>
      <c r="N816" s="1">
        <f t="shared" si="72"/>
        <v>45620</v>
      </c>
      <c r="O816" s="4">
        <f t="shared" si="73"/>
        <v>4.0152963671128104E-2</v>
      </c>
      <c r="P816">
        <f t="shared" si="74"/>
        <v>1.3038775510204081</v>
      </c>
      <c r="Q816" s="2">
        <f t="shared" si="75"/>
        <v>11.27470588235294</v>
      </c>
      <c r="R816" s="2">
        <f t="shared" si="76"/>
        <v>47.917499999999997</v>
      </c>
      <c r="S816" s="2">
        <f t="shared" si="77"/>
        <v>7.8520373558720724</v>
      </c>
    </row>
    <row r="817" spans="1:19" hidden="1">
      <c r="A817" t="s">
        <v>870</v>
      </c>
      <c r="B817" t="s">
        <v>30</v>
      </c>
      <c r="C817">
        <v>173</v>
      </c>
      <c r="D817">
        <v>5463</v>
      </c>
      <c r="E817" s="2">
        <v>232.38</v>
      </c>
      <c r="F817">
        <v>17</v>
      </c>
      <c r="G817">
        <v>5</v>
      </c>
      <c r="H817">
        <v>2.9000000000000001E-2</v>
      </c>
      <c r="I817" s="3">
        <v>1568</v>
      </c>
      <c r="J817" s="1">
        <v>45622</v>
      </c>
      <c r="K817" t="s">
        <v>31</v>
      </c>
      <c r="L817" t="s">
        <v>7</v>
      </c>
      <c r="M817" t="s">
        <v>46</v>
      </c>
      <c r="N817" s="1">
        <f t="shared" si="72"/>
        <v>45622</v>
      </c>
      <c r="O817" s="4">
        <f t="shared" si="73"/>
        <v>3.1667581914698886E-2</v>
      </c>
      <c r="P817">
        <f t="shared" si="74"/>
        <v>1.3432369942196531</v>
      </c>
      <c r="Q817" s="2">
        <f t="shared" si="75"/>
        <v>13.669411764705883</v>
      </c>
      <c r="R817" s="2">
        <f t="shared" si="76"/>
        <v>46.475999999999999</v>
      </c>
      <c r="S817" s="2">
        <f t="shared" si="77"/>
        <v>6.7475686375763839</v>
      </c>
    </row>
    <row r="818" spans="1:19" hidden="1">
      <c r="A818" t="s">
        <v>871</v>
      </c>
      <c r="B818" t="s">
        <v>30</v>
      </c>
      <c r="C818">
        <v>123</v>
      </c>
      <c r="D818">
        <v>3459</v>
      </c>
      <c r="E818" s="2">
        <v>211.88</v>
      </c>
      <c r="F818">
        <v>21</v>
      </c>
      <c r="G818">
        <v>4</v>
      </c>
      <c r="H818">
        <v>3.3000000000000002E-2</v>
      </c>
      <c r="I818" s="3">
        <v>1223</v>
      </c>
      <c r="J818" s="1" t="s">
        <v>167</v>
      </c>
      <c r="K818" t="s">
        <v>31</v>
      </c>
      <c r="L818" t="s">
        <v>9</v>
      </c>
      <c r="M818" t="s">
        <v>32</v>
      </c>
      <c r="N818" s="1">
        <f t="shared" si="72"/>
        <v>45620</v>
      </c>
      <c r="O818" s="4">
        <f t="shared" si="73"/>
        <v>3.5559410234171723E-2</v>
      </c>
      <c r="P818">
        <f t="shared" si="74"/>
        <v>1.7226016260162602</v>
      </c>
      <c r="Q818" s="2">
        <f t="shared" si="75"/>
        <v>10.08952380952381</v>
      </c>
      <c r="R818" s="2">
        <f t="shared" si="76"/>
        <v>52.97</v>
      </c>
      <c r="S818" s="2">
        <f t="shared" si="77"/>
        <v>5.772135170851425</v>
      </c>
    </row>
    <row r="819" spans="1:19" hidden="1">
      <c r="A819" t="s">
        <v>872</v>
      </c>
      <c r="B819" t="s">
        <v>30</v>
      </c>
      <c r="C819">
        <v>162</v>
      </c>
      <c r="D819">
        <v>3906</v>
      </c>
      <c r="E819" s="2">
        <v>237.24</v>
      </c>
      <c r="F819">
        <v>13</v>
      </c>
      <c r="G819">
        <v>5</v>
      </c>
      <c r="H819">
        <v>3.3000000000000002E-2</v>
      </c>
      <c r="I819" s="3">
        <v>1062</v>
      </c>
      <c r="J819" s="1">
        <v>45606</v>
      </c>
      <c r="K819" t="s">
        <v>31</v>
      </c>
      <c r="L819" t="s">
        <v>7</v>
      </c>
      <c r="M819" t="s">
        <v>39</v>
      </c>
      <c r="N819" s="1">
        <f t="shared" si="72"/>
        <v>45606</v>
      </c>
      <c r="O819" s="4">
        <f t="shared" si="73"/>
        <v>4.1474654377880185E-2</v>
      </c>
      <c r="P819">
        <f t="shared" si="74"/>
        <v>1.4644444444444444</v>
      </c>
      <c r="Q819" s="2">
        <f t="shared" si="75"/>
        <v>18.24923076923077</v>
      </c>
      <c r="R819" s="2">
        <f t="shared" si="76"/>
        <v>47.448</v>
      </c>
      <c r="S819" s="2">
        <f t="shared" si="77"/>
        <v>4.4764795144157814</v>
      </c>
    </row>
    <row r="820" spans="1:19">
      <c r="A820" t="s">
        <v>873</v>
      </c>
      <c r="B820" t="s">
        <v>30</v>
      </c>
      <c r="C820">
        <v>135</v>
      </c>
      <c r="D820">
        <v>4645</v>
      </c>
      <c r="E820" s="2">
        <v>182.94</v>
      </c>
      <c r="F820">
        <v>12</v>
      </c>
      <c r="G820">
        <v>7</v>
      </c>
      <c r="H820">
        <v>4.5999999999999999E-2</v>
      </c>
      <c r="I820" s="3">
        <v>1927</v>
      </c>
      <c r="J820" s="1">
        <v>45626</v>
      </c>
      <c r="K820" t="s">
        <v>31</v>
      </c>
      <c r="L820" t="s">
        <v>7</v>
      </c>
      <c r="M820" t="s">
        <v>41</v>
      </c>
      <c r="N820" s="1">
        <f t="shared" si="72"/>
        <v>45626</v>
      </c>
      <c r="O820" s="4">
        <f t="shared" si="73"/>
        <v>2.9063509149623249E-2</v>
      </c>
      <c r="P820">
        <f t="shared" si="74"/>
        <v>1.3551111111111112</v>
      </c>
      <c r="Q820" s="2">
        <f t="shared" si="75"/>
        <v>15.244999999999999</v>
      </c>
      <c r="R820" s="2">
        <f t="shared" si="76"/>
        <v>26.134285714285713</v>
      </c>
      <c r="S820" s="2">
        <f t="shared" si="77"/>
        <v>10.533508254072373</v>
      </c>
    </row>
    <row r="821" spans="1:19" hidden="1">
      <c r="A821" t="s">
        <v>874</v>
      </c>
      <c r="B821" t="s">
        <v>30</v>
      </c>
      <c r="C821">
        <v>169</v>
      </c>
      <c r="D821">
        <v>3317</v>
      </c>
      <c r="E821" s="2">
        <v>232.35</v>
      </c>
      <c r="F821">
        <v>29</v>
      </c>
      <c r="G821">
        <v>3</v>
      </c>
      <c r="H821">
        <v>4.9000000000000002E-2</v>
      </c>
      <c r="I821" s="3">
        <v>1988</v>
      </c>
      <c r="J821" s="1">
        <v>45620</v>
      </c>
      <c r="K821" t="s">
        <v>31</v>
      </c>
      <c r="L821" t="s">
        <v>8</v>
      </c>
      <c r="M821" t="s">
        <v>39</v>
      </c>
      <c r="N821" s="1">
        <f t="shared" si="72"/>
        <v>45620</v>
      </c>
      <c r="O821" s="4">
        <f t="shared" si="73"/>
        <v>5.0949653301175762E-2</v>
      </c>
      <c r="P821">
        <f t="shared" si="74"/>
        <v>1.3748520710059171</v>
      </c>
      <c r="Q821" s="2">
        <f t="shared" si="75"/>
        <v>8.0120689655172406</v>
      </c>
      <c r="R821" s="2">
        <f t="shared" si="76"/>
        <v>77.45</v>
      </c>
      <c r="S821" s="2">
        <f t="shared" si="77"/>
        <v>8.556057671616097</v>
      </c>
    </row>
    <row r="822" spans="1:19">
      <c r="A822" t="s">
        <v>875</v>
      </c>
      <c r="B822" t="s">
        <v>30</v>
      </c>
      <c r="C822">
        <v>120</v>
      </c>
      <c r="D822">
        <v>3235</v>
      </c>
      <c r="E822" s="2">
        <v>220.67</v>
      </c>
      <c r="F822">
        <v>11</v>
      </c>
      <c r="G822">
        <v>4</v>
      </c>
      <c r="H822">
        <v>4.5999999999999999E-2</v>
      </c>
      <c r="I822" s="3">
        <v>1890</v>
      </c>
      <c r="J822" s="1">
        <v>45613</v>
      </c>
      <c r="K822" t="s">
        <v>31</v>
      </c>
      <c r="L822" t="s">
        <v>8</v>
      </c>
      <c r="M822" t="s">
        <v>32</v>
      </c>
      <c r="N822" s="1">
        <f t="shared" si="72"/>
        <v>45613</v>
      </c>
      <c r="O822" s="4">
        <f t="shared" si="73"/>
        <v>3.7094281298299843E-2</v>
      </c>
      <c r="P822">
        <f t="shared" si="74"/>
        <v>1.8389166666666665</v>
      </c>
      <c r="Q822" s="2">
        <f t="shared" si="75"/>
        <v>20.060909090909089</v>
      </c>
      <c r="R822" s="2">
        <f t="shared" si="76"/>
        <v>55.167499999999997</v>
      </c>
      <c r="S822" s="2">
        <f t="shared" si="77"/>
        <v>8.5648253047537057</v>
      </c>
    </row>
    <row r="823" spans="1:19">
      <c r="A823" t="s">
        <v>876</v>
      </c>
      <c r="B823" t="s">
        <v>30</v>
      </c>
      <c r="C823">
        <v>139</v>
      </c>
      <c r="D823">
        <v>4823</v>
      </c>
      <c r="E823" s="2">
        <v>234.73</v>
      </c>
      <c r="F823">
        <v>30</v>
      </c>
      <c r="G823">
        <v>5</v>
      </c>
      <c r="H823">
        <v>4.5999999999999999E-2</v>
      </c>
      <c r="I823" s="3">
        <v>1361</v>
      </c>
      <c r="J823" s="1" t="s">
        <v>206</v>
      </c>
      <c r="K823" t="s">
        <v>31</v>
      </c>
      <c r="L823" t="s">
        <v>8</v>
      </c>
      <c r="M823" t="s">
        <v>39</v>
      </c>
      <c r="N823" s="1">
        <f t="shared" si="72"/>
        <v>45621</v>
      </c>
      <c r="O823" s="4">
        <f t="shared" si="73"/>
        <v>2.8820236367406177E-2</v>
      </c>
      <c r="P823">
        <f t="shared" si="74"/>
        <v>1.688705035971223</v>
      </c>
      <c r="Q823" s="2">
        <f t="shared" si="75"/>
        <v>7.8243333333333327</v>
      </c>
      <c r="R823" s="2">
        <f t="shared" si="76"/>
        <v>46.945999999999998</v>
      </c>
      <c r="S823" s="2">
        <f t="shared" si="77"/>
        <v>5.7981510671835732</v>
      </c>
    </row>
    <row r="824" spans="1:19" hidden="1">
      <c r="A824" t="s">
        <v>877</v>
      </c>
      <c r="B824" t="s">
        <v>30</v>
      </c>
      <c r="C824">
        <v>167</v>
      </c>
      <c r="D824">
        <v>4403</v>
      </c>
      <c r="E824" s="2">
        <v>189.36</v>
      </c>
      <c r="F824">
        <v>25</v>
      </c>
      <c r="G824">
        <v>4</v>
      </c>
      <c r="H824">
        <v>0.03</v>
      </c>
      <c r="I824" s="3">
        <v>1572</v>
      </c>
      <c r="J824" s="1">
        <v>45454</v>
      </c>
      <c r="K824" t="s">
        <v>31</v>
      </c>
      <c r="L824" t="s">
        <v>7</v>
      </c>
      <c r="M824" t="s">
        <v>32</v>
      </c>
      <c r="N824" s="1">
        <f t="shared" si="72"/>
        <v>45454</v>
      </c>
      <c r="O824" s="4">
        <f t="shared" si="73"/>
        <v>3.7928684987508517E-2</v>
      </c>
      <c r="P824">
        <f t="shared" si="74"/>
        <v>1.1338922155688624</v>
      </c>
      <c r="Q824" s="2">
        <f t="shared" si="75"/>
        <v>7.5744000000000007</v>
      </c>
      <c r="R824" s="2">
        <f t="shared" si="76"/>
        <v>47.34</v>
      </c>
      <c r="S824" s="2">
        <f t="shared" si="77"/>
        <v>8.3016476552598224</v>
      </c>
    </row>
    <row r="825" spans="1:19">
      <c r="A825" t="s">
        <v>878</v>
      </c>
      <c r="B825" t="s">
        <v>30</v>
      </c>
      <c r="C825">
        <v>101</v>
      </c>
      <c r="D825">
        <v>3530</v>
      </c>
      <c r="E825" s="2">
        <v>184.83</v>
      </c>
      <c r="F825">
        <v>22</v>
      </c>
      <c r="G825">
        <v>5</v>
      </c>
      <c r="H825">
        <v>4.5999999999999999E-2</v>
      </c>
      <c r="I825" s="3">
        <v>1802</v>
      </c>
      <c r="J825" s="1" t="s">
        <v>217</v>
      </c>
      <c r="K825" t="s">
        <v>31</v>
      </c>
      <c r="L825" t="s">
        <v>8</v>
      </c>
      <c r="M825" t="s">
        <v>32</v>
      </c>
      <c r="N825" s="1">
        <f t="shared" si="72"/>
        <v>45609</v>
      </c>
      <c r="O825" s="4">
        <f t="shared" si="73"/>
        <v>2.8611898016997168E-2</v>
      </c>
      <c r="P825">
        <f t="shared" si="74"/>
        <v>1.83</v>
      </c>
      <c r="Q825" s="2">
        <f t="shared" si="75"/>
        <v>8.4013636363636373</v>
      </c>
      <c r="R825" s="2">
        <f t="shared" si="76"/>
        <v>36.966000000000001</v>
      </c>
      <c r="S825" s="2">
        <f t="shared" si="77"/>
        <v>9.7494995401179452</v>
      </c>
    </row>
    <row r="826" spans="1:19" hidden="1">
      <c r="A826" t="s">
        <v>879</v>
      </c>
      <c r="B826" t="s">
        <v>30</v>
      </c>
      <c r="C826">
        <v>129</v>
      </c>
      <c r="D826">
        <v>4679</v>
      </c>
      <c r="E826" s="2">
        <v>239.21</v>
      </c>
      <c r="F826">
        <v>19</v>
      </c>
      <c r="G826">
        <v>3</v>
      </c>
      <c r="H826">
        <v>2.3E-2</v>
      </c>
      <c r="I826" s="3">
        <v>1215</v>
      </c>
      <c r="J826" s="1">
        <v>45600</v>
      </c>
      <c r="K826" t="s">
        <v>31</v>
      </c>
      <c r="L826" t="s">
        <v>8</v>
      </c>
      <c r="M826" t="s">
        <v>37</v>
      </c>
      <c r="N826" s="1">
        <f t="shared" si="72"/>
        <v>45600</v>
      </c>
      <c r="O826" s="4">
        <f t="shared" si="73"/>
        <v>2.7569993588373583E-2</v>
      </c>
      <c r="P826">
        <f t="shared" si="74"/>
        <v>1.8543410852713178</v>
      </c>
      <c r="Q826" s="2">
        <f t="shared" si="75"/>
        <v>12.59</v>
      </c>
      <c r="R826" s="2">
        <f t="shared" si="76"/>
        <v>79.736666666666665</v>
      </c>
      <c r="S826" s="2">
        <f t="shared" si="77"/>
        <v>5.0792190961916308</v>
      </c>
    </row>
    <row r="827" spans="1:19">
      <c r="A827" t="s">
        <v>880</v>
      </c>
      <c r="B827" t="s">
        <v>30</v>
      </c>
      <c r="C827">
        <v>153</v>
      </c>
      <c r="D827">
        <v>5396</v>
      </c>
      <c r="E827" s="2">
        <v>233.79</v>
      </c>
      <c r="F827">
        <v>13</v>
      </c>
      <c r="G827">
        <v>8</v>
      </c>
      <c r="H827">
        <v>4.5999999999999999E-2</v>
      </c>
      <c r="I827" s="3">
        <v>1571</v>
      </c>
      <c r="J827" s="1">
        <v>45302</v>
      </c>
      <c r="K827" t="s">
        <v>31</v>
      </c>
      <c r="L827" t="s">
        <v>8</v>
      </c>
      <c r="M827" t="s">
        <v>39</v>
      </c>
      <c r="N827" s="1">
        <f t="shared" si="72"/>
        <v>45302</v>
      </c>
      <c r="O827" s="4">
        <f t="shared" si="73"/>
        <v>2.8354336545589325E-2</v>
      </c>
      <c r="P827">
        <f t="shared" si="74"/>
        <v>1.5280392156862745</v>
      </c>
      <c r="Q827" s="2">
        <f t="shared" si="75"/>
        <v>17.983846153846152</v>
      </c>
      <c r="R827" s="2">
        <f t="shared" si="76"/>
        <v>29.223749999999999</v>
      </c>
      <c r="S827" s="2">
        <f t="shared" si="77"/>
        <v>6.7197057188074769</v>
      </c>
    </row>
    <row r="828" spans="1:19">
      <c r="A828" t="s">
        <v>881</v>
      </c>
      <c r="B828" t="s">
        <v>30</v>
      </c>
      <c r="C828">
        <v>139</v>
      </c>
      <c r="D828">
        <v>3976</v>
      </c>
      <c r="E828" s="2">
        <v>248.65</v>
      </c>
      <c r="F828">
        <v>16</v>
      </c>
      <c r="G828">
        <v>4</v>
      </c>
      <c r="H828">
        <v>4.5999999999999999E-2</v>
      </c>
      <c r="I828" s="3">
        <v>1160</v>
      </c>
      <c r="J828" s="1" t="s">
        <v>89</v>
      </c>
      <c r="K828" t="s">
        <v>31</v>
      </c>
      <c r="L828" t="s">
        <v>8</v>
      </c>
      <c r="M828" t="s">
        <v>39</v>
      </c>
      <c r="N828" s="1">
        <f t="shared" si="72"/>
        <v>45611</v>
      </c>
      <c r="O828" s="4">
        <f t="shared" si="73"/>
        <v>3.4959758551307847E-2</v>
      </c>
      <c r="P828">
        <f t="shared" si="74"/>
        <v>1.7888489208633094</v>
      </c>
      <c r="Q828" s="2">
        <f t="shared" si="75"/>
        <v>15.540625</v>
      </c>
      <c r="R828" s="2">
        <f t="shared" si="76"/>
        <v>62.162500000000001</v>
      </c>
      <c r="S828" s="2">
        <f t="shared" si="77"/>
        <v>4.665192036999799</v>
      </c>
    </row>
    <row r="829" spans="1:19" hidden="1">
      <c r="A829" t="s">
        <v>882</v>
      </c>
      <c r="B829" t="s">
        <v>30</v>
      </c>
      <c r="C829">
        <v>108</v>
      </c>
      <c r="D829">
        <v>5545</v>
      </c>
      <c r="E829" s="2">
        <v>209.82</v>
      </c>
      <c r="F829">
        <v>11</v>
      </c>
      <c r="G829">
        <v>8</v>
      </c>
      <c r="H829">
        <v>7.3999999999999996E-2</v>
      </c>
      <c r="I829" s="3">
        <v>1491</v>
      </c>
      <c r="J829" s="1">
        <v>45604</v>
      </c>
      <c r="K829" t="s">
        <v>31</v>
      </c>
      <c r="L829" t="s">
        <v>8</v>
      </c>
      <c r="M829" t="s">
        <v>46</v>
      </c>
      <c r="N829" s="1">
        <f t="shared" si="72"/>
        <v>45604</v>
      </c>
      <c r="O829" s="4">
        <f t="shared" si="73"/>
        <v>1.9477006311992787E-2</v>
      </c>
      <c r="P829">
        <f t="shared" si="74"/>
        <v>1.9427777777777777</v>
      </c>
      <c r="Q829" s="2">
        <f t="shared" si="75"/>
        <v>19.074545454545454</v>
      </c>
      <c r="R829" s="2">
        <f t="shared" si="76"/>
        <v>26.227499999999999</v>
      </c>
      <c r="S829" s="2">
        <f t="shared" si="77"/>
        <v>7.1060909350872175</v>
      </c>
    </row>
    <row r="830" spans="1:19" hidden="1">
      <c r="A830" t="s">
        <v>883</v>
      </c>
      <c r="B830" t="s">
        <v>30</v>
      </c>
      <c r="C830">
        <v>85</v>
      </c>
      <c r="D830">
        <v>4772</v>
      </c>
      <c r="E830" s="2">
        <v>211.62</v>
      </c>
      <c r="F830">
        <v>15</v>
      </c>
      <c r="G830">
        <v>10</v>
      </c>
      <c r="H830">
        <v>0.11799999999999999</v>
      </c>
      <c r="I830" s="3">
        <v>1669</v>
      </c>
      <c r="J830" s="1" t="s">
        <v>348</v>
      </c>
      <c r="K830" t="s">
        <v>31</v>
      </c>
      <c r="L830" t="s">
        <v>8</v>
      </c>
      <c r="M830" t="s">
        <v>32</v>
      </c>
      <c r="N830" s="1">
        <f t="shared" si="72"/>
        <v>45615</v>
      </c>
      <c r="O830" s="4">
        <f t="shared" si="73"/>
        <v>1.7812238055322716E-2</v>
      </c>
      <c r="P830">
        <f t="shared" si="74"/>
        <v>2.4896470588235293</v>
      </c>
      <c r="Q830" s="2">
        <f t="shared" si="75"/>
        <v>14.108000000000001</v>
      </c>
      <c r="R830" s="2">
        <f t="shared" si="76"/>
        <v>21.161999999999999</v>
      </c>
      <c r="S830" s="2">
        <f t="shared" si="77"/>
        <v>7.8867781873168887</v>
      </c>
    </row>
    <row r="831" spans="1:19" hidden="1">
      <c r="A831" t="s">
        <v>884</v>
      </c>
      <c r="B831" t="s">
        <v>30</v>
      </c>
      <c r="C831">
        <v>109</v>
      </c>
      <c r="D831">
        <v>4941</v>
      </c>
      <c r="E831" s="2">
        <v>242.54</v>
      </c>
      <c r="F831">
        <v>18</v>
      </c>
      <c r="G831">
        <v>9</v>
      </c>
      <c r="H831">
        <v>8.3000000000000004E-2</v>
      </c>
      <c r="I831" s="3">
        <v>1278</v>
      </c>
      <c r="J831" s="1">
        <v>45607</v>
      </c>
      <c r="K831" t="s">
        <v>31</v>
      </c>
      <c r="L831" t="s">
        <v>7</v>
      </c>
      <c r="M831" t="s">
        <v>39</v>
      </c>
      <c r="N831" s="1">
        <f t="shared" si="72"/>
        <v>45607</v>
      </c>
      <c r="O831" s="4">
        <f t="shared" si="73"/>
        <v>2.2060311677798018E-2</v>
      </c>
      <c r="P831">
        <f t="shared" si="74"/>
        <v>2.225137614678899</v>
      </c>
      <c r="Q831" s="2">
        <f t="shared" si="75"/>
        <v>13.474444444444444</v>
      </c>
      <c r="R831" s="2">
        <f t="shared" si="76"/>
        <v>26.948888888888888</v>
      </c>
      <c r="S831" s="2">
        <f t="shared" si="77"/>
        <v>5.2692339407932716</v>
      </c>
    </row>
    <row r="832" spans="1:19">
      <c r="A832" t="s">
        <v>885</v>
      </c>
      <c r="B832" t="s">
        <v>30</v>
      </c>
      <c r="C832">
        <v>119</v>
      </c>
      <c r="D832">
        <v>4369</v>
      </c>
      <c r="E832" s="2">
        <v>216.29</v>
      </c>
      <c r="F832">
        <v>16</v>
      </c>
      <c r="G832">
        <v>4</v>
      </c>
      <c r="H832">
        <v>4.5999999999999999E-2</v>
      </c>
      <c r="I832" s="3">
        <v>1505</v>
      </c>
      <c r="J832" s="1">
        <v>45618</v>
      </c>
      <c r="K832" t="s">
        <v>31</v>
      </c>
      <c r="L832" t="s">
        <v>9</v>
      </c>
      <c r="M832" t="s">
        <v>32</v>
      </c>
      <c r="N832" s="1">
        <f t="shared" si="72"/>
        <v>45618</v>
      </c>
      <c r="O832" s="4">
        <f t="shared" si="73"/>
        <v>2.7237354085603113E-2</v>
      </c>
      <c r="P832">
        <f t="shared" si="74"/>
        <v>1.8175630252100841</v>
      </c>
      <c r="Q832" s="2">
        <f t="shared" si="75"/>
        <v>13.518125</v>
      </c>
      <c r="R832" s="2">
        <f t="shared" si="76"/>
        <v>54.072499999999998</v>
      </c>
      <c r="S832" s="2">
        <f t="shared" si="77"/>
        <v>6.9582504970178931</v>
      </c>
    </row>
    <row r="833" spans="1:19" hidden="1">
      <c r="A833" t="s">
        <v>886</v>
      </c>
      <c r="B833" t="s">
        <v>30</v>
      </c>
      <c r="C833">
        <v>143</v>
      </c>
      <c r="D833">
        <v>5526</v>
      </c>
      <c r="E833" s="2">
        <v>185.94</v>
      </c>
      <c r="F833">
        <v>15</v>
      </c>
      <c r="G833">
        <v>8</v>
      </c>
      <c r="H833">
        <v>5.6000000000000001E-2</v>
      </c>
      <c r="I833" s="3">
        <v>1712</v>
      </c>
      <c r="J833" s="1" t="s">
        <v>206</v>
      </c>
      <c r="K833" t="s">
        <v>31</v>
      </c>
      <c r="L833" t="s">
        <v>7</v>
      </c>
      <c r="M833" t="s">
        <v>46</v>
      </c>
      <c r="N833" s="1">
        <f t="shared" si="72"/>
        <v>45621</v>
      </c>
      <c r="O833" s="4">
        <f t="shared" si="73"/>
        <v>2.5877669200144771E-2</v>
      </c>
      <c r="P833">
        <f t="shared" si="74"/>
        <v>1.3002797202797203</v>
      </c>
      <c r="Q833" s="2">
        <f t="shared" si="75"/>
        <v>12.395999999999999</v>
      </c>
      <c r="R833" s="2">
        <f t="shared" si="76"/>
        <v>23.2425</v>
      </c>
      <c r="S833" s="2">
        <f t="shared" si="77"/>
        <v>9.2072711627406694</v>
      </c>
    </row>
    <row r="834" spans="1:19" hidden="1">
      <c r="A834" t="s">
        <v>887</v>
      </c>
      <c r="B834" t="s">
        <v>30</v>
      </c>
      <c r="C834">
        <v>161</v>
      </c>
      <c r="D834">
        <v>5302</v>
      </c>
      <c r="E834" s="2">
        <v>184.29</v>
      </c>
      <c r="F834">
        <v>13</v>
      </c>
      <c r="G834">
        <v>8</v>
      </c>
      <c r="H834">
        <v>3.5999999999999997E-2</v>
      </c>
      <c r="I834" s="3">
        <v>1703</v>
      </c>
      <c r="J834" s="1" t="s">
        <v>64</v>
      </c>
      <c r="K834" t="s">
        <v>31</v>
      </c>
      <c r="L834" t="s">
        <v>9</v>
      </c>
      <c r="M834" t="s">
        <v>32</v>
      </c>
      <c r="N834" s="1">
        <f t="shared" ref="N834:N897" si="78">IF(A834="","",IF(ISNUMBER(J834),J834,IF(MID(J834,5,1)="-",DATE(LEFT(J834,4),MID(J834,6,2),RIGHT(J834,2)),IF(MID(J834,5,1)="/",DATE(LEFT(J834,4),MID(J834,6,2),RIGHT(J834,2)),DATE(RIGHT(J834,4),MID(J834,4,2),LEFT(J834,2))))))</f>
        <v>45626</v>
      </c>
      <c r="O834" s="4">
        <f t="shared" ref="O834:O897" si="79">IFERROR(C834/D834,0)</f>
        <v>3.0365899660505468E-2</v>
      </c>
      <c r="P834">
        <f t="shared" ref="P834:P897" si="80">IFERROR(E834/C834,0)</f>
        <v>1.1446583850931678</v>
      </c>
      <c r="Q834" s="2">
        <f t="shared" ref="Q834:Q897" si="81">IFERROR(E834/F834,0)</f>
        <v>14.176153846153845</v>
      </c>
      <c r="R834" s="2">
        <f t="shared" ref="R834:R897" si="82">IFERROR(E834/G834,0)</f>
        <v>23.036249999999999</v>
      </c>
      <c r="S834" s="2">
        <f t="shared" ref="S834:S897" si="83">IFERROR(I834/E834,0)</f>
        <v>9.2408703673557984</v>
      </c>
    </row>
    <row r="835" spans="1:19" hidden="1">
      <c r="A835" t="s">
        <v>888</v>
      </c>
      <c r="B835" t="s">
        <v>30</v>
      </c>
      <c r="C835">
        <v>146</v>
      </c>
      <c r="D835">
        <v>4424</v>
      </c>
      <c r="E835" s="2">
        <v>196.88</v>
      </c>
      <c r="F835">
        <v>20</v>
      </c>
      <c r="G835">
        <v>3</v>
      </c>
      <c r="H835">
        <v>2.1000000000000001E-2</v>
      </c>
      <c r="I835" s="3">
        <v>1757</v>
      </c>
      <c r="J835" s="1" t="s">
        <v>64</v>
      </c>
      <c r="K835" t="s">
        <v>31</v>
      </c>
      <c r="L835" t="s">
        <v>9</v>
      </c>
      <c r="M835" t="s">
        <v>41</v>
      </c>
      <c r="N835" s="1">
        <f t="shared" si="78"/>
        <v>45626</v>
      </c>
      <c r="O835" s="4">
        <f t="shared" si="79"/>
        <v>3.3001808318264013E-2</v>
      </c>
      <c r="P835">
        <f t="shared" si="80"/>
        <v>1.3484931506849316</v>
      </c>
      <c r="Q835" s="2">
        <f t="shared" si="81"/>
        <v>9.8439999999999994</v>
      </c>
      <c r="R835" s="2">
        <f t="shared" si="82"/>
        <v>65.626666666666665</v>
      </c>
      <c r="S835" s="2">
        <f t="shared" si="83"/>
        <v>8.9242177976432355</v>
      </c>
    </row>
    <row r="836" spans="1:19" hidden="1">
      <c r="A836" t="s">
        <v>889</v>
      </c>
      <c r="B836" t="s">
        <v>30</v>
      </c>
      <c r="C836">
        <v>82</v>
      </c>
      <c r="D836">
        <v>5971</v>
      </c>
      <c r="E836" s="2">
        <v>235.52</v>
      </c>
      <c r="F836">
        <v>14</v>
      </c>
      <c r="G836">
        <v>8</v>
      </c>
      <c r="H836">
        <v>9.8000000000000004E-2</v>
      </c>
      <c r="I836" s="3">
        <v>1568</v>
      </c>
      <c r="J836" s="1">
        <v>45454</v>
      </c>
      <c r="K836" t="s">
        <v>31</v>
      </c>
      <c r="L836" t="s">
        <v>8</v>
      </c>
      <c r="M836" t="s">
        <v>32</v>
      </c>
      <c r="N836" s="1">
        <f t="shared" si="78"/>
        <v>45454</v>
      </c>
      <c r="O836" s="4">
        <f t="shared" si="79"/>
        <v>1.3733043041366605E-2</v>
      </c>
      <c r="P836">
        <f t="shared" si="80"/>
        <v>2.8721951219512198</v>
      </c>
      <c r="Q836" s="2">
        <f t="shared" si="81"/>
        <v>16.822857142857142</v>
      </c>
      <c r="R836" s="2">
        <f t="shared" si="82"/>
        <v>29.44</v>
      </c>
      <c r="S836" s="2">
        <f t="shared" si="83"/>
        <v>6.6576086956521738</v>
      </c>
    </row>
    <row r="837" spans="1:19" hidden="1">
      <c r="A837" t="s">
        <v>890</v>
      </c>
      <c r="B837" t="s">
        <v>30</v>
      </c>
      <c r="C837">
        <v>88</v>
      </c>
      <c r="D837">
        <v>3733</v>
      </c>
      <c r="E837" s="2">
        <v>244.35</v>
      </c>
      <c r="F837">
        <v>12</v>
      </c>
      <c r="G837">
        <v>8</v>
      </c>
      <c r="H837">
        <v>9.0999999999999998E-2</v>
      </c>
      <c r="I837" s="3">
        <v>1622</v>
      </c>
      <c r="J837" s="1">
        <v>45623</v>
      </c>
      <c r="K837" t="s">
        <v>31</v>
      </c>
      <c r="L837" t="s">
        <v>8</v>
      </c>
      <c r="M837" t="s">
        <v>41</v>
      </c>
      <c r="N837" s="1">
        <f t="shared" si="78"/>
        <v>45623</v>
      </c>
      <c r="O837" s="4">
        <f t="shared" si="79"/>
        <v>2.3573533351192069E-2</v>
      </c>
      <c r="P837">
        <f t="shared" si="80"/>
        <v>2.7767045454545456</v>
      </c>
      <c r="Q837" s="2">
        <f t="shared" si="81"/>
        <v>20.362500000000001</v>
      </c>
      <c r="R837" s="2">
        <f t="shared" si="82"/>
        <v>30.543749999999999</v>
      </c>
      <c r="S837" s="2">
        <f t="shared" si="83"/>
        <v>6.6380192347043181</v>
      </c>
    </row>
    <row r="838" spans="1:19" hidden="1">
      <c r="A838" t="s">
        <v>891</v>
      </c>
      <c r="B838" t="s">
        <v>30</v>
      </c>
      <c r="C838">
        <v>127</v>
      </c>
      <c r="D838">
        <v>4403</v>
      </c>
      <c r="E838" s="2">
        <v>244.3</v>
      </c>
      <c r="F838">
        <v>15</v>
      </c>
      <c r="G838">
        <v>7</v>
      </c>
      <c r="H838">
        <v>5.5E-2</v>
      </c>
      <c r="I838" s="3">
        <v>1832</v>
      </c>
      <c r="J838" s="1" t="s">
        <v>73</v>
      </c>
      <c r="K838" t="s">
        <v>31</v>
      </c>
      <c r="L838" t="s">
        <v>9</v>
      </c>
      <c r="M838" t="s">
        <v>35</v>
      </c>
      <c r="N838" s="1">
        <f t="shared" si="78"/>
        <v>45618</v>
      </c>
      <c r="O838" s="4">
        <f t="shared" si="79"/>
        <v>2.8843970020440608E-2</v>
      </c>
      <c r="P838">
        <f t="shared" si="80"/>
        <v>1.9236220472440946</v>
      </c>
      <c r="Q838" s="2">
        <f t="shared" si="81"/>
        <v>16.286666666666669</v>
      </c>
      <c r="R838" s="2">
        <f t="shared" si="82"/>
        <v>34.9</v>
      </c>
      <c r="S838" s="2">
        <f t="shared" si="83"/>
        <v>7.4989766680311085</v>
      </c>
    </row>
    <row r="839" spans="1:19" hidden="1">
      <c r="A839" t="s">
        <v>892</v>
      </c>
      <c r="B839" t="s">
        <v>30</v>
      </c>
      <c r="C839">
        <v>179</v>
      </c>
      <c r="D839">
        <v>5118</v>
      </c>
      <c r="E839" s="2">
        <v>189.59</v>
      </c>
      <c r="F839">
        <v>15</v>
      </c>
      <c r="G839">
        <v>6</v>
      </c>
      <c r="H839">
        <v>3.4000000000000002E-2</v>
      </c>
      <c r="I839" s="3">
        <v>1892</v>
      </c>
      <c r="J839" s="1">
        <v>45624</v>
      </c>
      <c r="K839" t="s">
        <v>31</v>
      </c>
      <c r="L839" t="s">
        <v>9</v>
      </c>
      <c r="M839" t="s">
        <v>35</v>
      </c>
      <c r="N839" s="1">
        <f t="shared" si="78"/>
        <v>45624</v>
      </c>
      <c r="O839" s="4">
        <f t="shared" si="79"/>
        <v>3.4974599452911294E-2</v>
      </c>
      <c r="P839">
        <f t="shared" si="80"/>
        <v>1.0591620111731843</v>
      </c>
      <c r="Q839" s="2">
        <f t="shared" si="81"/>
        <v>12.639333333333333</v>
      </c>
      <c r="R839" s="2">
        <f t="shared" si="82"/>
        <v>31.598333333333333</v>
      </c>
      <c r="S839" s="2">
        <f t="shared" si="83"/>
        <v>9.9794292947940288</v>
      </c>
    </row>
    <row r="840" spans="1:19" hidden="1">
      <c r="A840" t="s">
        <v>893</v>
      </c>
      <c r="B840" t="s">
        <v>30</v>
      </c>
      <c r="C840">
        <v>199</v>
      </c>
      <c r="D840">
        <v>4407</v>
      </c>
      <c r="E840" s="2">
        <v>240.05</v>
      </c>
      <c r="F840">
        <v>21</v>
      </c>
      <c r="G840">
        <v>9</v>
      </c>
      <c r="H840">
        <v>4.4999999999999998E-2</v>
      </c>
      <c r="I840" s="3">
        <v>1054</v>
      </c>
      <c r="J840" s="1" t="s">
        <v>217</v>
      </c>
      <c r="K840" t="s">
        <v>31</v>
      </c>
      <c r="L840" t="s">
        <v>7</v>
      </c>
      <c r="M840" t="s">
        <v>37</v>
      </c>
      <c r="N840" s="1">
        <f t="shared" si="78"/>
        <v>45609</v>
      </c>
      <c r="O840" s="4">
        <f t="shared" si="79"/>
        <v>4.5155434535965509E-2</v>
      </c>
      <c r="P840">
        <f t="shared" si="80"/>
        <v>1.2062814070351759</v>
      </c>
      <c r="Q840" s="2">
        <f t="shared" si="81"/>
        <v>11.430952380952382</v>
      </c>
      <c r="R840" s="2">
        <f t="shared" si="82"/>
        <v>26.672222222222224</v>
      </c>
      <c r="S840" s="2">
        <f t="shared" si="83"/>
        <v>4.3907519266819408</v>
      </c>
    </row>
    <row r="841" spans="1:19" hidden="1">
      <c r="A841" t="s">
        <v>894</v>
      </c>
      <c r="B841" t="s">
        <v>30</v>
      </c>
      <c r="C841">
        <v>191</v>
      </c>
      <c r="D841">
        <v>3190</v>
      </c>
      <c r="E841" s="2">
        <v>211.1</v>
      </c>
      <c r="F841">
        <v>10</v>
      </c>
      <c r="G841">
        <v>7</v>
      </c>
      <c r="H841">
        <v>3.6999999999999998E-2</v>
      </c>
      <c r="I841" s="3">
        <v>1505</v>
      </c>
      <c r="J841" s="1" t="s">
        <v>73</v>
      </c>
      <c r="K841" t="s">
        <v>31</v>
      </c>
      <c r="L841" t="s">
        <v>9</v>
      </c>
      <c r="M841" t="s">
        <v>32</v>
      </c>
      <c r="N841" s="1">
        <f t="shared" si="78"/>
        <v>45618</v>
      </c>
      <c r="O841" s="4">
        <f t="shared" si="79"/>
        <v>5.9874608150470222E-2</v>
      </c>
      <c r="P841">
        <f t="shared" si="80"/>
        <v>1.1052356020942409</v>
      </c>
      <c r="Q841" s="2">
        <f t="shared" si="81"/>
        <v>21.11</v>
      </c>
      <c r="R841" s="2">
        <f t="shared" si="82"/>
        <v>30.157142857142855</v>
      </c>
      <c r="S841" s="2">
        <f t="shared" si="83"/>
        <v>7.1293225959261015</v>
      </c>
    </row>
    <row r="842" spans="1:19">
      <c r="A842" t="s">
        <v>895</v>
      </c>
      <c r="B842" t="s">
        <v>30</v>
      </c>
      <c r="C842">
        <v>99</v>
      </c>
      <c r="D842">
        <v>4880</v>
      </c>
      <c r="E842" s="2">
        <v>245.13</v>
      </c>
      <c r="F842">
        <v>25</v>
      </c>
      <c r="G842">
        <v>8</v>
      </c>
      <c r="H842">
        <v>4.5999999999999999E-2</v>
      </c>
      <c r="I842" s="3">
        <v>1236</v>
      </c>
      <c r="J842" s="1">
        <v>45615</v>
      </c>
      <c r="K842" t="s">
        <v>31</v>
      </c>
      <c r="L842" t="s">
        <v>9</v>
      </c>
      <c r="M842" t="s">
        <v>35</v>
      </c>
      <c r="N842" s="1">
        <f t="shared" si="78"/>
        <v>45615</v>
      </c>
      <c r="O842" s="4">
        <f t="shared" si="79"/>
        <v>2.028688524590164E-2</v>
      </c>
      <c r="P842">
        <f t="shared" si="80"/>
        <v>2.4760606060606061</v>
      </c>
      <c r="Q842" s="2">
        <f t="shared" si="81"/>
        <v>9.8051999999999992</v>
      </c>
      <c r="R842" s="2">
        <f t="shared" si="82"/>
        <v>30.641249999999999</v>
      </c>
      <c r="S842" s="2">
        <f t="shared" si="83"/>
        <v>5.0422224941867579</v>
      </c>
    </row>
    <row r="843" spans="1:19">
      <c r="A843" t="s">
        <v>896</v>
      </c>
      <c r="B843" t="s">
        <v>30</v>
      </c>
      <c r="C843">
        <v>122</v>
      </c>
      <c r="D843">
        <v>5774</v>
      </c>
      <c r="E843" s="2">
        <v>224.4</v>
      </c>
      <c r="F843">
        <v>23</v>
      </c>
      <c r="G843">
        <v>10</v>
      </c>
      <c r="H843">
        <v>4.5999999999999999E-2</v>
      </c>
      <c r="I843" s="3">
        <v>1330</v>
      </c>
      <c r="J843" s="1">
        <v>45610</v>
      </c>
      <c r="K843" t="s">
        <v>31</v>
      </c>
      <c r="L843" t="s">
        <v>8</v>
      </c>
      <c r="M843" t="s">
        <v>32</v>
      </c>
      <c r="N843" s="1">
        <f t="shared" si="78"/>
        <v>45610</v>
      </c>
      <c r="O843" s="4">
        <f t="shared" si="79"/>
        <v>2.1129199861447869E-2</v>
      </c>
      <c r="P843">
        <f t="shared" si="80"/>
        <v>1.839344262295082</v>
      </c>
      <c r="Q843" s="2">
        <f t="shared" si="81"/>
        <v>9.7565217391304344</v>
      </c>
      <c r="R843" s="2">
        <f t="shared" si="82"/>
        <v>22.44</v>
      </c>
      <c r="S843" s="2">
        <f t="shared" si="83"/>
        <v>5.9269162210338679</v>
      </c>
    </row>
    <row r="844" spans="1:19" hidden="1">
      <c r="A844" t="s">
        <v>897</v>
      </c>
      <c r="B844" t="s">
        <v>30</v>
      </c>
      <c r="C844">
        <v>178</v>
      </c>
      <c r="D844">
        <v>4103</v>
      </c>
      <c r="E844" s="2">
        <v>207.23</v>
      </c>
      <c r="F844">
        <v>17</v>
      </c>
      <c r="G844">
        <v>8</v>
      </c>
      <c r="H844">
        <v>4.4999999999999998E-2</v>
      </c>
      <c r="I844" s="3">
        <v>1612</v>
      </c>
      <c r="J844" s="1">
        <v>45611</v>
      </c>
      <c r="K844" t="s">
        <v>31</v>
      </c>
      <c r="L844" t="s">
        <v>8</v>
      </c>
      <c r="M844" t="s">
        <v>46</v>
      </c>
      <c r="N844" s="1">
        <f t="shared" si="78"/>
        <v>45611</v>
      </c>
      <c r="O844" s="4">
        <f t="shared" si="79"/>
        <v>4.3382890567877162E-2</v>
      </c>
      <c r="P844">
        <f t="shared" si="80"/>
        <v>1.1642134831460673</v>
      </c>
      <c r="Q844" s="2">
        <f t="shared" si="81"/>
        <v>12.19</v>
      </c>
      <c r="R844" s="2">
        <f t="shared" si="82"/>
        <v>25.903749999999999</v>
      </c>
      <c r="S844" s="2">
        <f t="shared" si="83"/>
        <v>7.7787965062973514</v>
      </c>
    </row>
    <row r="845" spans="1:19" hidden="1">
      <c r="A845" t="s">
        <v>898</v>
      </c>
      <c r="B845" t="s">
        <v>30</v>
      </c>
      <c r="C845">
        <v>157</v>
      </c>
      <c r="D845">
        <v>4414</v>
      </c>
      <c r="E845" s="2">
        <v>240.57</v>
      </c>
      <c r="F845">
        <v>17</v>
      </c>
      <c r="G845">
        <v>9</v>
      </c>
      <c r="H845">
        <v>5.7000000000000002E-2</v>
      </c>
      <c r="I845" s="3">
        <v>1483</v>
      </c>
      <c r="J845" s="1">
        <v>45623</v>
      </c>
      <c r="K845" t="s">
        <v>31</v>
      </c>
      <c r="L845" t="s">
        <v>7</v>
      </c>
      <c r="M845" t="s">
        <v>32</v>
      </c>
      <c r="N845" s="1">
        <f t="shared" si="78"/>
        <v>45623</v>
      </c>
      <c r="O845" s="4">
        <f t="shared" si="79"/>
        <v>3.5568645219755321E-2</v>
      </c>
      <c r="P845">
        <f t="shared" si="80"/>
        <v>1.5322929936305731</v>
      </c>
      <c r="Q845" s="2">
        <f t="shared" si="81"/>
        <v>14.151176470588235</v>
      </c>
      <c r="R845" s="2">
        <f t="shared" si="82"/>
        <v>26.73</v>
      </c>
      <c r="S845" s="2">
        <f t="shared" si="83"/>
        <v>6.1645259176123375</v>
      </c>
    </row>
    <row r="846" spans="1:19" hidden="1">
      <c r="A846" t="s">
        <v>899</v>
      </c>
      <c r="B846" t="s">
        <v>30</v>
      </c>
      <c r="C846">
        <v>199</v>
      </c>
      <c r="D846">
        <v>5319</v>
      </c>
      <c r="E846" s="2">
        <v>216.7</v>
      </c>
      <c r="F846">
        <v>25</v>
      </c>
      <c r="G846">
        <v>9</v>
      </c>
      <c r="H846">
        <v>4.4999999999999998E-2</v>
      </c>
      <c r="I846" s="3">
        <v>1505</v>
      </c>
      <c r="J846" s="1">
        <v>45302</v>
      </c>
      <c r="K846" t="s">
        <v>31</v>
      </c>
      <c r="L846" t="s">
        <v>7</v>
      </c>
      <c r="M846" t="s">
        <v>41</v>
      </c>
      <c r="N846" s="1">
        <f t="shared" si="78"/>
        <v>45302</v>
      </c>
      <c r="O846" s="4">
        <f t="shared" si="79"/>
        <v>3.7413047565331828E-2</v>
      </c>
      <c r="P846">
        <f t="shared" si="80"/>
        <v>1.0889447236180905</v>
      </c>
      <c r="Q846" s="2">
        <f t="shared" si="81"/>
        <v>8.6679999999999993</v>
      </c>
      <c r="R846" s="2">
        <f t="shared" si="82"/>
        <v>24.077777777777776</v>
      </c>
      <c r="S846" s="2">
        <f t="shared" si="83"/>
        <v>6.9450853714813112</v>
      </c>
    </row>
    <row r="847" spans="1:19" hidden="1">
      <c r="A847" t="s">
        <v>900</v>
      </c>
      <c r="B847" t="s">
        <v>30</v>
      </c>
      <c r="C847">
        <v>192</v>
      </c>
      <c r="D847">
        <v>3320</v>
      </c>
      <c r="E847" s="2">
        <v>208.09</v>
      </c>
      <c r="F847">
        <v>17</v>
      </c>
      <c r="G847">
        <v>3</v>
      </c>
      <c r="H847">
        <v>1.6E-2</v>
      </c>
      <c r="I847" s="3">
        <v>1169</v>
      </c>
      <c r="J847" s="1" t="s">
        <v>105</v>
      </c>
      <c r="K847" t="s">
        <v>31</v>
      </c>
      <c r="L847" t="s">
        <v>8</v>
      </c>
      <c r="M847" t="s">
        <v>39</v>
      </c>
      <c r="N847" s="1">
        <f t="shared" si="78"/>
        <v>45614</v>
      </c>
      <c r="O847" s="4">
        <f t="shared" si="79"/>
        <v>5.7831325301204821E-2</v>
      </c>
      <c r="P847">
        <f t="shared" si="80"/>
        <v>1.0838020833333333</v>
      </c>
      <c r="Q847" s="2">
        <f t="shared" si="81"/>
        <v>12.240588235294117</v>
      </c>
      <c r="R847" s="2">
        <f t="shared" si="82"/>
        <v>69.36333333333333</v>
      </c>
      <c r="S847" s="2">
        <f t="shared" si="83"/>
        <v>5.6177615454851262</v>
      </c>
    </row>
    <row r="848" spans="1:19" hidden="1">
      <c r="A848" t="s">
        <v>901</v>
      </c>
      <c r="B848" t="s">
        <v>30</v>
      </c>
      <c r="C848">
        <v>144</v>
      </c>
      <c r="D848">
        <v>4146</v>
      </c>
      <c r="E848" s="2">
        <v>246.1</v>
      </c>
      <c r="F848">
        <v>18</v>
      </c>
      <c r="G848">
        <v>10</v>
      </c>
      <c r="H848">
        <v>6.9000000000000006E-2</v>
      </c>
      <c r="I848" s="3">
        <v>1074</v>
      </c>
      <c r="J848" s="1" t="s">
        <v>89</v>
      </c>
      <c r="K848" t="s">
        <v>31</v>
      </c>
      <c r="L848" t="s">
        <v>7</v>
      </c>
      <c r="M848" t="s">
        <v>46</v>
      </c>
      <c r="N848" s="1">
        <f t="shared" si="78"/>
        <v>45611</v>
      </c>
      <c r="O848" s="4">
        <f t="shared" si="79"/>
        <v>3.4732272069464547E-2</v>
      </c>
      <c r="P848">
        <f t="shared" si="80"/>
        <v>1.7090277777777778</v>
      </c>
      <c r="Q848" s="2">
        <f t="shared" si="81"/>
        <v>13.672222222222222</v>
      </c>
      <c r="R848" s="2">
        <f t="shared" si="82"/>
        <v>24.61</v>
      </c>
      <c r="S848" s="2">
        <f t="shared" si="83"/>
        <v>4.36407964242178</v>
      </c>
    </row>
    <row r="849" spans="1:19">
      <c r="A849" t="s">
        <v>902</v>
      </c>
      <c r="B849" t="s">
        <v>30</v>
      </c>
      <c r="C849">
        <v>147</v>
      </c>
      <c r="D849">
        <v>4720</v>
      </c>
      <c r="E849" s="2">
        <v>227.6</v>
      </c>
      <c r="F849">
        <v>23</v>
      </c>
      <c r="G849">
        <v>8</v>
      </c>
      <c r="H849">
        <v>4.5999999999999999E-2</v>
      </c>
      <c r="I849" s="3">
        <v>1907</v>
      </c>
      <c r="J849" s="1">
        <v>45601</v>
      </c>
      <c r="K849" t="s">
        <v>31</v>
      </c>
      <c r="L849" t="s">
        <v>9</v>
      </c>
      <c r="M849" t="s">
        <v>41</v>
      </c>
      <c r="N849" s="1">
        <f t="shared" si="78"/>
        <v>45601</v>
      </c>
      <c r="O849" s="4">
        <f t="shared" si="79"/>
        <v>3.1144067796610171E-2</v>
      </c>
      <c r="P849">
        <f t="shared" si="80"/>
        <v>1.5482993197278911</v>
      </c>
      <c r="Q849" s="2">
        <f t="shared" si="81"/>
        <v>9.8956521739130441</v>
      </c>
      <c r="R849" s="2">
        <f t="shared" si="82"/>
        <v>28.45</v>
      </c>
      <c r="S849" s="2">
        <f t="shared" si="83"/>
        <v>8.3787346221441119</v>
      </c>
    </row>
    <row r="850" spans="1:19">
      <c r="A850" t="s">
        <v>903</v>
      </c>
      <c r="B850" t="s">
        <v>30</v>
      </c>
      <c r="C850">
        <v>121</v>
      </c>
      <c r="D850">
        <v>3557</v>
      </c>
      <c r="E850" s="2">
        <v>237.03</v>
      </c>
      <c r="F850">
        <v>16</v>
      </c>
      <c r="G850">
        <v>7</v>
      </c>
      <c r="H850">
        <v>4.5999999999999999E-2</v>
      </c>
      <c r="I850" s="3">
        <v>1255</v>
      </c>
      <c r="J850" s="1">
        <v>45621</v>
      </c>
      <c r="K850" t="s">
        <v>31</v>
      </c>
      <c r="L850" t="s">
        <v>8</v>
      </c>
      <c r="M850" t="s">
        <v>37</v>
      </c>
      <c r="N850" s="1">
        <f t="shared" si="78"/>
        <v>45621</v>
      </c>
      <c r="O850" s="4">
        <f t="shared" si="79"/>
        <v>3.4017430418892325E-2</v>
      </c>
      <c r="P850">
        <f t="shared" si="80"/>
        <v>1.9589256198347107</v>
      </c>
      <c r="Q850" s="2">
        <f t="shared" si="81"/>
        <v>14.814375</v>
      </c>
      <c r="R850" s="2">
        <f t="shared" si="82"/>
        <v>33.861428571428569</v>
      </c>
      <c r="S850" s="2">
        <f t="shared" si="83"/>
        <v>5.2946884360629456</v>
      </c>
    </row>
    <row r="851" spans="1:19" hidden="1">
      <c r="A851" t="s">
        <v>904</v>
      </c>
      <c r="B851" t="s">
        <v>30</v>
      </c>
      <c r="C851">
        <v>193</v>
      </c>
      <c r="D851">
        <v>5899</v>
      </c>
      <c r="E851" s="2">
        <v>227.24</v>
      </c>
      <c r="F851">
        <v>12</v>
      </c>
      <c r="G851">
        <v>9</v>
      </c>
      <c r="H851">
        <v>4.2000000000000003E-2</v>
      </c>
      <c r="I851" s="3">
        <v>1832</v>
      </c>
      <c r="J851" s="1">
        <v>45333</v>
      </c>
      <c r="K851" t="s">
        <v>31</v>
      </c>
      <c r="L851" t="s">
        <v>7</v>
      </c>
      <c r="M851" t="s">
        <v>46</v>
      </c>
      <c r="N851" s="1">
        <f t="shared" si="78"/>
        <v>45333</v>
      </c>
      <c r="O851" s="4">
        <f t="shared" si="79"/>
        <v>3.271740973046279E-2</v>
      </c>
      <c r="P851">
        <f t="shared" si="80"/>
        <v>1.1774093264248706</v>
      </c>
      <c r="Q851" s="2">
        <f t="shared" si="81"/>
        <v>18.936666666666667</v>
      </c>
      <c r="R851" s="2">
        <f t="shared" si="82"/>
        <v>25.248888888888889</v>
      </c>
      <c r="S851" s="2">
        <f t="shared" si="83"/>
        <v>8.0619609223728208</v>
      </c>
    </row>
    <row r="852" spans="1:19" hidden="1">
      <c r="A852" t="s">
        <v>905</v>
      </c>
      <c r="B852" t="s">
        <v>30</v>
      </c>
      <c r="C852">
        <v>170</v>
      </c>
      <c r="D852">
        <v>4968</v>
      </c>
      <c r="E852" s="2">
        <v>216.78</v>
      </c>
      <c r="F852">
        <v>21</v>
      </c>
      <c r="G852">
        <v>5</v>
      </c>
      <c r="H852">
        <v>4.4999999999999998E-2</v>
      </c>
      <c r="I852" s="3">
        <v>1997</v>
      </c>
      <c r="J852" s="1">
        <v>45620</v>
      </c>
      <c r="K852" t="s">
        <v>31</v>
      </c>
      <c r="L852" t="s">
        <v>9</v>
      </c>
      <c r="M852" t="s">
        <v>35</v>
      </c>
      <c r="N852" s="1">
        <f t="shared" si="78"/>
        <v>45620</v>
      </c>
      <c r="O852" s="4">
        <f t="shared" si="79"/>
        <v>3.4219001610305957E-2</v>
      </c>
      <c r="P852">
        <f t="shared" si="80"/>
        <v>1.2751764705882354</v>
      </c>
      <c r="Q852" s="2">
        <f t="shared" si="81"/>
        <v>10.322857142857142</v>
      </c>
      <c r="R852" s="2">
        <f t="shared" si="82"/>
        <v>43.356000000000002</v>
      </c>
      <c r="S852" s="2">
        <f t="shared" si="83"/>
        <v>9.212104437678752</v>
      </c>
    </row>
    <row r="853" spans="1:19" hidden="1">
      <c r="A853" t="s">
        <v>906</v>
      </c>
      <c r="B853" t="s">
        <v>30</v>
      </c>
      <c r="C853">
        <v>198</v>
      </c>
      <c r="D853">
        <v>5934</v>
      </c>
      <c r="E853" s="2">
        <v>199.61</v>
      </c>
      <c r="F853">
        <v>14</v>
      </c>
      <c r="G853">
        <v>6</v>
      </c>
      <c r="H853">
        <v>0.03</v>
      </c>
      <c r="I853" s="3">
        <v>1505</v>
      </c>
      <c r="J853" s="1" t="s">
        <v>217</v>
      </c>
      <c r="K853" t="s">
        <v>31</v>
      </c>
      <c r="L853" t="s">
        <v>9</v>
      </c>
      <c r="M853" t="s">
        <v>32</v>
      </c>
      <c r="N853" s="1">
        <f t="shared" si="78"/>
        <v>45609</v>
      </c>
      <c r="O853" s="4">
        <f t="shared" si="79"/>
        <v>3.3367037411526794E-2</v>
      </c>
      <c r="P853">
        <f t="shared" si="80"/>
        <v>1.0081313131313132</v>
      </c>
      <c r="Q853" s="2">
        <f t="shared" si="81"/>
        <v>14.257857142857144</v>
      </c>
      <c r="R853" s="2">
        <f t="shared" si="82"/>
        <v>33.268333333333338</v>
      </c>
      <c r="S853" s="2">
        <f t="shared" si="83"/>
        <v>7.5397024197184503</v>
      </c>
    </row>
    <row r="854" spans="1:19" hidden="1">
      <c r="A854" t="s">
        <v>907</v>
      </c>
      <c r="B854" t="s">
        <v>30</v>
      </c>
      <c r="C854">
        <v>133</v>
      </c>
      <c r="D854">
        <v>4078</v>
      </c>
      <c r="E854" s="2">
        <v>189.42</v>
      </c>
      <c r="F854">
        <v>21</v>
      </c>
      <c r="G854">
        <v>6</v>
      </c>
      <c r="H854">
        <v>4.4999999999999998E-2</v>
      </c>
      <c r="I854" s="3">
        <v>1969</v>
      </c>
      <c r="J854" s="1" t="s">
        <v>94</v>
      </c>
      <c r="K854" t="s">
        <v>31</v>
      </c>
      <c r="L854" t="s">
        <v>7</v>
      </c>
      <c r="M854" t="s">
        <v>37</v>
      </c>
      <c r="N854" s="1">
        <f t="shared" si="78"/>
        <v>45617</v>
      </c>
      <c r="O854" s="4">
        <f t="shared" si="79"/>
        <v>3.2614026483570376E-2</v>
      </c>
      <c r="P854">
        <f t="shared" si="80"/>
        <v>1.4242105263157894</v>
      </c>
      <c r="Q854" s="2">
        <f t="shared" si="81"/>
        <v>9.02</v>
      </c>
      <c r="R854" s="2">
        <f t="shared" si="82"/>
        <v>31.569999999999997</v>
      </c>
      <c r="S854" s="2">
        <f t="shared" si="83"/>
        <v>10.394889663182347</v>
      </c>
    </row>
    <row r="855" spans="1:19" hidden="1">
      <c r="A855" t="s">
        <v>908</v>
      </c>
      <c r="B855" t="s">
        <v>30</v>
      </c>
      <c r="C855">
        <v>82</v>
      </c>
      <c r="D855">
        <v>4163</v>
      </c>
      <c r="E855" s="2">
        <v>208.08</v>
      </c>
      <c r="F855">
        <v>30</v>
      </c>
      <c r="G855">
        <v>8</v>
      </c>
      <c r="H855">
        <v>9.8000000000000004E-2</v>
      </c>
      <c r="I855" s="3">
        <v>1297</v>
      </c>
      <c r="J855" s="1">
        <v>45600</v>
      </c>
      <c r="K855" t="s">
        <v>31</v>
      </c>
      <c r="L855" t="s">
        <v>8</v>
      </c>
      <c r="M855" t="s">
        <v>35</v>
      </c>
      <c r="N855" s="1">
        <f t="shared" si="78"/>
        <v>45600</v>
      </c>
      <c r="O855" s="4">
        <f t="shared" si="79"/>
        <v>1.969733365361518E-2</v>
      </c>
      <c r="P855">
        <f t="shared" si="80"/>
        <v>2.5375609756097561</v>
      </c>
      <c r="Q855" s="2">
        <f t="shared" si="81"/>
        <v>6.9360000000000008</v>
      </c>
      <c r="R855" s="2">
        <f t="shared" si="82"/>
        <v>26.01</v>
      </c>
      <c r="S855" s="2">
        <f t="shared" si="83"/>
        <v>6.2331795463283353</v>
      </c>
    </row>
    <row r="856" spans="1:19" hidden="1">
      <c r="A856" t="s">
        <v>909</v>
      </c>
      <c r="B856" t="s">
        <v>30</v>
      </c>
      <c r="C856">
        <v>90</v>
      </c>
      <c r="D856">
        <v>4330</v>
      </c>
      <c r="E856" s="2">
        <v>249.24</v>
      </c>
      <c r="F856">
        <v>20</v>
      </c>
      <c r="G856">
        <v>4</v>
      </c>
      <c r="H856">
        <v>4.3999999999999997E-2</v>
      </c>
      <c r="I856" s="3">
        <v>1618</v>
      </c>
      <c r="J856" s="1">
        <v>45611</v>
      </c>
      <c r="K856" t="s">
        <v>31</v>
      </c>
      <c r="L856" t="s">
        <v>9</v>
      </c>
      <c r="M856" t="s">
        <v>39</v>
      </c>
      <c r="N856" s="1">
        <f t="shared" si="78"/>
        <v>45611</v>
      </c>
      <c r="O856" s="4">
        <f t="shared" si="79"/>
        <v>2.0785219399538105E-2</v>
      </c>
      <c r="P856">
        <f t="shared" si="80"/>
        <v>2.7693333333333334</v>
      </c>
      <c r="Q856" s="2">
        <f t="shared" si="81"/>
        <v>12.462</v>
      </c>
      <c r="R856" s="2">
        <f t="shared" si="82"/>
        <v>62.31</v>
      </c>
      <c r="S856" s="2">
        <f t="shared" si="83"/>
        <v>6.4917348740170118</v>
      </c>
    </row>
    <row r="857" spans="1:19" hidden="1">
      <c r="A857" t="s">
        <v>910</v>
      </c>
      <c r="B857" t="s">
        <v>30</v>
      </c>
      <c r="C857">
        <v>122</v>
      </c>
      <c r="D857">
        <v>5882</v>
      </c>
      <c r="E857" s="2">
        <v>189.76</v>
      </c>
      <c r="F857">
        <v>25</v>
      </c>
      <c r="G857">
        <v>7</v>
      </c>
      <c r="H857">
        <v>5.7000000000000002E-2</v>
      </c>
      <c r="I857" s="3">
        <v>1357</v>
      </c>
      <c r="J857" s="1">
        <v>45621</v>
      </c>
      <c r="K857" t="s">
        <v>31</v>
      </c>
      <c r="L857" t="s">
        <v>9</v>
      </c>
      <c r="M857" t="s">
        <v>46</v>
      </c>
      <c r="N857" s="1">
        <f t="shared" si="78"/>
        <v>45621</v>
      </c>
      <c r="O857" s="4">
        <f t="shared" si="79"/>
        <v>2.0741244474668481E-2</v>
      </c>
      <c r="P857">
        <f t="shared" si="80"/>
        <v>1.5554098360655737</v>
      </c>
      <c r="Q857" s="2">
        <f t="shared" si="81"/>
        <v>7.5903999999999998</v>
      </c>
      <c r="R857" s="2">
        <f t="shared" si="82"/>
        <v>27.108571428571427</v>
      </c>
      <c r="S857" s="2">
        <f t="shared" si="83"/>
        <v>7.1511382799325469</v>
      </c>
    </row>
    <row r="858" spans="1:19">
      <c r="A858" t="s">
        <v>911</v>
      </c>
      <c r="B858" t="s">
        <v>30</v>
      </c>
      <c r="C858">
        <v>105</v>
      </c>
      <c r="D858">
        <v>5645</v>
      </c>
      <c r="E858" s="2">
        <v>218.24</v>
      </c>
      <c r="F858">
        <v>17</v>
      </c>
      <c r="G858">
        <v>6</v>
      </c>
      <c r="H858">
        <v>4.5999999999999999E-2</v>
      </c>
      <c r="I858" s="3">
        <v>1420</v>
      </c>
      <c r="J858" s="1">
        <v>45598</v>
      </c>
      <c r="K858" t="s">
        <v>31</v>
      </c>
      <c r="L858" t="s">
        <v>8</v>
      </c>
      <c r="M858" t="s">
        <v>41</v>
      </c>
      <c r="N858" s="1">
        <f t="shared" si="78"/>
        <v>45598</v>
      </c>
      <c r="O858" s="4">
        <f t="shared" si="79"/>
        <v>1.8600531443755536E-2</v>
      </c>
      <c r="P858">
        <f t="shared" si="80"/>
        <v>2.0784761904761906</v>
      </c>
      <c r="Q858" s="2">
        <f t="shared" si="81"/>
        <v>12.83764705882353</v>
      </c>
      <c r="R858" s="2">
        <f t="shared" si="82"/>
        <v>36.373333333333335</v>
      </c>
      <c r="S858" s="2">
        <f t="shared" si="83"/>
        <v>6.5065982404692075</v>
      </c>
    </row>
    <row r="859" spans="1:19">
      <c r="A859" t="s">
        <v>912</v>
      </c>
      <c r="B859" t="s">
        <v>30</v>
      </c>
      <c r="C859">
        <v>179</v>
      </c>
      <c r="D859">
        <v>3848</v>
      </c>
      <c r="E859" s="2">
        <v>213.26</v>
      </c>
      <c r="F859">
        <v>12</v>
      </c>
      <c r="G859">
        <v>5</v>
      </c>
      <c r="H859">
        <v>4.5999999999999999E-2</v>
      </c>
      <c r="I859" s="3">
        <v>1807</v>
      </c>
      <c r="J859" s="1">
        <v>45625</v>
      </c>
      <c r="K859" t="s">
        <v>31</v>
      </c>
      <c r="L859" t="s">
        <v>7</v>
      </c>
      <c r="M859" t="s">
        <v>35</v>
      </c>
      <c r="N859" s="1">
        <f t="shared" si="78"/>
        <v>45625</v>
      </c>
      <c r="O859" s="4">
        <f t="shared" si="79"/>
        <v>4.651767151767152E-2</v>
      </c>
      <c r="P859">
        <f t="shared" si="80"/>
        <v>1.1913966480446927</v>
      </c>
      <c r="Q859" s="2">
        <f t="shared" si="81"/>
        <v>17.771666666666665</v>
      </c>
      <c r="R859" s="2">
        <f t="shared" si="82"/>
        <v>42.652000000000001</v>
      </c>
      <c r="S859" s="2">
        <f t="shared" si="83"/>
        <v>8.4732251711525848</v>
      </c>
    </row>
    <row r="860" spans="1:19" hidden="1">
      <c r="A860" t="s">
        <v>913</v>
      </c>
      <c r="B860" t="s">
        <v>30</v>
      </c>
      <c r="C860">
        <v>91</v>
      </c>
      <c r="D860">
        <v>5609</v>
      </c>
      <c r="E860" s="2">
        <v>228.27</v>
      </c>
      <c r="F860">
        <v>12</v>
      </c>
      <c r="G860">
        <v>10</v>
      </c>
      <c r="H860">
        <v>0.11</v>
      </c>
      <c r="I860" s="3">
        <v>1098</v>
      </c>
      <c r="J860" s="1">
        <v>45607</v>
      </c>
      <c r="K860" t="s">
        <v>31</v>
      </c>
      <c r="L860" t="s">
        <v>7</v>
      </c>
      <c r="M860" t="s">
        <v>46</v>
      </c>
      <c r="N860" s="1">
        <f t="shared" si="78"/>
        <v>45607</v>
      </c>
      <c r="O860" s="4">
        <f t="shared" si="79"/>
        <v>1.6223925833481905E-2</v>
      </c>
      <c r="P860">
        <f t="shared" si="80"/>
        <v>2.5084615384615385</v>
      </c>
      <c r="Q860" s="2">
        <f t="shared" si="81"/>
        <v>19.022500000000001</v>
      </c>
      <c r="R860" s="2">
        <f t="shared" si="82"/>
        <v>22.827000000000002</v>
      </c>
      <c r="S860" s="2">
        <f t="shared" si="83"/>
        <v>4.8100933105532917</v>
      </c>
    </row>
    <row r="861" spans="1:19" hidden="1">
      <c r="A861" t="s">
        <v>914</v>
      </c>
      <c r="B861" t="s">
        <v>30</v>
      </c>
      <c r="C861">
        <v>168</v>
      </c>
      <c r="D861">
        <v>4390</v>
      </c>
      <c r="E861" s="2">
        <v>195.52</v>
      </c>
      <c r="F861">
        <v>22</v>
      </c>
      <c r="G861">
        <v>10</v>
      </c>
      <c r="H861">
        <v>0.06</v>
      </c>
      <c r="I861" s="3">
        <v>1553</v>
      </c>
      <c r="J861" s="1">
        <v>45600</v>
      </c>
      <c r="K861" t="s">
        <v>31</v>
      </c>
      <c r="L861" t="s">
        <v>7</v>
      </c>
      <c r="M861" t="s">
        <v>35</v>
      </c>
      <c r="N861" s="1">
        <f t="shared" si="78"/>
        <v>45600</v>
      </c>
      <c r="O861" s="4">
        <f t="shared" si="79"/>
        <v>3.826879271070615E-2</v>
      </c>
      <c r="P861">
        <f t="shared" si="80"/>
        <v>1.1638095238095238</v>
      </c>
      <c r="Q861" s="2">
        <f t="shared" si="81"/>
        <v>8.8872727272727285</v>
      </c>
      <c r="R861" s="2">
        <f t="shared" si="82"/>
        <v>19.552</v>
      </c>
      <c r="S861" s="2">
        <f t="shared" si="83"/>
        <v>7.9429214402618653</v>
      </c>
    </row>
    <row r="862" spans="1:19" hidden="1">
      <c r="A862" t="s">
        <v>915</v>
      </c>
      <c r="B862" t="s">
        <v>30</v>
      </c>
      <c r="C862">
        <v>162</v>
      </c>
      <c r="D862">
        <v>4774</v>
      </c>
      <c r="E862" s="2">
        <v>210.8</v>
      </c>
      <c r="F862">
        <v>20</v>
      </c>
      <c r="G862">
        <v>7</v>
      </c>
      <c r="H862">
        <v>4.2999999999999997E-2</v>
      </c>
      <c r="I862" s="3">
        <v>1387</v>
      </c>
      <c r="J862" s="1">
        <v>45625</v>
      </c>
      <c r="K862" t="s">
        <v>31</v>
      </c>
      <c r="L862" t="s">
        <v>9</v>
      </c>
      <c r="M862" t="s">
        <v>46</v>
      </c>
      <c r="N862" s="1">
        <f t="shared" si="78"/>
        <v>45625</v>
      </c>
      <c r="O862" s="4">
        <f t="shared" si="79"/>
        <v>3.3933808127356517E-2</v>
      </c>
      <c r="P862">
        <f t="shared" si="80"/>
        <v>1.3012345679012347</v>
      </c>
      <c r="Q862" s="2">
        <f t="shared" si="81"/>
        <v>10.540000000000001</v>
      </c>
      <c r="R862" s="2">
        <f t="shared" si="82"/>
        <v>30.114285714285717</v>
      </c>
      <c r="S862" s="2">
        <f t="shared" si="83"/>
        <v>6.5796963946869065</v>
      </c>
    </row>
    <row r="863" spans="1:19" hidden="1">
      <c r="A863" t="s">
        <v>916</v>
      </c>
      <c r="B863" t="s">
        <v>30</v>
      </c>
      <c r="C863">
        <v>130</v>
      </c>
      <c r="D863">
        <v>5787</v>
      </c>
      <c r="E863" s="2">
        <v>218.79</v>
      </c>
      <c r="F863">
        <v>13</v>
      </c>
      <c r="G863">
        <v>10</v>
      </c>
      <c r="H863">
        <v>7.6999999999999999E-2</v>
      </c>
      <c r="I863" s="3">
        <v>1679</v>
      </c>
      <c r="J863" s="1">
        <v>45605</v>
      </c>
      <c r="K863" t="s">
        <v>31</v>
      </c>
      <c r="L863" t="s">
        <v>8</v>
      </c>
      <c r="M863" t="s">
        <v>41</v>
      </c>
      <c r="N863" s="1">
        <f t="shared" si="78"/>
        <v>45605</v>
      </c>
      <c r="O863" s="4">
        <f t="shared" si="79"/>
        <v>2.2464143770520133E-2</v>
      </c>
      <c r="P863">
        <f t="shared" si="80"/>
        <v>1.6829999999999998</v>
      </c>
      <c r="Q863" s="2">
        <f t="shared" si="81"/>
        <v>16.829999999999998</v>
      </c>
      <c r="R863" s="2">
        <f t="shared" si="82"/>
        <v>21.878999999999998</v>
      </c>
      <c r="S863" s="2">
        <f t="shared" si="83"/>
        <v>7.6740253210841445</v>
      </c>
    </row>
    <row r="864" spans="1:19">
      <c r="A864" t="s">
        <v>917</v>
      </c>
      <c r="B864" t="s">
        <v>30</v>
      </c>
      <c r="C864">
        <v>97</v>
      </c>
      <c r="D864">
        <v>5192</v>
      </c>
      <c r="E864" s="2">
        <v>184.79</v>
      </c>
      <c r="F864">
        <v>13</v>
      </c>
      <c r="G864">
        <v>10</v>
      </c>
      <c r="H864">
        <v>4.5999999999999999E-2</v>
      </c>
      <c r="I864" s="3">
        <v>1382</v>
      </c>
      <c r="J864" s="1">
        <v>45601</v>
      </c>
      <c r="K864" t="s">
        <v>31</v>
      </c>
      <c r="L864" t="s">
        <v>8</v>
      </c>
      <c r="M864" t="s">
        <v>32</v>
      </c>
      <c r="N864" s="1">
        <f t="shared" si="78"/>
        <v>45601</v>
      </c>
      <c r="O864" s="4">
        <f t="shared" si="79"/>
        <v>1.8682588597842834E-2</v>
      </c>
      <c r="P864">
        <f t="shared" si="80"/>
        <v>1.9050515463917526</v>
      </c>
      <c r="Q864" s="2">
        <f t="shared" si="81"/>
        <v>14.214615384615383</v>
      </c>
      <c r="R864" s="2">
        <f t="shared" si="82"/>
        <v>18.478999999999999</v>
      </c>
      <c r="S864" s="2">
        <f t="shared" si="83"/>
        <v>7.4787596731424868</v>
      </c>
    </row>
    <row r="865" spans="1:19" hidden="1">
      <c r="A865" t="s">
        <v>918</v>
      </c>
      <c r="B865" t="s">
        <v>30</v>
      </c>
      <c r="C865">
        <v>142</v>
      </c>
      <c r="D865">
        <v>4223</v>
      </c>
      <c r="E865" s="2">
        <v>222.28</v>
      </c>
      <c r="F865">
        <v>27</v>
      </c>
      <c r="G865">
        <v>5</v>
      </c>
      <c r="H865">
        <v>3.7999999999999999E-2</v>
      </c>
      <c r="I865" s="3">
        <v>1506</v>
      </c>
      <c r="J865" s="1">
        <v>45603</v>
      </c>
      <c r="K865" t="s">
        <v>31</v>
      </c>
      <c r="L865" t="s">
        <v>7</v>
      </c>
      <c r="M865" t="s">
        <v>32</v>
      </c>
      <c r="N865" s="1">
        <f t="shared" si="78"/>
        <v>45603</v>
      </c>
      <c r="O865" s="4">
        <f t="shared" si="79"/>
        <v>3.3625384797537294E-2</v>
      </c>
      <c r="P865">
        <f t="shared" si="80"/>
        <v>1.5653521126760563</v>
      </c>
      <c r="Q865" s="2">
        <f t="shared" si="81"/>
        <v>8.2325925925925922</v>
      </c>
      <c r="R865" s="2">
        <f t="shared" si="82"/>
        <v>44.456000000000003</v>
      </c>
      <c r="S865" s="2">
        <f t="shared" si="83"/>
        <v>6.7752384380061184</v>
      </c>
    </row>
    <row r="866" spans="1:19">
      <c r="A866" t="s">
        <v>919</v>
      </c>
      <c r="B866" t="s">
        <v>30</v>
      </c>
      <c r="C866">
        <v>138</v>
      </c>
      <c r="D866">
        <v>3146</v>
      </c>
      <c r="E866" s="2">
        <v>197.89</v>
      </c>
      <c r="F866">
        <v>22</v>
      </c>
      <c r="G866">
        <v>7</v>
      </c>
      <c r="H866">
        <v>4.5999999999999999E-2</v>
      </c>
      <c r="I866" s="3">
        <v>1505</v>
      </c>
      <c r="J866" s="1">
        <v>45604</v>
      </c>
      <c r="K866" t="s">
        <v>31</v>
      </c>
      <c r="L866" t="s">
        <v>7</v>
      </c>
      <c r="M866" t="s">
        <v>32</v>
      </c>
      <c r="N866" s="1">
        <f t="shared" si="78"/>
        <v>45604</v>
      </c>
      <c r="O866" s="4">
        <f t="shared" si="79"/>
        <v>4.3865225683407505E-2</v>
      </c>
      <c r="P866">
        <f t="shared" si="80"/>
        <v>1.4339855072463767</v>
      </c>
      <c r="Q866" s="2">
        <f t="shared" si="81"/>
        <v>8.9949999999999992</v>
      </c>
      <c r="R866" s="2">
        <f t="shared" si="82"/>
        <v>28.27</v>
      </c>
      <c r="S866" s="2">
        <f t="shared" si="83"/>
        <v>7.6052352316943761</v>
      </c>
    </row>
    <row r="867" spans="1:19" hidden="1">
      <c r="A867" t="s">
        <v>920</v>
      </c>
      <c r="B867" t="s">
        <v>30</v>
      </c>
      <c r="C867">
        <v>186</v>
      </c>
      <c r="D867">
        <v>3988</v>
      </c>
      <c r="E867" s="2">
        <v>237.69</v>
      </c>
      <c r="F867">
        <v>15</v>
      </c>
      <c r="G867">
        <v>5</v>
      </c>
      <c r="H867">
        <v>2.7E-2</v>
      </c>
      <c r="I867" s="3">
        <v>1603</v>
      </c>
      <c r="J867" s="1">
        <v>45610</v>
      </c>
      <c r="K867" t="s">
        <v>31</v>
      </c>
      <c r="L867" t="s">
        <v>9</v>
      </c>
      <c r="M867" t="s">
        <v>35</v>
      </c>
      <c r="N867" s="1">
        <f t="shared" si="78"/>
        <v>45610</v>
      </c>
      <c r="O867" s="4">
        <f t="shared" si="79"/>
        <v>4.6639919759277837E-2</v>
      </c>
      <c r="P867">
        <f t="shared" si="80"/>
        <v>1.2779032258064515</v>
      </c>
      <c r="Q867" s="2">
        <f t="shared" si="81"/>
        <v>15.846</v>
      </c>
      <c r="R867" s="2">
        <f t="shared" si="82"/>
        <v>47.537999999999997</v>
      </c>
      <c r="S867" s="2">
        <f t="shared" si="83"/>
        <v>6.7440784214733478</v>
      </c>
    </row>
    <row r="868" spans="1:19" hidden="1">
      <c r="A868" t="s">
        <v>921</v>
      </c>
      <c r="B868" t="s">
        <v>30</v>
      </c>
      <c r="C868">
        <v>170</v>
      </c>
      <c r="D868">
        <v>3437</v>
      </c>
      <c r="E868" s="2">
        <v>232.08</v>
      </c>
      <c r="F868">
        <v>23</v>
      </c>
      <c r="G868">
        <v>5</v>
      </c>
      <c r="H868">
        <v>2.9000000000000001E-2</v>
      </c>
      <c r="I868" s="3">
        <v>1405</v>
      </c>
      <c r="J868" s="1">
        <v>45625</v>
      </c>
      <c r="K868" t="s">
        <v>31</v>
      </c>
      <c r="L868" t="s">
        <v>8</v>
      </c>
      <c r="M868" t="s">
        <v>32</v>
      </c>
      <c r="N868" s="1">
        <f t="shared" si="78"/>
        <v>45625</v>
      </c>
      <c r="O868" s="4">
        <f t="shared" si="79"/>
        <v>4.9461739889438465E-2</v>
      </c>
      <c r="P868">
        <f t="shared" si="80"/>
        <v>1.3651764705882354</v>
      </c>
      <c r="Q868" s="2">
        <f t="shared" si="81"/>
        <v>10.090434782608696</v>
      </c>
      <c r="R868" s="2">
        <f t="shared" si="82"/>
        <v>46.416000000000004</v>
      </c>
      <c r="S868" s="2">
        <f t="shared" si="83"/>
        <v>6.0539469148569456</v>
      </c>
    </row>
    <row r="869" spans="1:19" hidden="1">
      <c r="A869" t="s">
        <v>922</v>
      </c>
      <c r="B869" t="s">
        <v>30</v>
      </c>
      <c r="C869">
        <v>85</v>
      </c>
      <c r="D869">
        <v>3718</v>
      </c>
      <c r="E869" s="2">
        <v>224.14</v>
      </c>
      <c r="F869">
        <v>21</v>
      </c>
      <c r="G869">
        <v>6</v>
      </c>
      <c r="H869">
        <v>7.0999999999999994E-2</v>
      </c>
      <c r="I869" s="3">
        <v>1938</v>
      </c>
      <c r="J869" s="1">
        <v>45600</v>
      </c>
      <c r="K869" t="s">
        <v>31</v>
      </c>
      <c r="L869" t="s">
        <v>7</v>
      </c>
      <c r="M869" t="s">
        <v>41</v>
      </c>
      <c r="N869" s="1">
        <f t="shared" si="78"/>
        <v>45600</v>
      </c>
      <c r="O869" s="4">
        <f t="shared" si="79"/>
        <v>2.2861753630984399E-2</v>
      </c>
      <c r="P869">
        <f t="shared" si="80"/>
        <v>2.6369411764705881</v>
      </c>
      <c r="Q869" s="2">
        <f t="shared" si="81"/>
        <v>10.673333333333332</v>
      </c>
      <c r="R869" s="2">
        <f t="shared" si="82"/>
        <v>37.356666666666662</v>
      </c>
      <c r="S869" s="2">
        <f t="shared" si="83"/>
        <v>8.6463817257071476</v>
      </c>
    </row>
    <row r="870" spans="1:19">
      <c r="A870" t="s">
        <v>923</v>
      </c>
      <c r="B870" t="s">
        <v>30</v>
      </c>
      <c r="C870">
        <v>115</v>
      </c>
      <c r="D870">
        <v>5343</v>
      </c>
      <c r="E870" s="2">
        <v>239.92</v>
      </c>
      <c r="F870">
        <v>20</v>
      </c>
      <c r="G870">
        <v>8</v>
      </c>
      <c r="H870">
        <v>4.5999999999999999E-2</v>
      </c>
      <c r="I870" s="3">
        <v>1381</v>
      </c>
      <c r="J870" s="1">
        <v>45611</v>
      </c>
      <c r="K870" t="s">
        <v>31</v>
      </c>
      <c r="L870" t="s">
        <v>7</v>
      </c>
      <c r="M870" t="s">
        <v>32</v>
      </c>
      <c r="N870" s="1">
        <f t="shared" si="78"/>
        <v>45611</v>
      </c>
      <c r="O870" s="4">
        <f t="shared" si="79"/>
        <v>2.152348867677335E-2</v>
      </c>
      <c r="P870">
        <f t="shared" si="80"/>
        <v>2.0862608695652174</v>
      </c>
      <c r="Q870" s="2">
        <f t="shared" si="81"/>
        <v>11.995999999999999</v>
      </c>
      <c r="R870" s="2">
        <f t="shared" si="82"/>
        <v>29.99</v>
      </c>
      <c r="S870" s="2">
        <f t="shared" si="83"/>
        <v>5.7560853617872629</v>
      </c>
    </row>
    <row r="871" spans="1:19" hidden="1">
      <c r="A871" t="s">
        <v>924</v>
      </c>
      <c r="B871" t="s">
        <v>30</v>
      </c>
      <c r="C871">
        <v>167</v>
      </c>
      <c r="D871">
        <v>5170</v>
      </c>
      <c r="E871" s="2">
        <v>241.21</v>
      </c>
      <c r="F871">
        <v>24</v>
      </c>
      <c r="G871">
        <v>4</v>
      </c>
      <c r="H871">
        <v>3.7999999999999999E-2</v>
      </c>
      <c r="I871" s="3">
        <v>1515</v>
      </c>
      <c r="J871" s="1" t="s">
        <v>94</v>
      </c>
      <c r="K871" t="s">
        <v>31</v>
      </c>
      <c r="L871" t="s">
        <v>8</v>
      </c>
      <c r="M871" t="s">
        <v>35</v>
      </c>
      <c r="N871" s="1">
        <f t="shared" si="78"/>
        <v>45617</v>
      </c>
      <c r="O871" s="4">
        <f t="shared" si="79"/>
        <v>3.2301740812379111E-2</v>
      </c>
      <c r="P871">
        <f t="shared" si="80"/>
        <v>1.44437125748503</v>
      </c>
      <c r="Q871" s="2">
        <f t="shared" si="81"/>
        <v>10.050416666666667</v>
      </c>
      <c r="R871" s="2">
        <f t="shared" si="82"/>
        <v>60.302500000000002</v>
      </c>
      <c r="S871" s="2">
        <f t="shared" si="83"/>
        <v>6.2808341279383111</v>
      </c>
    </row>
    <row r="872" spans="1:19" hidden="1">
      <c r="A872" t="s">
        <v>925</v>
      </c>
      <c r="B872" t="s">
        <v>30</v>
      </c>
      <c r="C872">
        <v>113</v>
      </c>
      <c r="D872">
        <v>5916</v>
      </c>
      <c r="E872" s="2">
        <v>234.58</v>
      </c>
      <c r="F872">
        <v>18</v>
      </c>
      <c r="G872">
        <v>5</v>
      </c>
      <c r="H872">
        <v>4.3999999999999997E-2</v>
      </c>
      <c r="I872" s="3">
        <v>1165</v>
      </c>
      <c r="J872" s="1">
        <v>45608</v>
      </c>
      <c r="K872" t="s">
        <v>31</v>
      </c>
      <c r="L872" t="s">
        <v>8</v>
      </c>
      <c r="M872" t="s">
        <v>35</v>
      </c>
      <c r="N872" s="1">
        <f t="shared" si="78"/>
        <v>45608</v>
      </c>
      <c r="O872" s="4">
        <f t="shared" si="79"/>
        <v>1.9100743745774171E-2</v>
      </c>
      <c r="P872">
        <f t="shared" si="80"/>
        <v>2.0759292035398231</v>
      </c>
      <c r="Q872" s="2">
        <f t="shared" si="81"/>
        <v>13.032222222222224</v>
      </c>
      <c r="R872" s="2">
        <f t="shared" si="82"/>
        <v>46.916000000000004</v>
      </c>
      <c r="S872" s="2">
        <f t="shared" si="83"/>
        <v>4.9663227896666378</v>
      </c>
    </row>
    <row r="873" spans="1:19">
      <c r="A873" t="s">
        <v>926</v>
      </c>
      <c r="B873" t="s">
        <v>30</v>
      </c>
      <c r="C873">
        <v>175</v>
      </c>
      <c r="D873">
        <v>4958</v>
      </c>
      <c r="E873" s="2">
        <v>245.96</v>
      </c>
      <c r="F873">
        <v>22</v>
      </c>
      <c r="G873">
        <v>10</v>
      </c>
      <c r="H873">
        <v>4.5999999999999999E-2</v>
      </c>
      <c r="I873" s="3">
        <v>1777</v>
      </c>
      <c r="J873" s="1">
        <v>45617</v>
      </c>
      <c r="K873" t="s">
        <v>31</v>
      </c>
      <c r="L873" t="s">
        <v>8</v>
      </c>
      <c r="M873" t="s">
        <v>41</v>
      </c>
      <c r="N873" s="1">
        <f t="shared" si="78"/>
        <v>45617</v>
      </c>
      <c r="O873" s="4">
        <f t="shared" si="79"/>
        <v>3.5296490520371114E-2</v>
      </c>
      <c r="P873">
        <f t="shared" si="80"/>
        <v>1.4054857142857142</v>
      </c>
      <c r="Q873" s="2">
        <f t="shared" si="81"/>
        <v>11.18</v>
      </c>
      <c r="R873" s="2">
        <f t="shared" si="82"/>
        <v>24.596</v>
      </c>
      <c r="S873" s="2">
        <f t="shared" si="83"/>
        <v>7.2247519921938528</v>
      </c>
    </row>
    <row r="874" spans="1:19" hidden="1">
      <c r="A874" t="s">
        <v>927</v>
      </c>
      <c r="B874" t="s">
        <v>30</v>
      </c>
      <c r="C874">
        <v>112</v>
      </c>
      <c r="D874">
        <v>5538</v>
      </c>
      <c r="E874" s="2">
        <v>225.66</v>
      </c>
      <c r="F874">
        <v>22</v>
      </c>
      <c r="G874">
        <v>4</v>
      </c>
      <c r="H874">
        <v>4.1000000000000002E-2</v>
      </c>
      <c r="I874" s="3">
        <v>1505</v>
      </c>
      <c r="J874" s="1">
        <v>45618</v>
      </c>
      <c r="K874" t="s">
        <v>31</v>
      </c>
      <c r="L874" t="s">
        <v>7</v>
      </c>
      <c r="M874" t="s">
        <v>41</v>
      </c>
      <c r="N874" s="1">
        <f t="shared" si="78"/>
        <v>45618</v>
      </c>
      <c r="O874" s="4">
        <f t="shared" si="79"/>
        <v>2.0223907547851208E-2</v>
      </c>
      <c r="P874">
        <f t="shared" si="80"/>
        <v>2.0148214285714285</v>
      </c>
      <c r="Q874" s="2">
        <f t="shared" si="81"/>
        <v>10.257272727272728</v>
      </c>
      <c r="R874" s="2">
        <f t="shared" si="82"/>
        <v>56.414999999999999</v>
      </c>
      <c r="S874" s="2">
        <f t="shared" si="83"/>
        <v>6.6693255339891877</v>
      </c>
    </row>
    <row r="875" spans="1:19" hidden="1">
      <c r="A875" t="s">
        <v>928</v>
      </c>
      <c r="B875" t="s">
        <v>30</v>
      </c>
      <c r="C875">
        <v>194</v>
      </c>
      <c r="D875">
        <v>5309</v>
      </c>
      <c r="E875" s="2">
        <v>191.4</v>
      </c>
      <c r="F875">
        <v>19</v>
      </c>
      <c r="G875">
        <v>10</v>
      </c>
      <c r="H875">
        <v>4.5999999999999999E-2</v>
      </c>
      <c r="I875" s="3">
        <v>1764</v>
      </c>
      <c r="J875" s="1" t="s">
        <v>217</v>
      </c>
      <c r="K875" t="s">
        <v>31</v>
      </c>
      <c r="L875" t="s">
        <v>7</v>
      </c>
      <c r="M875" t="s">
        <v>39</v>
      </c>
      <c r="N875" s="1">
        <f t="shared" si="78"/>
        <v>45609</v>
      </c>
      <c r="O875" s="4">
        <f t="shared" si="79"/>
        <v>3.6541721604821997E-2</v>
      </c>
      <c r="P875">
        <f t="shared" si="80"/>
        <v>0.98659793814432994</v>
      </c>
      <c r="Q875" s="2">
        <f t="shared" si="81"/>
        <v>10.073684210526316</v>
      </c>
      <c r="R875" s="2">
        <f t="shared" si="82"/>
        <v>19.14</v>
      </c>
      <c r="S875" s="2">
        <f t="shared" si="83"/>
        <v>9.216300940438872</v>
      </c>
    </row>
    <row r="876" spans="1:19">
      <c r="A876" t="s">
        <v>929</v>
      </c>
      <c r="B876" t="s">
        <v>30</v>
      </c>
      <c r="C876">
        <v>139</v>
      </c>
      <c r="D876">
        <v>4539</v>
      </c>
      <c r="E876" s="2">
        <v>244.4</v>
      </c>
      <c r="F876">
        <v>18</v>
      </c>
      <c r="G876">
        <v>6</v>
      </c>
      <c r="H876">
        <v>4.5999999999999999E-2</v>
      </c>
      <c r="I876" s="3">
        <v>1638</v>
      </c>
      <c r="J876" s="1">
        <v>45624</v>
      </c>
      <c r="K876" t="s">
        <v>31</v>
      </c>
      <c r="L876" t="s">
        <v>8</v>
      </c>
      <c r="M876" t="s">
        <v>46</v>
      </c>
      <c r="N876" s="1">
        <f t="shared" si="78"/>
        <v>45624</v>
      </c>
      <c r="O876" s="4">
        <f t="shared" si="79"/>
        <v>3.0623485349195859E-2</v>
      </c>
      <c r="P876">
        <f t="shared" si="80"/>
        <v>1.758273381294964</v>
      </c>
      <c r="Q876" s="2">
        <f t="shared" si="81"/>
        <v>13.577777777777778</v>
      </c>
      <c r="R876" s="2">
        <f t="shared" si="82"/>
        <v>40.733333333333334</v>
      </c>
      <c r="S876" s="2">
        <f t="shared" si="83"/>
        <v>6.7021276595744679</v>
      </c>
    </row>
    <row r="877" spans="1:19" hidden="1">
      <c r="A877" t="s">
        <v>930</v>
      </c>
      <c r="B877" t="s">
        <v>30</v>
      </c>
      <c r="C877">
        <v>82</v>
      </c>
      <c r="D877">
        <v>4622</v>
      </c>
      <c r="E877" s="2">
        <v>203.99</v>
      </c>
      <c r="F877">
        <v>17</v>
      </c>
      <c r="G877">
        <v>9</v>
      </c>
      <c r="H877">
        <v>0.11</v>
      </c>
      <c r="I877" s="3">
        <v>1375</v>
      </c>
      <c r="J877" s="1">
        <v>45608</v>
      </c>
      <c r="K877" t="s">
        <v>31</v>
      </c>
      <c r="L877" t="s">
        <v>8</v>
      </c>
      <c r="M877" t="s">
        <v>41</v>
      </c>
      <c r="N877" s="1">
        <f t="shared" si="78"/>
        <v>45608</v>
      </c>
      <c r="O877" s="4">
        <f t="shared" si="79"/>
        <v>1.7741237559498052E-2</v>
      </c>
      <c r="P877">
        <f t="shared" si="80"/>
        <v>2.4876829268292684</v>
      </c>
      <c r="Q877" s="2">
        <f t="shared" si="81"/>
        <v>11.999411764705883</v>
      </c>
      <c r="R877" s="2">
        <f t="shared" si="82"/>
        <v>22.665555555555557</v>
      </c>
      <c r="S877" s="2">
        <f t="shared" si="83"/>
        <v>6.7405264963968818</v>
      </c>
    </row>
    <row r="878" spans="1:19">
      <c r="A878" t="s">
        <v>931</v>
      </c>
      <c r="B878" t="s">
        <v>30</v>
      </c>
      <c r="C878">
        <v>139</v>
      </c>
      <c r="D878">
        <v>3355</v>
      </c>
      <c r="E878" s="2">
        <v>193.57</v>
      </c>
      <c r="F878">
        <v>26</v>
      </c>
      <c r="G878">
        <v>9</v>
      </c>
      <c r="H878">
        <v>4.5999999999999999E-2</v>
      </c>
      <c r="I878" s="3">
        <v>1961</v>
      </c>
      <c r="J878" s="1">
        <v>45607</v>
      </c>
      <c r="K878" t="s">
        <v>31</v>
      </c>
      <c r="L878" t="s">
        <v>8</v>
      </c>
      <c r="M878" t="s">
        <v>32</v>
      </c>
      <c r="N878" s="1">
        <f t="shared" si="78"/>
        <v>45607</v>
      </c>
      <c r="O878" s="4">
        <f t="shared" si="79"/>
        <v>4.1430700447093891E-2</v>
      </c>
      <c r="P878">
        <f t="shared" si="80"/>
        <v>1.392589928057554</v>
      </c>
      <c r="Q878" s="2">
        <f t="shared" si="81"/>
        <v>7.4449999999999994</v>
      </c>
      <c r="R878" s="2">
        <f t="shared" si="82"/>
        <v>21.507777777777775</v>
      </c>
      <c r="S878" s="2">
        <f t="shared" si="83"/>
        <v>10.130702071602006</v>
      </c>
    </row>
    <row r="879" spans="1:19" hidden="1">
      <c r="A879" t="s">
        <v>932</v>
      </c>
      <c r="B879" t="s">
        <v>30</v>
      </c>
      <c r="C879">
        <v>179</v>
      </c>
      <c r="D879">
        <v>4992</v>
      </c>
      <c r="E879" s="2">
        <v>221.48</v>
      </c>
      <c r="F879">
        <v>27</v>
      </c>
      <c r="G879">
        <v>10</v>
      </c>
      <c r="H879">
        <v>3.6999999999999998E-2</v>
      </c>
      <c r="I879" s="3">
        <v>1062</v>
      </c>
      <c r="J879" s="1">
        <v>45602</v>
      </c>
      <c r="K879" t="s">
        <v>31</v>
      </c>
      <c r="L879" t="s">
        <v>9</v>
      </c>
      <c r="M879" t="s">
        <v>32</v>
      </c>
      <c r="N879" s="1">
        <f t="shared" si="78"/>
        <v>45602</v>
      </c>
      <c r="O879" s="4">
        <f t="shared" si="79"/>
        <v>3.5857371794871792E-2</v>
      </c>
      <c r="P879">
        <f t="shared" si="80"/>
        <v>1.23731843575419</v>
      </c>
      <c r="Q879" s="2">
        <f t="shared" si="81"/>
        <v>8.2029629629629621</v>
      </c>
      <c r="R879" s="2">
        <f t="shared" si="82"/>
        <v>22.148</v>
      </c>
      <c r="S879" s="2">
        <f t="shared" si="83"/>
        <v>4.7950153512732525</v>
      </c>
    </row>
    <row r="880" spans="1:19" hidden="1">
      <c r="A880" t="s">
        <v>933</v>
      </c>
      <c r="B880" t="s">
        <v>30</v>
      </c>
      <c r="C880">
        <v>93</v>
      </c>
      <c r="D880">
        <v>3015</v>
      </c>
      <c r="E880" s="2">
        <v>232.01</v>
      </c>
      <c r="F880">
        <v>21</v>
      </c>
      <c r="G880">
        <v>4</v>
      </c>
      <c r="H880">
        <v>4.2999999999999997E-2</v>
      </c>
      <c r="I880" s="3">
        <v>1770</v>
      </c>
      <c r="J880" s="1">
        <v>45622</v>
      </c>
      <c r="K880" t="s">
        <v>31</v>
      </c>
      <c r="L880" t="s">
        <v>8</v>
      </c>
      <c r="M880" t="s">
        <v>32</v>
      </c>
      <c r="N880" s="1">
        <f t="shared" si="78"/>
        <v>45622</v>
      </c>
      <c r="O880" s="4">
        <f t="shared" si="79"/>
        <v>3.0845771144278607E-2</v>
      </c>
      <c r="P880">
        <f t="shared" si="80"/>
        <v>2.4947311827956988</v>
      </c>
      <c r="Q880" s="2">
        <f t="shared" si="81"/>
        <v>11.048095238095238</v>
      </c>
      <c r="R880" s="2">
        <f t="shared" si="82"/>
        <v>58.002499999999998</v>
      </c>
      <c r="S880" s="2">
        <f t="shared" si="83"/>
        <v>7.6289815094176978</v>
      </c>
    </row>
    <row r="881" spans="1:19" hidden="1">
      <c r="A881" t="s">
        <v>934</v>
      </c>
      <c r="B881" t="s">
        <v>30</v>
      </c>
      <c r="C881">
        <v>152</v>
      </c>
      <c r="D881">
        <v>4662</v>
      </c>
      <c r="E881" s="2">
        <v>249.13</v>
      </c>
      <c r="F881">
        <v>24</v>
      </c>
      <c r="G881">
        <v>7</v>
      </c>
      <c r="H881">
        <v>4.5999999999999999E-2</v>
      </c>
      <c r="I881" s="3">
        <v>1951</v>
      </c>
      <c r="J881" s="1">
        <v>45607</v>
      </c>
      <c r="K881" t="s">
        <v>31</v>
      </c>
      <c r="L881" t="s">
        <v>7</v>
      </c>
      <c r="M881" t="s">
        <v>41</v>
      </c>
      <c r="N881" s="1">
        <f t="shared" si="78"/>
        <v>45607</v>
      </c>
      <c r="O881" s="4">
        <f t="shared" si="79"/>
        <v>3.2604032604032607E-2</v>
      </c>
      <c r="P881">
        <f t="shared" si="80"/>
        <v>1.6390131578947369</v>
      </c>
      <c r="Q881" s="2">
        <f t="shared" si="81"/>
        <v>10.380416666666667</v>
      </c>
      <c r="R881" s="2">
        <f t="shared" si="82"/>
        <v>35.589999999999996</v>
      </c>
      <c r="S881" s="2">
        <f t="shared" si="83"/>
        <v>7.8312527596034203</v>
      </c>
    </row>
    <row r="882" spans="1:19" hidden="1">
      <c r="A882" t="s">
        <v>935</v>
      </c>
      <c r="B882" t="s">
        <v>30</v>
      </c>
      <c r="C882">
        <v>81</v>
      </c>
      <c r="D882">
        <v>3766</v>
      </c>
      <c r="E882" s="2">
        <v>213.12</v>
      </c>
      <c r="F882">
        <v>27</v>
      </c>
      <c r="G882">
        <v>7</v>
      </c>
      <c r="H882">
        <v>8.5999999999999993E-2</v>
      </c>
      <c r="I882" s="3">
        <v>1183</v>
      </c>
      <c r="J882" s="1" t="s">
        <v>115</v>
      </c>
      <c r="K882" t="s">
        <v>31</v>
      </c>
      <c r="L882" t="s">
        <v>7</v>
      </c>
      <c r="M882" t="s">
        <v>41</v>
      </c>
      <c r="N882" s="1">
        <f t="shared" si="78"/>
        <v>45623</v>
      </c>
      <c r="O882" s="4">
        <f t="shared" si="79"/>
        <v>2.1508231545406268E-2</v>
      </c>
      <c r="P882">
        <f t="shared" si="80"/>
        <v>2.6311111111111112</v>
      </c>
      <c r="Q882" s="2">
        <f t="shared" si="81"/>
        <v>7.8933333333333335</v>
      </c>
      <c r="R882" s="2">
        <f t="shared" si="82"/>
        <v>30.445714285714285</v>
      </c>
      <c r="S882" s="2">
        <f t="shared" si="83"/>
        <v>5.5508633633633631</v>
      </c>
    </row>
    <row r="883" spans="1:19" hidden="1">
      <c r="A883" t="s">
        <v>936</v>
      </c>
      <c r="B883" t="s">
        <v>30</v>
      </c>
      <c r="C883">
        <v>130</v>
      </c>
      <c r="D883">
        <v>5774</v>
      </c>
      <c r="E883" s="2">
        <v>241.97</v>
      </c>
      <c r="F883">
        <v>11</v>
      </c>
      <c r="G883">
        <v>7</v>
      </c>
      <c r="H883">
        <v>4.3999999999999997E-2</v>
      </c>
      <c r="I883" s="3">
        <v>1708</v>
      </c>
      <c r="J883" s="1">
        <v>45616</v>
      </c>
      <c r="K883" t="s">
        <v>31</v>
      </c>
      <c r="L883" t="s">
        <v>7</v>
      </c>
      <c r="M883" t="s">
        <v>35</v>
      </c>
      <c r="N883" s="1">
        <f t="shared" si="78"/>
        <v>45616</v>
      </c>
      <c r="O883" s="4">
        <f t="shared" si="79"/>
        <v>2.2514721163837893E-2</v>
      </c>
      <c r="P883">
        <f t="shared" si="80"/>
        <v>1.8613076923076923</v>
      </c>
      <c r="Q883" s="2">
        <f t="shared" si="81"/>
        <v>21.997272727272726</v>
      </c>
      <c r="R883" s="2">
        <f t="shared" si="82"/>
        <v>34.567142857142855</v>
      </c>
      <c r="S883" s="2">
        <f t="shared" si="83"/>
        <v>7.0587262883828572</v>
      </c>
    </row>
    <row r="884" spans="1:19" hidden="1">
      <c r="A884" t="s">
        <v>937</v>
      </c>
      <c r="B884" t="s">
        <v>30</v>
      </c>
      <c r="C884">
        <v>110</v>
      </c>
      <c r="D884">
        <v>4542</v>
      </c>
      <c r="E884" s="2">
        <v>227.95</v>
      </c>
      <c r="F884">
        <v>20</v>
      </c>
      <c r="G884">
        <v>4</v>
      </c>
      <c r="H884">
        <v>3.5999999999999997E-2</v>
      </c>
      <c r="I884" s="3">
        <v>1423</v>
      </c>
      <c r="J884" s="1">
        <v>45607</v>
      </c>
      <c r="K884" t="s">
        <v>31</v>
      </c>
      <c r="L884" t="s">
        <v>7</v>
      </c>
      <c r="M884" t="s">
        <v>39</v>
      </c>
      <c r="N884" s="1">
        <f t="shared" si="78"/>
        <v>45607</v>
      </c>
      <c r="O884" s="4">
        <f t="shared" si="79"/>
        <v>2.4218405988551298E-2</v>
      </c>
      <c r="P884">
        <f t="shared" si="80"/>
        <v>2.0722727272727273</v>
      </c>
      <c r="Q884" s="2">
        <f t="shared" si="81"/>
        <v>11.397499999999999</v>
      </c>
      <c r="R884" s="2">
        <f t="shared" si="82"/>
        <v>56.987499999999997</v>
      </c>
      <c r="S884" s="2">
        <f t="shared" si="83"/>
        <v>6.2425970607589383</v>
      </c>
    </row>
    <row r="885" spans="1:19" hidden="1">
      <c r="A885" t="s">
        <v>938</v>
      </c>
      <c r="B885" t="s">
        <v>30</v>
      </c>
      <c r="C885">
        <v>122</v>
      </c>
      <c r="D885">
        <v>5179</v>
      </c>
      <c r="E885" s="2">
        <v>215.57</v>
      </c>
      <c r="F885">
        <v>11</v>
      </c>
      <c r="G885">
        <v>4</v>
      </c>
      <c r="H885">
        <v>3.3000000000000002E-2</v>
      </c>
      <c r="I885" s="3">
        <v>1507</v>
      </c>
      <c r="J885" s="1">
        <v>45614</v>
      </c>
      <c r="K885" t="s">
        <v>31</v>
      </c>
      <c r="L885" t="s">
        <v>9</v>
      </c>
      <c r="M885" t="s">
        <v>46</v>
      </c>
      <c r="N885" s="1">
        <f t="shared" si="78"/>
        <v>45614</v>
      </c>
      <c r="O885" s="4">
        <f t="shared" si="79"/>
        <v>2.3556671172040935E-2</v>
      </c>
      <c r="P885">
        <f t="shared" si="80"/>
        <v>1.766967213114754</v>
      </c>
      <c r="Q885" s="2">
        <f t="shared" si="81"/>
        <v>19.597272727272728</v>
      </c>
      <c r="R885" s="2">
        <f t="shared" si="82"/>
        <v>53.892499999999998</v>
      </c>
      <c r="S885" s="2">
        <f t="shared" si="83"/>
        <v>6.9907686598320735</v>
      </c>
    </row>
    <row r="886" spans="1:19" hidden="1">
      <c r="A886" t="s">
        <v>939</v>
      </c>
      <c r="B886" t="s">
        <v>30</v>
      </c>
      <c r="C886">
        <v>113</v>
      </c>
      <c r="D886">
        <v>5265</v>
      </c>
      <c r="E886" s="2">
        <v>184.21</v>
      </c>
      <c r="F886">
        <v>27</v>
      </c>
      <c r="G886">
        <v>5</v>
      </c>
      <c r="H886">
        <v>4.3999999999999997E-2</v>
      </c>
      <c r="I886" s="3">
        <v>1353</v>
      </c>
      <c r="J886" s="1" t="s">
        <v>34</v>
      </c>
      <c r="K886" t="s">
        <v>31</v>
      </c>
      <c r="L886" t="s">
        <v>9</v>
      </c>
      <c r="M886" t="s">
        <v>37</v>
      </c>
      <c r="N886" s="1">
        <f t="shared" si="78"/>
        <v>45616</v>
      </c>
      <c r="O886" s="4">
        <f t="shared" si="79"/>
        <v>2.1462488129154796E-2</v>
      </c>
      <c r="P886">
        <f t="shared" si="80"/>
        <v>1.6301769911504425</v>
      </c>
      <c r="Q886" s="2">
        <f t="shared" si="81"/>
        <v>6.822592592592593</v>
      </c>
      <c r="R886" s="2">
        <f t="shared" si="82"/>
        <v>36.841999999999999</v>
      </c>
      <c r="S886" s="2">
        <f t="shared" si="83"/>
        <v>7.3448781282232236</v>
      </c>
    </row>
    <row r="887" spans="1:19" hidden="1">
      <c r="A887" t="s">
        <v>940</v>
      </c>
      <c r="B887" t="s">
        <v>30</v>
      </c>
      <c r="C887">
        <v>140</v>
      </c>
      <c r="D887">
        <v>5297</v>
      </c>
      <c r="E887" s="2">
        <v>223.9</v>
      </c>
      <c r="F887">
        <v>28</v>
      </c>
      <c r="G887">
        <v>6</v>
      </c>
      <c r="H887">
        <v>4.2999999999999997E-2</v>
      </c>
      <c r="I887" s="3">
        <v>1630</v>
      </c>
      <c r="J887" s="1">
        <v>45617</v>
      </c>
      <c r="K887" t="s">
        <v>31</v>
      </c>
      <c r="L887" t="s">
        <v>8</v>
      </c>
      <c r="M887" t="s">
        <v>35</v>
      </c>
      <c r="N887" s="1">
        <f t="shared" si="78"/>
        <v>45617</v>
      </c>
      <c r="O887" s="4">
        <f t="shared" si="79"/>
        <v>2.6430054747970548E-2</v>
      </c>
      <c r="P887">
        <f t="shared" si="80"/>
        <v>1.5992857142857144</v>
      </c>
      <c r="Q887" s="2">
        <f t="shared" si="81"/>
        <v>7.9964285714285719</v>
      </c>
      <c r="R887" s="2">
        <f t="shared" si="82"/>
        <v>37.31666666666667</v>
      </c>
      <c r="S887" s="2">
        <f t="shared" si="83"/>
        <v>7.2800357302367127</v>
      </c>
    </row>
    <row r="888" spans="1:19">
      <c r="A888" t="s">
        <v>941</v>
      </c>
      <c r="B888" t="s">
        <v>30</v>
      </c>
      <c r="C888">
        <v>170</v>
      </c>
      <c r="D888">
        <v>3347</v>
      </c>
      <c r="E888" s="2">
        <v>248.44</v>
      </c>
      <c r="F888">
        <v>27</v>
      </c>
      <c r="G888">
        <v>3</v>
      </c>
      <c r="H888">
        <v>4.5999999999999999E-2</v>
      </c>
      <c r="I888" s="3">
        <v>1719</v>
      </c>
      <c r="J888" s="1">
        <v>45616</v>
      </c>
      <c r="K888" t="s">
        <v>31</v>
      </c>
      <c r="L888" t="s">
        <v>7</v>
      </c>
      <c r="M888" t="s">
        <v>32</v>
      </c>
      <c r="N888" s="1">
        <f t="shared" si="78"/>
        <v>45616</v>
      </c>
      <c r="O888" s="4">
        <f t="shared" si="79"/>
        <v>5.0791753809381536E-2</v>
      </c>
      <c r="P888">
        <f t="shared" si="80"/>
        <v>1.4614117647058824</v>
      </c>
      <c r="Q888" s="2">
        <f t="shared" si="81"/>
        <v>9.2014814814814816</v>
      </c>
      <c r="R888" s="2">
        <f t="shared" si="82"/>
        <v>82.813333333333333</v>
      </c>
      <c r="S888" s="2">
        <f t="shared" si="83"/>
        <v>6.9191756560940272</v>
      </c>
    </row>
    <row r="889" spans="1:19" hidden="1">
      <c r="A889" t="s">
        <v>942</v>
      </c>
      <c r="B889" t="s">
        <v>30</v>
      </c>
      <c r="C889">
        <v>176</v>
      </c>
      <c r="D889">
        <v>5960</v>
      </c>
      <c r="E889" s="2">
        <v>245.33</v>
      </c>
      <c r="F889">
        <v>19</v>
      </c>
      <c r="G889">
        <v>8</v>
      </c>
      <c r="H889">
        <v>4.4999999999999998E-2</v>
      </c>
      <c r="I889" s="3">
        <v>1761</v>
      </c>
      <c r="J889" s="1">
        <v>45621</v>
      </c>
      <c r="K889" t="s">
        <v>31</v>
      </c>
      <c r="L889" t="s">
        <v>9</v>
      </c>
      <c r="M889" t="s">
        <v>46</v>
      </c>
      <c r="N889" s="1">
        <f t="shared" si="78"/>
        <v>45621</v>
      </c>
      <c r="O889" s="4">
        <f t="shared" si="79"/>
        <v>2.9530201342281879E-2</v>
      </c>
      <c r="P889">
        <f t="shared" si="80"/>
        <v>1.3939204545454547</v>
      </c>
      <c r="Q889" s="2">
        <f t="shared" si="81"/>
        <v>12.912105263157896</v>
      </c>
      <c r="R889" s="2">
        <f t="shared" si="82"/>
        <v>30.666250000000002</v>
      </c>
      <c r="S889" s="2">
        <f t="shared" si="83"/>
        <v>7.1780866587861247</v>
      </c>
    </row>
    <row r="890" spans="1:19">
      <c r="A890" t="s">
        <v>943</v>
      </c>
      <c r="B890" t="s">
        <v>30</v>
      </c>
      <c r="C890">
        <v>139</v>
      </c>
      <c r="D890">
        <v>5143</v>
      </c>
      <c r="E890" s="2">
        <v>246.3</v>
      </c>
      <c r="F890">
        <v>19</v>
      </c>
      <c r="G890">
        <v>5</v>
      </c>
      <c r="H890">
        <v>4.5999999999999999E-2</v>
      </c>
      <c r="I890" s="3">
        <v>1346</v>
      </c>
      <c r="J890" s="1">
        <v>45423</v>
      </c>
      <c r="K890" t="s">
        <v>31</v>
      </c>
      <c r="L890" t="s">
        <v>8</v>
      </c>
      <c r="M890" t="s">
        <v>39</v>
      </c>
      <c r="N890" s="1">
        <f t="shared" si="78"/>
        <v>45423</v>
      </c>
      <c r="O890" s="4">
        <f t="shared" si="79"/>
        <v>2.7027027027027029E-2</v>
      </c>
      <c r="P890">
        <f t="shared" si="80"/>
        <v>1.7719424460431656</v>
      </c>
      <c r="Q890" s="2">
        <f t="shared" si="81"/>
        <v>12.963157894736844</v>
      </c>
      <c r="R890" s="2">
        <f t="shared" si="82"/>
        <v>49.260000000000005</v>
      </c>
      <c r="S890" s="2">
        <f t="shared" si="83"/>
        <v>5.4648802273650015</v>
      </c>
    </row>
    <row r="891" spans="1:19" hidden="1">
      <c r="A891" t="s">
        <v>944</v>
      </c>
      <c r="B891" t="s">
        <v>30</v>
      </c>
      <c r="C891">
        <v>195</v>
      </c>
      <c r="D891">
        <v>5265</v>
      </c>
      <c r="E891" s="2">
        <v>242</v>
      </c>
      <c r="F891">
        <v>10</v>
      </c>
      <c r="G891">
        <v>4</v>
      </c>
      <c r="H891">
        <v>5.3999999999999999E-2</v>
      </c>
      <c r="I891" s="3">
        <v>1699</v>
      </c>
      <c r="J891" s="1">
        <v>45604</v>
      </c>
      <c r="K891" t="s">
        <v>31</v>
      </c>
      <c r="L891" t="s">
        <v>9</v>
      </c>
      <c r="M891" t="s">
        <v>41</v>
      </c>
      <c r="N891" s="1">
        <f t="shared" si="78"/>
        <v>45604</v>
      </c>
      <c r="O891" s="4">
        <f t="shared" si="79"/>
        <v>3.7037037037037035E-2</v>
      </c>
      <c r="P891">
        <f t="shared" si="80"/>
        <v>1.2410256410256411</v>
      </c>
      <c r="Q891" s="2">
        <f t="shared" si="81"/>
        <v>24.2</v>
      </c>
      <c r="R891" s="2">
        <f t="shared" si="82"/>
        <v>60.5</v>
      </c>
      <c r="S891" s="2">
        <f t="shared" si="83"/>
        <v>7.0206611570247937</v>
      </c>
    </row>
    <row r="892" spans="1:19" hidden="1">
      <c r="A892" t="s">
        <v>945</v>
      </c>
      <c r="B892" t="s">
        <v>30</v>
      </c>
      <c r="C892">
        <v>162</v>
      </c>
      <c r="D892">
        <v>4396</v>
      </c>
      <c r="E892" s="2">
        <v>183.96</v>
      </c>
      <c r="F892">
        <v>18</v>
      </c>
      <c r="G892">
        <v>4</v>
      </c>
      <c r="H892">
        <v>4.2999999999999997E-2</v>
      </c>
      <c r="I892" s="3">
        <v>1054</v>
      </c>
      <c r="J892" s="1">
        <v>45614</v>
      </c>
      <c r="K892" t="s">
        <v>31</v>
      </c>
      <c r="L892" t="s">
        <v>9</v>
      </c>
      <c r="M892" t="s">
        <v>37</v>
      </c>
      <c r="N892" s="1">
        <f t="shared" si="78"/>
        <v>45614</v>
      </c>
      <c r="O892" s="4">
        <f t="shared" si="79"/>
        <v>3.6851683348498636E-2</v>
      </c>
      <c r="P892">
        <f t="shared" si="80"/>
        <v>1.1355555555555557</v>
      </c>
      <c r="Q892" s="2">
        <f t="shared" si="81"/>
        <v>10.220000000000001</v>
      </c>
      <c r="R892" s="2">
        <f t="shared" si="82"/>
        <v>45.99</v>
      </c>
      <c r="S892" s="2">
        <f t="shared" si="83"/>
        <v>5.7295064144379211</v>
      </c>
    </row>
    <row r="893" spans="1:19">
      <c r="A893" t="s">
        <v>946</v>
      </c>
      <c r="B893" t="s">
        <v>30</v>
      </c>
      <c r="C893">
        <v>138</v>
      </c>
      <c r="D893">
        <v>4381</v>
      </c>
      <c r="E893" s="2">
        <v>191.55</v>
      </c>
      <c r="F893">
        <v>28</v>
      </c>
      <c r="G893">
        <v>7</v>
      </c>
      <c r="H893">
        <v>4.5999999999999999E-2</v>
      </c>
      <c r="I893" s="3">
        <v>1756</v>
      </c>
      <c r="J893" s="1">
        <v>45597</v>
      </c>
      <c r="K893" t="s">
        <v>31</v>
      </c>
      <c r="L893" t="s">
        <v>9</v>
      </c>
      <c r="M893" t="s">
        <v>39</v>
      </c>
      <c r="N893" s="1">
        <f t="shared" si="78"/>
        <v>45597</v>
      </c>
      <c r="O893" s="4">
        <f t="shared" si="79"/>
        <v>3.1499657612417256E-2</v>
      </c>
      <c r="P893">
        <f t="shared" si="80"/>
        <v>1.3880434782608697</v>
      </c>
      <c r="Q893" s="2">
        <f t="shared" si="81"/>
        <v>6.8410714285714294</v>
      </c>
      <c r="R893" s="2">
        <f t="shared" si="82"/>
        <v>27.364285714285717</v>
      </c>
      <c r="S893" s="2">
        <f t="shared" si="83"/>
        <v>9.167319237796919</v>
      </c>
    </row>
    <row r="894" spans="1:19" hidden="1">
      <c r="A894" t="s">
        <v>947</v>
      </c>
      <c r="B894" t="s">
        <v>30</v>
      </c>
      <c r="C894">
        <v>177</v>
      </c>
      <c r="D894">
        <v>3965</v>
      </c>
      <c r="E894" s="2">
        <v>225.82</v>
      </c>
      <c r="F894">
        <v>15</v>
      </c>
      <c r="G894">
        <v>4</v>
      </c>
      <c r="H894">
        <v>2.3E-2</v>
      </c>
      <c r="I894" s="3">
        <v>1530</v>
      </c>
      <c r="J894" s="1" t="s">
        <v>73</v>
      </c>
      <c r="K894" t="s">
        <v>31</v>
      </c>
      <c r="L894" t="s">
        <v>8</v>
      </c>
      <c r="M894" t="s">
        <v>41</v>
      </c>
      <c r="N894" s="1">
        <f t="shared" si="78"/>
        <v>45618</v>
      </c>
      <c r="O894" s="4">
        <f t="shared" si="79"/>
        <v>4.4640605296342999E-2</v>
      </c>
      <c r="P894">
        <f t="shared" si="80"/>
        <v>1.2758192090395479</v>
      </c>
      <c r="Q894" s="2">
        <f t="shared" si="81"/>
        <v>15.054666666666666</v>
      </c>
      <c r="R894" s="2">
        <f t="shared" si="82"/>
        <v>56.454999999999998</v>
      </c>
      <c r="S894" s="2">
        <f t="shared" si="83"/>
        <v>6.7753077672482513</v>
      </c>
    </row>
    <row r="895" spans="1:19" hidden="1">
      <c r="A895" t="s">
        <v>948</v>
      </c>
      <c r="B895" t="s">
        <v>30</v>
      </c>
      <c r="C895">
        <v>159</v>
      </c>
      <c r="D895">
        <v>3366</v>
      </c>
      <c r="E895" s="2">
        <v>217.27</v>
      </c>
      <c r="F895">
        <v>21</v>
      </c>
      <c r="G895">
        <v>7</v>
      </c>
      <c r="H895">
        <v>4.3999999999999997E-2</v>
      </c>
      <c r="I895" s="3">
        <v>1515</v>
      </c>
      <c r="J895" s="1">
        <v>45613</v>
      </c>
      <c r="K895" t="s">
        <v>31</v>
      </c>
      <c r="L895" t="s">
        <v>9</v>
      </c>
      <c r="M895" t="s">
        <v>41</v>
      </c>
      <c r="N895" s="1">
        <f t="shared" si="78"/>
        <v>45613</v>
      </c>
      <c r="O895" s="4">
        <f t="shared" si="79"/>
        <v>4.7237076648841352E-2</v>
      </c>
      <c r="P895">
        <f t="shared" si="80"/>
        <v>1.3664779874213837</v>
      </c>
      <c r="Q895" s="2">
        <f t="shared" si="81"/>
        <v>10.346190476190477</v>
      </c>
      <c r="R895" s="2">
        <f t="shared" si="82"/>
        <v>31.03857142857143</v>
      </c>
      <c r="S895" s="2">
        <f t="shared" si="83"/>
        <v>6.9728908731071932</v>
      </c>
    </row>
    <row r="896" spans="1:19">
      <c r="A896" t="s">
        <v>949</v>
      </c>
      <c r="B896" t="s">
        <v>30</v>
      </c>
      <c r="C896">
        <v>111</v>
      </c>
      <c r="D896">
        <v>4026</v>
      </c>
      <c r="E896" s="2">
        <v>229.01</v>
      </c>
      <c r="F896">
        <v>13</v>
      </c>
      <c r="G896">
        <v>3</v>
      </c>
      <c r="H896">
        <v>4.5999999999999999E-2</v>
      </c>
      <c r="I896" s="3">
        <v>1438</v>
      </c>
      <c r="J896" s="1">
        <v>45597</v>
      </c>
      <c r="K896" t="s">
        <v>31</v>
      </c>
      <c r="L896" t="s">
        <v>7</v>
      </c>
      <c r="M896" t="s">
        <v>32</v>
      </c>
      <c r="N896" s="1">
        <f t="shared" si="78"/>
        <v>45597</v>
      </c>
      <c r="O896" s="4">
        <f t="shared" si="79"/>
        <v>2.7570789865871834E-2</v>
      </c>
      <c r="P896">
        <f t="shared" si="80"/>
        <v>2.0631531531531531</v>
      </c>
      <c r="Q896" s="2">
        <f t="shared" si="81"/>
        <v>17.616153846153846</v>
      </c>
      <c r="R896" s="2">
        <f t="shared" si="82"/>
        <v>76.336666666666659</v>
      </c>
      <c r="S896" s="2">
        <f t="shared" si="83"/>
        <v>6.2792017815815901</v>
      </c>
    </row>
    <row r="897" spans="1:19">
      <c r="A897" t="s">
        <v>950</v>
      </c>
      <c r="B897" t="s">
        <v>30</v>
      </c>
      <c r="C897">
        <v>184</v>
      </c>
      <c r="D897">
        <v>5560</v>
      </c>
      <c r="E897" s="2">
        <v>189.14</v>
      </c>
      <c r="F897">
        <v>14</v>
      </c>
      <c r="G897">
        <v>6</v>
      </c>
      <c r="H897">
        <v>4.5999999999999999E-2</v>
      </c>
      <c r="I897" s="3">
        <v>1250</v>
      </c>
      <c r="J897" s="1">
        <v>45613</v>
      </c>
      <c r="K897" t="s">
        <v>31</v>
      </c>
      <c r="L897" t="s">
        <v>9</v>
      </c>
      <c r="M897" t="s">
        <v>37</v>
      </c>
      <c r="N897" s="1">
        <f t="shared" si="78"/>
        <v>45613</v>
      </c>
      <c r="O897" s="4">
        <f t="shared" si="79"/>
        <v>3.3093525179856115E-2</v>
      </c>
      <c r="P897">
        <f t="shared" si="80"/>
        <v>1.0279347826086955</v>
      </c>
      <c r="Q897" s="2">
        <f t="shared" si="81"/>
        <v>13.51</v>
      </c>
      <c r="R897" s="2">
        <f t="shared" si="82"/>
        <v>31.52333333333333</v>
      </c>
      <c r="S897" s="2">
        <f t="shared" si="83"/>
        <v>6.6088611610447296</v>
      </c>
    </row>
    <row r="898" spans="1:19">
      <c r="A898" t="s">
        <v>951</v>
      </c>
      <c r="B898" t="s">
        <v>30</v>
      </c>
      <c r="C898">
        <v>128</v>
      </c>
      <c r="D898">
        <v>4500</v>
      </c>
      <c r="E898" s="2">
        <v>188.21</v>
      </c>
      <c r="F898">
        <v>10</v>
      </c>
      <c r="G898">
        <v>3</v>
      </c>
      <c r="H898">
        <v>4.5999999999999999E-2</v>
      </c>
      <c r="I898" s="3">
        <v>1087</v>
      </c>
      <c r="J898" s="1">
        <v>45610</v>
      </c>
      <c r="K898" t="s">
        <v>31</v>
      </c>
      <c r="L898" t="s">
        <v>7</v>
      </c>
      <c r="M898" t="s">
        <v>41</v>
      </c>
      <c r="N898" s="1">
        <f t="shared" ref="N898:N961" si="84">IF(A898="","",IF(ISNUMBER(J898),J898,IF(MID(J898,5,1)="-",DATE(LEFT(J898,4),MID(J898,6,2),RIGHT(J898,2)),IF(MID(J898,5,1)="/",DATE(LEFT(J898,4),MID(J898,6,2),RIGHT(J898,2)),DATE(RIGHT(J898,4),MID(J898,4,2),LEFT(J898,2))))))</f>
        <v>45610</v>
      </c>
      <c r="O898" s="4">
        <f t="shared" ref="O898:O961" si="85">IFERROR(C898/D898,0)</f>
        <v>2.8444444444444446E-2</v>
      </c>
      <c r="P898">
        <f t="shared" ref="P898:P961" si="86">IFERROR(E898/C898,0)</f>
        <v>1.4703906250000001</v>
      </c>
      <c r="Q898" s="2">
        <f t="shared" ref="Q898:Q961" si="87">IFERROR(E898/F898,0)</f>
        <v>18.821000000000002</v>
      </c>
      <c r="R898" s="2">
        <f t="shared" ref="R898:R961" si="88">IFERROR(E898/G898,0)</f>
        <v>62.736666666666672</v>
      </c>
      <c r="S898" s="2">
        <f t="shared" ref="S898:S961" si="89">IFERROR(I898/E898,0)</f>
        <v>5.7754635779182824</v>
      </c>
    </row>
    <row r="899" spans="1:19" hidden="1">
      <c r="A899" t="s">
        <v>952</v>
      </c>
      <c r="B899" t="s">
        <v>30</v>
      </c>
      <c r="C899">
        <v>164</v>
      </c>
      <c r="D899">
        <v>3851</v>
      </c>
      <c r="E899" s="2">
        <v>219.15</v>
      </c>
      <c r="F899">
        <v>22</v>
      </c>
      <c r="G899">
        <v>6</v>
      </c>
      <c r="H899">
        <v>4.9000000000000002E-2</v>
      </c>
      <c r="I899" s="3">
        <v>1487</v>
      </c>
      <c r="J899" s="1">
        <v>45605</v>
      </c>
      <c r="K899" t="s">
        <v>31</v>
      </c>
      <c r="L899" t="s">
        <v>8</v>
      </c>
      <c r="M899" t="s">
        <v>32</v>
      </c>
      <c r="N899" s="1">
        <f t="shared" si="84"/>
        <v>45605</v>
      </c>
      <c r="O899" s="4">
        <f t="shared" si="85"/>
        <v>4.2586341210075304E-2</v>
      </c>
      <c r="P899">
        <f t="shared" si="86"/>
        <v>1.3362804878048782</v>
      </c>
      <c r="Q899" s="2">
        <f t="shared" si="87"/>
        <v>9.961363636363636</v>
      </c>
      <c r="R899" s="2">
        <f t="shared" si="88"/>
        <v>36.524999999999999</v>
      </c>
      <c r="S899" s="2">
        <f t="shared" si="89"/>
        <v>6.7853068674423911</v>
      </c>
    </row>
    <row r="900" spans="1:19" hidden="1">
      <c r="A900" t="s">
        <v>953</v>
      </c>
      <c r="B900" t="s">
        <v>30</v>
      </c>
      <c r="C900">
        <v>120</v>
      </c>
      <c r="D900">
        <v>3464</v>
      </c>
      <c r="E900" s="2">
        <v>228.3</v>
      </c>
      <c r="F900">
        <v>19</v>
      </c>
      <c r="G900">
        <v>4</v>
      </c>
      <c r="H900">
        <v>5.8000000000000003E-2</v>
      </c>
      <c r="I900" s="3">
        <v>1426</v>
      </c>
      <c r="J900" s="1" t="s">
        <v>73</v>
      </c>
      <c r="K900" t="s">
        <v>31</v>
      </c>
      <c r="L900" t="s">
        <v>9</v>
      </c>
      <c r="M900" t="s">
        <v>41</v>
      </c>
      <c r="N900" s="1">
        <f t="shared" si="84"/>
        <v>45618</v>
      </c>
      <c r="O900" s="4">
        <f t="shared" si="85"/>
        <v>3.4642032332563508E-2</v>
      </c>
      <c r="P900">
        <f t="shared" si="86"/>
        <v>1.9025000000000001</v>
      </c>
      <c r="Q900" s="2">
        <f t="shared" si="87"/>
        <v>12.015789473684212</v>
      </c>
      <c r="R900" s="2">
        <f t="shared" si="88"/>
        <v>57.075000000000003</v>
      </c>
      <c r="S900" s="2">
        <f t="shared" si="89"/>
        <v>6.2461673236968895</v>
      </c>
    </row>
    <row r="901" spans="1:19">
      <c r="A901" t="s">
        <v>954</v>
      </c>
      <c r="B901" t="s">
        <v>30</v>
      </c>
      <c r="C901">
        <v>89</v>
      </c>
      <c r="D901">
        <v>3248</v>
      </c>
      <c r="E901" s="2">
        <v>239.42</v>
      </c>
      <c r="F901">
        <v>10</v>
      </c>
      <c r="G901">
        <v>4</v>
      </c>
      <c r="H901">
        <v>4.5999999999999999E-2</v>
      </c>
      <c r="I901" s="3">
        <v>1505</v>
      </c>
      <c r="J901" s="1">
        <v>45607</v>
      </c>
      <c r="K901" t="s">
        <v>31</v>
      </c>
      <c r="L901" t="s">
        <v>8</v>
      </c>
      <c r="M901" t="s">
        <v>32</v>
      </c>
      <c r="N901" s="1">
        <f t="shared" si="84"/>
        <v>45607</v>
      </c>
      <c r="O901" s="4">
        <f t="shared" si="85"/>
        <v>2.7401477832512317E-2</v>
      </c>
      <c r="P901">
        <f t="shared" si="86"/>
        <v>2.6901123595505618</v>
      </c>
      <c r="Q901" s="2">
        <f t="shared" si="87"/>
        <v>23.942</v>
      </c>
      <c r="R901" s="2">
        <f t="shared" si="88"/>
        <v>59.854999999999997</v>
      </c>
      <c r="S901" s="2">
        <f t="shared" si="89"/>
        <v>6.286024559351767</v>
      </c>
    </row>
    <row r="902" spans="1:19" hidden="1">
      <c r="A902" t="s">
        <v>955</v>
      </c>
      <c r="B902" t="s">
        <v>30</v>
      </c>
      <c r="C902">
        <v>91</v>
      </c>
      <c r="D902">
        <v>3721</v>
      </c>
      <c r="E902" s="2">
        <v>231.45</v>
      </c>
      <c r="F902">
        <v>24</v>
      </c>
      <c r="G902">
        <v>6</v>
      </c>
      <c r="H902">
        <v>0.06</v>
      </c>
      <c r="I902" s="3">
        <v>1505</v>
      </c>
      <c r="J902" s="1">
        <v>45610</v>
      </c>
      <c r="K902" t="s">
        <v>31</v>
      </c>
      <c r="L902" t="s">
        <v>9</v>
      </c>
      <c r="M902" t="s">
        <v>41</v>
      </c>
      <c r="N902" s="1">
        <f t="shared" si="84"/>
        <v>45610</v>
      </c>
      <c r="O902" s="4">
        <f t="shared" si="85"/>
        <v>2.445579145391024E-2</v>
      </c>
      <c r="P902">
        <f t="shared" si="86"/>
        <v>2.5434065934065933</v>
      </c>
      <c r="Q902" s="2">
        <f t="shared" si="87"/>
        <v>9.6437499999999989</v>
      </c>
      <c r="R902" s="2">
        <f t="shared" si="88"/>
        <v>38.574999999999996</v>
      </c>
      <c r="S902" s="2">
        <f t="shared" si="89"/>
        <v>6.5024843378699506</v>
      </c>
    </row>
    <row r="903" spans="1:19" hidden="1">
      <c r="A903" t="s">
        <v>956</v>
      </c>
      <c r="B903" t="s">
        <v>30</v>
      </c>
      <c r="C903">
        <v>143</v>
      </c>
      <c r="D903">
        <v>4143</v>
      </c>
      <c r="E903" s="2">
        <v>191.68</v>
      </c>
      <c r="F903">
        <v>20</v>
      </c>
      <c r="G903">
        <v>5</v>
      </c>
      <c r="H903">
        <v>3.5000000000000003E-2</v>
      </c>
      <c r="I903" s="3">
        <v>1460</v>
      </c>
      <c r="J903" s="1">
        <v>45626</v>
      </c>
      <c r="K903" t="s">
        <v>31</v>
      </c>
      <c r="L903" t="s">
        <v>9</v>
      </c>
      <c r="M903" t="s">
        <v>46</v>
      </c>
      <c r="N903" s="1">
        <f t="shared" si="84"/>
        <v>45626</v>
      </c>
      <c r="O903" s="4">
        <f t="shared" si="85"/>
        <v>3.4516051170649285E-2</v>
      </c>
      <c r="P903">
        <f t="shared" si="86"/>
        <v>1.3404195804195804</v>
      </c>
      <c r="Q903" s="2">
        <f t="shared" si="87"/>
        <v>9.5839999999999996</v>
      </c>
      <c r="R903" s="2">
        <f t="shared" si="88"/>
        <v>38.335999999999999</v>
      </c>
      <c r="S903" s="2">
        <f t="shared" si="89"/>
        <v>7.6168614357262099</v>
      </c>
    </row>
    <row r="904" spans="1:19" hidden="1">
      <c r="A904" t="s">
        <v>957</v>
      </c>
      <c r="B904" t="s">
        <v>30</v>
      </c>
      <c r="C904">
        <v>176</v>
      </c>
      <c r="D904">
        <v>5768</v>
      </c>
      <c r="E904" s="2">
        <v>238.94</v>
      </c>
      <c r="F904">
        <v>14</v>
      </c>
      <c r="G904">
        <v>8</v>
      </c>
      <c r="H904">
        <v>4.4999999999999998E-2</v>
      </c>
      <c r="I904" s="3">
        <v>1016</v>
      </c>
      <c r="J904" s="1">
        <v>45598</v>
      </c>
      <c r="K904" t="s">
        <v>31</v>
      </c>
      <c r="L904" t="s">
        <v>9</v>
      </c>
      <c r="M904" t="s">
        <v>37</v>
      </c>
      <c r="N904" s="1">
        <f t="shared" si="84"/>
        <v>45598</v>
      </c>
      <c r="O904" s="4">
        <f t="shared" si="85"/>
        <v>3.0513176144244106E-2</v>
      </c>
      <c r="P904">
        <f t="shared" si="86"/>
        <v>1.3576136363636364</v>
      </c>
      <c r="Q904" s="2">
        <f t="shared" si="87"/>
        <v>17.067142857142859</v>
      </c>
      <c r="R904" s="2">
        <f t="shared" si="88"/>
        <v>29.8675</v>
      </c>
      <c r="S904" s="2">
        <f t="shared" si="89"/>
        <v>4.252113501297397</v>
      </c>
    </row>
    <row r="905" spans="1:19" hidden="1">
      <c r="A905" t="s">
        <v>958</v>
      </c>
      <c r="B905" t="s">
        <v>30</v>
      </c>
      <c r="C905">
        <v>151</v>
      </c>
      <c r="D905">
        <v>4408</v>
      </c>
      <c r="E905" s="2">
        <v>214.29</v>
      </c>
      <c r="F905">
        <v>20</v>
      </c>
      <c r="G905">
        <v>5</v>
      </c>
      <c r="H905">
        <v>3.3000000000000002E-2</v>
      </c>
      <c r="I905" s="3">
        <v>1900</v>
      </c>
      <c r="J905" s="1" t="s">
        <v>94</v>
      </c>
      <c r="K905" t="s">
        <v>31</v>
      </c>
      <c r="L905" t="s">
        <v>7</v>
      </c>
      <c r="M905" t="s">
        <v>35</v>
      </c>
      <c r="N905" s="1">
        <f t="shared" si="84"/>
        <v>45617</v>
      </c>
      <c r="O905" s="4">
        <f t="shared" si="85"/>
        <v>3.4255898366606169E-2</v>
      </c>
      <c r="P905">
        <f t="shared" si="86"/>
        <v>1.419139072847682</v>
      </c>
      <c r="Q905" s="2">
        <f t="shared" si="87"/>
        <v>10.714499999999999</v>
      </c>
      <c r="R905" s="2">
        <f t="shared" si="88"/>
        <v>42.857999999999997</v>
      </c>
      <c r="S905" s="2">
        <f t="shared" si="89"/>
        <v>8.8664893368799298</v>
      </c>
    </row>
    <row r="906" spans="1:19" hidden="1">
      <c r="A906" t="s">
        <v>959</v>
      </c>
      <c r="B906" t="s">
        <v>30</v>
      </c>
      <c r="C906">
        <v>134</v>
      </c>
      <c r="D906">
        <v>3623</v>
      </c>
      <c r="E906" s="2">
        <v>221.65</v>
      </c>
      <c r="F906">
        <v>19</v>
      </c>
      <c r="G906">
        <v>5</v>
      </c>
      <c r="H906">
        <v>4.7E-2</v>
      </c>
      <c r="I906" s="3">
        <v>1937</v>
      </c>
      <c r="J906" s="1">
        <v>45620</v>
      </c>
      <c r="K906" t="s">
        <v>31</v>
      </c>
      <c r="L906" t="s">
        <v>7</v>
      </c>
      <c r="M906" t="s">
        <v>37</v>
      </c>
      <c r="N906" s="1">
        <f t="shared" si="84"/>
        <v>45620</v>
      </c>
      <c r="O906" s="4">
        <f t="shared" si="85"/>
        <v>3.6985923268009938E-2</v>
      </c>
      <c r="P906">
        <f t="shared" si="86"/>
        <v>1.6541044776119402</v>
      </c>
      <c r="Q906" s="2">
        <f t="shared" si="87"/>
        <v>11.66578947368421</v>
      </c>
      <c r="R906" s="2">
        <f t="shared" si="88"/>
        <v>44.33</v>
      </c>
      <c r="S906" s="2">
        <f t="shared" si="89"/>
        <v>8.739002932551319</v>
      </c>
    </row>
    <row r="907" spans="1:19" hidden="1">
      <c r="A907" t="s">
        <v>960</v>
      </c>
      <c r="B907" t="s">
        <v>30</v>
      </c>
      <c r="C907">
        <v>191</v>
      </c>
      <c r="D907">
        <v>3057</v>
      </c>
      <c r="E907" s="2">
        <v>223.28</v>
      </c>
      <c r="F907">
        <v>27</v>
      </c>
      <c r="G907">
        <v>6</v>
      </c>
      <c r="H907">
        <v>3.1E-2</v>
      </c>
      <c r="I907" s="3">
        <v>1208</v>
      </c>
      <c r="J907" s="1">
        <v>45599</v>
      </c>
      <c r="K907" t="s">
        <v>31</v>
      </c>
      <c r="L907" t="s">
        <v>7</v>
      </c>
      <c r="M907" t="s">
        <v>37</v>
      </c>
      <c r="N907" s="1">
        <f t="shared" si="84"/>
        <v>45599</v>
      </c>
      <c r="O907" s="4">
        <f t="shared" si="85"/>
        <v>6.2479555119398102E-2</v>
      </c>
      <c r="P907">
        <f t="shared" si="86"/>
        <v>1.1690052356020944</v>
      </c>
      <c r="Q907" s="2">
        <f t="shared" si="87"/>
        <v>8.2696296296296303</v>
      </c>
      <c r="R907" s="2">
        <f t="shared" si="88"/>
        <v>37.213333333333331</v>
      </c>
      <c r="S907" s="2">
        <f t="shared" si="89"/>
        <v>5.4102472232174845</v>
      </c>
    </row>
    <row r="908" spans="1:19" hidden="1">
      <c r="A908" t="s">
        <v>961</v>
      </c>
      <c r="B908" t="s">
        <v>30</v>
      </c>
      <c r="C908">
        <v>170</v>
      </c>
      <c r="D908">
        <v>3144</v>
      </c>
      <c r="E908" s="2">
        <v>215.57</v>
      </c>
      <c r="F908">
        <v>21</v>
      </c>
      <c r="G908">
        <v>3</v>
      </c>
      <c r="H908">
        <v>3.1E-2</v>
      </c>
      <c r="I908" s="3">
        <v>1695</v>
      </c>
      <c r="J908" s="1">
        <v>45601</v>
      </c>
      <c r="K908" t="s">
        <v>31</v>
      </c>
      <c r="L908" t="s">
        <v>7</v>
      </c>
      <c r="M908" t="s">
        <v>37</v>
      </c>
      <c r="N908" s="1">
        <f t="shared" si="84"/>
        <v>45601</v>
      </c>
      <c r="O908" s="4">
        <f t="shared" si="85"/>
        <v>5.407124681933842E-2</v>
      </c>
      <c r="P908">
        <f t="shared" si="86"/>
        <v>1.2680588235294117</v>
      </c>
      <c r="Q908" s="2">
        <f t="shared" si="87"/>
        <v>10.265238095238095</v>
      </c>
      <c r="R908" s="2">
        <f t="shared" si="88"/>
        <v>71.856666666666669</v>
      </c>
      <c r="S908" s="2">
        <f t="shared" si="89"/>
        <v>7.8628751681588351</v>
      </c>
    </row>
    <row r="909" spans="1:19">
      <c r="A909" t="s">
        <v>962</v>
      </c>
      <c r="B909" t="s">
        <v>30</v>
      </c>
      <c r="C909">
        <v>112</v>
      </c>
      <c r="D909">
        <v>3989</v>
      </c>
      <c r="E909" s="2">
        <v>228.74</v>
      </c>
      <c r="F909">
        <v>10</v>
      </c>
      <c r="G909">
        <v>8</v>
      </c>
      <c r="H909">
        <v>4.5999999999999999E-2</v>
      </c>
      <c r="I909" s="3">
        <v>1812</v>
      </c>
      <c r="J909" s="1" t="s">
        <v>217</v>
      </c>
      <c r="K909" t="s">
        <v>31</v>
      </c>
      <c r="L909" t="s">
        <v>8</v>
      </c>
      <c r="M909" t="s">
        <v>46</v>
      </c>
      <c r="N909" s="1">
        <f t="shared" si="84"/>
        <v>45609</v>
      </c>
      <c r="O909" s="4">
        <f t="shared" si="85"/>
        <v>2.8077212333918276E-2</v>
      </c>
      <c r="P909">
        <f t="shared" si="86"/>
        <v>2.0423214285714288</v>
      </c>
      <c r="Q909" s="2">
        <f t="shared" si="87"/>
        <v>22.874000000000002</v>
      </c>
      <c r="R909" s="2">
        <f t="shared" si="88"/>
        <v>28.592500000000001</v>
      </c>
      <c r="S909" s="2">
        <f t="shared" si="89"/>
        <v>7.921657777389175</v>
      </c>
    </row>
    <row r="910" spans="1:19" hidden="1">
      <c r="A910" t="s">
        <v>963</v>
      </c>
      <c r="B910" t="s">
        <v>30</v>
      </c>
      <c r="C910">
        <v>169</v>
      </c>
      <c r="D910">
        <v>3619</v>
      </c>
      <c r="E910" s="2">
        <v>246.66</v>
      </c>
      <c r="F910">
        <v>28</v>
      </c>
      <c r="G910">
        <v>3</v>
      </c>
      <c r="H910">
        <v>1.7999999999999999E-2</v>
      </c>
      <c r="I910" s="3">
        <v>1354</v>
      </c>
      <c r="J910" s="1">
        <v>45621</v>
      </c>
      <c r="K910" t="s">
        <v>31</v>
      </c>
      <c r="L910" t="s">
        <v>7</v>
      </c>
      <c r="M910" t="s">
        <v>41</v>
      </c>
      <c r="N910" s="1">
        <f t="shared" si="84"/>
        <v>45621</v>
      </c>
      <c r="O910" s="4">
        <f t="shared" si="85"/>
        <v>4.6697982868195632E-2</v>
      </c>
      <c r="P910">
        <f t="shared" si="86"/>
        <v>1.4595266272189349</v>
      </c>
      <c r="Q910" s="2">
        <f t="shared" si="87"/>
        <v>8.8092857142857142</v>
      </c>
      <c r="R910" s="2">
        <f t="shared" si="88"/>
        <v>82.22</v>
      </c>
      <c r="S910" s="2">
        <f t="shared" si="89"/>
        <v>5.4893375496635048</v>
      </c>
    </row>
    <row r="911" spans="1:19" hidden="1">
      <c r="A911" t="s">
        <v>964</v>
      </c>
      <c r="B911" t="s">
        <v>30</v>
      </c>
      <c r="C911">
        <v>172</v>
      </c>
      <c r="D911">
        <v>4696</v>
      </c>
      <c r="E911" s="2">
        <v>242.17</v>
      </c>
      <c r="F911">
        <v>26</v>
      </c>
      <c r="G911">
        <v>3</v>
      </c>
      <c r="H911">
        <v>1.7000000000000001E-2</v>
      </c>
      <c r="I911" s="3">
        <v>1719</v>
      </c>
      <c r="J911" s="1">
        <v>45602</v>
      </c>
      <c r="K911" t="s">
        <v>31</v>
      </c>
      <c r="L911" t="s">
        <v>7</v>
      </c>
      <c r="M911" t="s">
        <v>35</v>
      </c>
      <c r="N911" s="1">
        <f t="shared" si="84"/>
        <v>45602</v>
      </c>
      <c r="O911" s="4">
        <f t="shared" si="85"/>
        <v>3.6626916524701875E-2</v>
      </c>
      <c r="P911">
        <f t="shared" si="86"/>
        <v>1.4079651162790696</v>
      </c>
      <c r="Q911" s="2">
        <f t="shared" si="87"/>
        <v>9.3142307692307682</v>
      </c>
      <c r="R911" s="2">
        <f t="shared" si="88"/>
        <v>80.723333333333329</v>
      </c>
      <c r="S911" s="2">
        <f t="shared" si="89"/>
        <v>7.0983193624313499</v>
      </c>
    </row>
    <row r="912" spans="1:19">
      <c r="A912" t="s">
        <v>965</v>
      </c>
      <c r="B912" t="s">
        <v>30</v>
      </c>
      <c r="C912">
        <v>162</v>
      </c>
      <c r="D912">
        <v>5684</v>
      </c>
      <c r="E912" s="2">
        <v>219.08</v>
      </c>
      <c r="F912">
        <v>30</v>
      </c>
      <c r="G912">
        <v>7</v>
      </c>
      <c r="H912">
        <v>4.5999999999999999E-2</v>
      </c>
      <c r="I912" s="3">
        <v>1295</v>
      </c>
      <c r="J912" s="1">
        <v>45622</v>
      </c>
      <c r="K912" t="s">
        <v>31</v>
      </c>
      <c r="L912" t="s">
        <v>7</v>
      </c>
      <c r="M912" t="s">
        <v>35</v>
      </c>
      <c r="N912" s="1">
        <f t="shared" si="84"/>
        <v>45622</v>
      </c>
      <c r="O912" s="4">
        <f t="shared" si="85"/>
        <v>2.8501055594651655E-2</v>
      </c>
      <c r="P912">
        <f t="shared" si="86"/>
        <v>1.3523456790123458</v>
      </c>
      <c r="Q912" s="2">
        <f t="shared" si="87"/>
        <v>7.3026666666666671</v>
      </c>
      <c r="R912" s="2">
        <f t="shared" si="88"/>
        <v>31.297142857142859</v>
      </c>
      <c r="S912" s="2">
        <f t="shared" si="89"/>
        <v>5.9110827095125069</v>
      </c>
    </row>
    <row r="913" spans="1:19">
      <c r="A913" t="s">
        <v>966</v>
      </c>
      <c r="B913" t="s">
        <v>30</v>
      </c>
      <c r="C913">
        <v>183</v>
      </c>
      <c r="D913">
        <v>4197</v>
      </c>
      <c r="E913" s="2">
        <v>243.19</v>
      </c>
      <c r="F913">
        <v>29</v>
      </c>
      <c r="G913">
        <v>8</v>
      </c>
      <c r="H913">
        <v>4.5999999999999999E-2</v>
      </c>
      <c r="I913" s="3">
        <v>1593</v>
      </c>
      <c r="J913" s="1">
        <v>45605</v>
      </c>
      <c r="K913" t="s">
        <v>31</v>
      </c>
      <c r="L913" t="s">
        <v>8</v>
      </c>
      <c r="M913" t="s">
        <v>39</v>
      </c>
      <c r="N913" s="1">
        <f t="shared" si="84"/>
        <v>45605</v>
      </c>
      <c r="O913" s="4">
        <f t="shared" si="85"/>
        <v>4.360257326661901E-2</v>
      </c>
      <c r="P913">
        <f t="shared" si="86"/>
        <v>1.3289071038251365</v>
      </c>
      <c r="Q913" s="2">
        <f t="shared" si="87"/>
        <v>8.3858620689655172</v>
      </c>
      <c r="R913" s="2">
        <f t="shared" si="88"/>
        <v>30.39875</v>
      </c>
      <c r="S913" s="2">
        <f t="shared" si="89"/>
        <v>6.5504338171799832</v>
      </c>
    </row>
    <row r="914" spans="1:19" hidden="1">
      <c r="A914" t="s">
        <v>967</v>
      </c>
      <c r="B914" t="s">
        <v>30</v>
      </c>
      <c r="C914">
        <v>108</v>
      </c>
      <c r="D914">
        <v>5949</v>
      </c>
      <c r="E914" s="2">
        <v>184.25</v>
      </c>
      <c r="F914">
        <v>23</v>
      </c>
      <c r="G914">
        <v>8</v>
      </c>
      <c r="H914">
        <v>7.3999999999999996E-2</v>
      </c>
      <c r="I914" s="3">
        <v>1986</v>
      </c>
      <c r="J914" s="1">
        <v>45619</v>
      </c>
      <c r="K914" t="s">
        <v>31</v>
      </c>
      <c r="L914" t="s">
        <v>7</v>
      </c>
      <c r="M914" t="s">
        <v>39</v>
      </c>
      <c r="N914" s="1">
        <f t="shared" si="84"/>
        <v>45619</v>
      </c>
      <c r="O914" s="4">
        <f t="shared" si="85"/>
        <v>1.8154311649016642E-2</v>
      </c>
      <c r="P914">
        <f t="shared" si="86"/>
        <v>1.7060185185185186</v>
      </c>
      <c r="Q914" s="2">
        <f t="shared" si="87"/>
        <v>8.0108695652173907</v>
      </c>
      <c r="R914" s="2">
        <f t="shared" si="88"/>
        <v>23.03125</v>
      </c>
      <c r="S914" s="2">
        <f t="shared" si="89"/>
        <v>10.778833107191316</v>
      </c>
    </row>
    <row r="915" spans="1:19">
      <c r="A915" t="s">
        <v>968</v>
      </c>
      <c r="B915" t="s">
        <v>30</v>
      </c>
      <c r="C915">
        <v>126</v>
      </c>
      <c r="D915">
        <v>3784</v>
      </c>
      <c r="E915" s="2">
        <v>215.57</v>
      </c>
      <c r="F915">
        <v>24</v>
      </c>
      <c r="G915">
        <v>5</v>
      </c>
      <c r="H915">
        <v>4.5999999999999999E-2</v>
      </c>
      <c r="I915" s="3">
        <v>1951</v>
      </c>
      <c r="J915" s="1" t="s">
        <v>357</v>
      </c>
      <c r="K915" t="s">
        <v>31</v>
      </c>
      <c r="L915" t="s">
        <v>8</v>
      </c>
      <c r="M915" t="s">
        <v>46</v>
      </c>
      <c r="N915" s="1">
        <f t="shared" si="84"/>
        <v>45624</v>
      </c>
      <c r="O915" s="4">
        <f t="shared" si="85"/>
        <v>3.3298097251585626E-2</v>
      </c>
      <c r="P915">
        <f t="shared" si="86"/>
        <v>1.7108730158730159</v>
      </c>
      <c r="Q915" s="2">
        <f t="shared" si="87"/>
        <v>8.9820833333333336</v>
      </c>
      <c r="R915" s="2">
        <f t="shared" si="88"/>
        <v>43.113999999999997</v>
      </c>
      <c r="S915" s="2">
        <f t="shared" si="89"/>
        <v>9.0504244560931486</v>
      </c>
    </row>
    <row r="916" spans="1:19" hidden="1">
      <c r="A916" t="s">
        <v>969</v>
      </c>
      <c r="B916" t="s">
        <v>30</v>
      </c>
      <c r="C916">
        <v>174</v>
      </c>
      <c r="D916">
        <v>3570</v>
      </c>
      <c r="E916" s="2">
        <v>222.65</v>
      </c>
      <c r="F916">
        <v>25</v>
      </c>
      <c r="G916">
        <v>3</v>
      </c>
      <c r="H916">
        <v>1.7000000000000001E-2</v>
      </c>
      <c r="I916" s="3">
        <v>1505</v>
      </c>
      <c r="J916" s="1">
        <v>45615</v>
      </c>
      <c r="K916" t="s">
        <v>31</v>
      </c>
      <c r="L916" t="s">
        <v>9</v>
      </c>
      <c r="M916" t="s">
        <v>32</v>
      </c>
      <c r="N916" s="1">
        <f t="shared" si="84"/>
        <v>45615</v>
      </c>
      <c r="O916" s="4">
        <f t="shared" si="85"/>
        <v>4.8739495798319328E-2</v>
      </c>
      <c r="P916">
        <f t="shared" si="86"/>
        <v>1.2795977011494253</v>
      </c>
      <c r="Q916" s="2">
        <f t="shared" si="87"/>
        <v>8.9060000000000006</v>
      </c>
      <c r="R916" s="2">
        <f t="shared" si="88"/>
        <v>74.216666666666669</v>
      </c>
      <c r="S916" s="2">
        <f t="shared" si="89"/>
        <v>6.7594879856276666</v>
      </c>
    </row>
    <row r="917" spans="1:19">
      <c r="A917" t="s">
        <v>970</v>
      </c>
      <c r="B917" t="s">
        <v>30</v>
      </c>
      <c r="C917">
        <v>122</v>
      </c>
      <c r="D917">
        <v>4632</v>
      </c>
      <c r="E917" s="2">
        <v>236.57</v>
      </c>
      <c r="F917">
        <v>13</v>
      </c>
      <c r="G917">
        <v>6</v>
      </c>
      <c r="H917">
        <v>4.5999999999999999E-2</v>
      </c>
      <c r="I917" s="3">
        <v>1001</v>
      </c>
      <c r="J917" s="1">
        <v>45611</v>
      </c>
      <c r="K917" t="s">
        <v>31</v>
      </c>
      <c r="L917" t="s">
        <v>7</v>
      </c>
      <c r="M917" t="s">
        <v>35</v>
      </c>
      <c r="N917" s="1">
        <f t="shared" si="84"/>
        <v>45611</v>
      </c>
      <c r="O917" s="4">
        <f t="shared" si="85"/>
        <v>2.6338514680483593E-2</v>
      </c>
      <c r="P917">
        <f t="shared" si="86"/>
        <v>1.9390983606557377</v>
      </c>
      <c r="Q917" s="2">
        <f t="shared" si="87"/>
        <v>18.197692307692307</v>
      </c>
      <c r="R917" s="2">
        <f t="shared" si="88"/>
        <v>39.428333333333335</v>
      </c>
      <c r="S917" s="2">
        <f t="shared" si="89"/>
        <v>4.2313057445999069</v>
      </c>
    </row>
    <row r="918" spans="1:19" hidden="1">
      <c r="A918" t="s">
        <v>971</v>
      </c>
      <c r="B918" t="s">
        <v>30</v>
      </c>
      <c r="C918">
        <v>191</v>
      </c>
      <c r="D918">
        <v>3457</v>
      </c>
      <c r="E918" s="2">
        <v>237.6</v>
      </c>
      <c r="F918">
        <v>20</v>
      </c>
      <c r="G918">
        <v>10</v>
      </c>
      <c r="H918">
        <v>5.1999999999999998E-2</v>
      </c>
      <c r="I918" s="3">
        <v>1505</v>
      </c>
      <c r="J918" s="1">
        <v>45601</v>
      </c>
      <c r="K918" t="s">
        <v>31</v>
      </c>
      <c r="L918" t="s">
        <v>7</v>
      </c>
      <c r="M918" t="s">
        <v>35</v>
      </c>
      <c r="N918" s="1">
        <f t="shared" si="84"/>
        <v>45601</v>
      </c>
      <c r="O918" s="4">
        <f t="shared" si="85"/>
        <v>5.5250216951113686E-2</v>
      </c>
      <c r="P918">
        <f t="shared" si="86"/>
        <v>1.243979057591623</v>
      </c>
      <c r="Q918" s="2">
        <f t="shared" si="87"/>
        <v>11.879999999999999</v>
      </c>
      <c r="R918" s="2">
        <f t="shared" si="88"/>
        <v>23.759999999999998</v>
      </c>
      <c r="S918" s="2">
        <f t="shared" si="89"/>
        <v>6.3341750841750839</v>
      </c>
    </row>
    <row r="919" spans="1:19" hidden="1">
      <c r="A919" t="s">
        <v>972</v>
      </c>
      <c r="B919" t="s">
        <v>30</v>
      </c>
      <c r="C919">
        <v>122</v>
      </c>
      <c r="D919">
        <v>4525</v>
      </c>
      <c r="E919" s="2">
        <v>202.89</v>
      </c>
      <c r="F919">
        <v>23</v>
      </c>
      <c r="G919">
        <v>8</v>
      </c>
      <c r="H919">
        <v>3.4000000000000002E-2</v>
      </c>
      <c r="I919" s="3">
        <v>1499</v>
      </c>
      <c r="J919" s="1" t="s">
        <v>73</v>
      </c>
      <c r="K919" t="s">
        <v>31</v>
      </c>
      <c r="L919" t="s">
        <v>9</v>
      </c>
      <c r="M919" t="s">
        <v>39</v>
      </c>
      <c r="N919" s="1">
        <f t="shared" si="84"/>
        <v>45618</v>
      </c>
      <c r="O919" s="4">
        <f t="shared" si="85"/>
        <v>2.696132596685083E-2</v>
      </c>
      <c r="P919">
        <f t="shared" si="86"/>
        <v>1.6630327868852457</v>
      </c>
      <c r="Q919" s="2">
        <f t="shared" si="87"/>
        <v>8.8213043478260857</v>
      </c>
      <c r="R919" s="2">
        <f t="shared" si="88"/>
        <v>25.361249999999998</v>
      </c>
      <c r="S919" s="2">
        <f t="shared" si="89"/>
        <v>7.3882399329686042</v>
      </c>
    </row>
    <row r="920" spans="1:19" hidden="1">
      <c r="A920" t="s">
        <v>973</v>
      </c>
      <c r="B920" t="s">
        <v>30</v>
      </c>
      <c r="C920">
        <v>175</v>
      </c>
      <c r="D920">
        <v>4850</v>
      </c>
      <c r="E920" s="2">
        <v>186.25</v>
      </c>
      <c r="F920">
        <v>28</v>
      </c>
      <c r="G920">
        <v>10</v>
      </c>
      <c r="H920">
        <v>5.7000000000000002E-2</v>
      </c>
      <c r="I920" s="3">
        <v>1978</v>
      </c>
      <c r="J920" s="1">
        <v>45614</v>
      </c>
      <c r="K920" t="s">
        <v>31</v>
      </c>
      <c r="L920" t="s">
        <v>7</v>
      </c>
      <c r="M920" t="s">
        <v>46</v>
      </c>
      <c r="N920" s="1">
        <f t="shared" si="84"/>
        <v>45614</v>
      </c>
      <c r="O920" s="4">
        <f t="shared" si="85"/>
        <v>3.608247422680412E-2</v>
      </c>
      <c r="P920">
        <f t="shared" si="86"/>
        <v>1.0642857142857143</v>
      </c>
      <c r="Q920" s="2">
        <f t="shared" si="87"/>
        <v>6.6517857142857144</v>
      </c>
      <c r="R920" s="2">
        <f t="shared" si="88"/>
        <v>18.625</v>
      </c>
      <c r="S920" s="2">
        <f t="shared" si="89"/>
        <v>10.62013422818792</v>
      </c>
    </row>
    <row r="921" spans="1:19" hidden="1">
      <c r="A921" t="s">
        <v>974</v>
      </c>
      <c r="B921" t="s">
        <v>30</v>
      </c>
      <c r="C921">
        <v>123</v>
      </c>
      <c r="D921">
        <v>4938</v>
      </c>
      <c r="E921" s="2">
        <v>180.64</v>
      </c>
      <c r="F921">
        <v>24</v>
      </c>
      <c r="G921">
        <v>9</v>
      </c>
      <c r="H921">
        <v>7.2999999999999995E-2</v>
      </c>
      <c r="I921" s="3">
        <v>1746</v>
      </c>
      <c r="J921" s="1" t="s">
        <v>94</v>
      </c>
      <c r="K921" t="s">
        <v>31</v>
      </c>
      <c r="L921" t="s">
        <v>9</v>
      </c>
      <c r="M921" t="s">
        <v>35</v>
      </c>
      <c r="N921" s="1">
        <f t="shared" si="84"/>
        <v>45617</v>
      </c>
      <c r="O921" s="4">
        <f t="shared" si="85"/>
        <v>2.490886998784933E-2</v>
      </c>
      <c r="P921">
        <f t="shared" si="86"/>
        <v>1.4686178861788617</v>
      </c>
      <c r="Q921" s="2">
        <f t="shared" si="87"/>
        <v>7.5266666666666664</v>
      </c>
      <c r="R921" s="2">
        <f t="shared" si="88"/>
        <v>20.071111111111108</v>
      </c>
      <c r="S921" s="2">
        <f t="shared" si="89"/>
        <v>9.665633303808681</v>
      </c>
    </row>
    <row r="922" spans="1:19" hidden="1">
      <c r="A922" t="s">
        <v>975</v>
      </c>
      <c r="B922" t="s">
        <v>30</v>
      </c>
      <c r="C922">
        <v>135</v>
      </c>
      <c r="D922">
        <v>5748</v>
      </c>
      <c r="E922" s="2">
        <v>239.22</v>
      </c>
      <c r="F922">
        <v>20</v>
      </c>
      <c r="G922">
        <v>7</v>
      </c>
      <c r="H922">
        <v>5.0999999999999997E-2</v>
      </c>
      <c r="I922" s="3">
        <v>1222</v>
      </c>
      <c r="J922" s="1">
        <v>45617</v>
      </c>
      <c r="K922" t="s">
        <v>31</v>
      </c>
      <c r="L922" t="s">
        <v>9</v>
      </c>
      <c r="M922" t="s">
        <v>46</v>
      </c>
      <c r="N922" s="1">
        <f t="shared" si="84"/>
        <v>45617</v>
      </c>
      <c r="O922" s="4">
        <f t="shared" si="85"/>
        <v>2.348643006263048E-2</v>
      </c>
      <c r="P922">
        <f t="shared" si="86"/>
        <v>1.772</v>
      </c>
      <c r="Q922" s="2">
        <f t="shared" si="87"/>
        <v>11.961</v>
      </c>
      <c r="R922" s="2">
        <f t="shared" si="88"/>
        <v>34.174285714285716</v>
      </c>
      <c r="S922" s="2">
        <f t="shared" si="89"/>
        <v>5.1082685394197807</v>
      </c>
    </row>
    <row r="923" spans="1:19">
      <c r="A923" t="s">
        <v>976</v>
      </c>
      <c r="B923" t="s">
        <v>30</v>
      </c>
      <c r="C923">
        <v>139</v>
      </c>
      <c r="D923">
        <v>4622</v>
      </c>
      <c r="E923" s="2">
        <v>187.85</v>
      </c>
      <c r="F923">
        <v>24</v>
      </c>
      <c r="G923">
        <v>5</v>
      </c>
      <c r="H923">
        <v>4.5999999999999999E-2</v>
      </c>
      <c r="I923" s="3">
        <v>1998</v>
      </c>
      <c r="J923" s="1">
        <v>45607</v>
      </c>
      <c r="K923" t="s">
        <v>31</v>
      </c>
      <c r="L923" t="s">
        <v>9</v>
      </c>
      <c r="M923" t="s">
        <v>46</v>
      </c>
      <c r="N923" s="1">
        <f t="shared" si="84"/>
        <v>45607</v>
      </c>
      <c r="O923" s="4">
        <f t="shared" si="85"/>
        <v>3.0073561228905237E-2</v>
      </c>
      <c r="P923">
        <f t="shared" si="86"/>
        <v>1.3514388489208633</v>
      </c>
      <c r="Q923" s="2">
        <f t="shared" si="87"/>
        <v>7.8270833333333334</v>
      </c>
      <c r="R923" s="2">
        <f t="shared" si="88"/>
        <v>37.57</v>
      </c>
      <c r="S923" s="2">
        <f t="shared" si="89"/>
        <v>10.636145861059356</v>
      </c>
    </row>
    <row r="924" spans="1:19" hidden="1">
      <c r="A924" t="s">
        <v>977</v>
      </c>
      <c r="B924" t="s">
        <v>30</v>
      </c>
      <c r="C924">
        <v>90</v>
      </c>
      <c r="D924">
        <v>5596</v>
      </c>
      <c r="E924" s="2">
        <v>188.04</v>
      </c>
      <c r="F924">
        <v>12</v>
      </c>
      <c r="G924">
        <v>4</v>
      </c>
      <c r="H924">
        <v>4.3999999999999997E-2</v>
      </c>
      <c r="I924" s="3">
        <v>1505</v>
      </c>
      <c r="J924" s="1">
        <v>45613</v>
      </c>
      <c r="K924" t="s">
        <v>31</v>
      </c>
      <c r="L924" t="s">
        <v>8</v>
      </c>
      <c r="M924" t="s">
        <v>41</v>
      </c>
      <c r="N924" s="1">
        <f t="shared" si="84"/>
        <v>45613</v>
      </c>
      <c r="O924" s="4">
        <f t="shared" si="85"/>
        <v>1.6082916368834882E-2</v>
      </c>
      <c r="P924">
        <f t="shared" si="86"/>
        <v>2.0893333333333333</v>
      </c>
      <c r="Q924" s="2">
        <f t="shared" si="87"/>
        <v>15.67</v>
      </c>
      <c r="R924" s="2">
        <f t="shared" si="88"/>
        <v>47.01</v>
      </c>
      <c r="S924" s="2">
        <f t="shared" si="89"/>
        <v>8.0036162518613061</v>
      </c>
    </row>
    <row r="925" spans="1:19">
      <c r="A925" t="s">
        <v>978</v>
      </c>
      <c r="B925" t="s">
        <v>30</v>
      </c>
      <c r="C925">
        <v>139</v>
      </c>
      <c r="D925">
        <v>5308</v>
      </c>
      <c r="E925" s="2">
        <v>234.1</v>
      </c>
      <c r="F925">
        <v>27</v>
      </c>
      <c r="G925">
        <v>8</v>
      </c>
      <c r="H925">
        <v>4.5999999999999999E-2</v>
      </c>
      <c r="I925" s="3">
        <v>1150</v>
      </c>
      <c r="J925" s="1">
        <v>45612</v>
      </c>
      <c r="K925" t="s">
        <v>31</v>
      </c>
      <c r="L925" t="s">
        <v>9</v>
      </c>
      <c r="M925" t="s">
        <v>46</v>
      </c>
      <c r="N925" s="1">
        <f t="shared" si="84"/>
        <v>45612</v>
      </c>
      <c r="O925" s="4">
        <f t="shared" si="85"/>
        <v>2.6186887716654107E-2</v>
      </c>
      <c r="P925">
        <f t="shared" si="86"/>
        <v>1.6841726618705035</v>
      </c>
      <c r="Q925" s="2">
        <f t="shared" si="87"/>
        <v>8.6703703703703709</v>
      </c>
      <c r="R925" s="2">
        <f t="shared" si="88"/>
        <v>29.262499999999999</v>
      </c>
      <c r="S925" s="2">
        <f t="shared" si="89"/>
        <v>4.9124305852199912</v>
      </c>
    </row>
    <row r="926" spans="1:19">
      <c r="A926" t="s">
        <v>979</v>
      </c>
      <c r="B926" t="s">
        <v>30</v>
      </c>
      <c r="C926">
        <v>89</v>
      </c>
      <c r="D926">
        <v>3069</v>
      </c>
      <c r="E926" s="2">
        <v>205.37</v>
      </c>
      <c r="F926">
        <v>19</v>
      </c>
      <c r="G926">
        <v>6</v>
      </c>
      <c r="H926">
        <v>4.5999999999999999E-2</v>
      </c>
      <c r="I926" s="3">
        <v>1518</v>
      </c>
      <c r="J926" s="1">
        <v>45624</v>
      </c>
      <c r="K926" t="s">
        <v>31</v>
      </c>
      <c r="L926" t="s">
        <v>7</v>
      </c>
      <c r="M926" t="s">
        <v>37</v>
      </c>
      <c r="N926" s="1">
        <f t="shared" si="84"/>
        <v>45624</v>
      </c>
      <c r="O926" s="4">
        <f t="shared" si="85"/>
        <v>2.8999674160964484E-2</v>
      </c>
      <c r="P926">
        <f t="shared" si="86"/>
        <v>2.3075280898876405</v>
      </c>
      <c r="Q926" s="2">
        <f t="shared" si="87"/>
        <v>10.808947368421054</v>
      </c>
      <c r="R926" s="2">
        <f t="shared" si="88"/>
        <v>34.228333333333332</v>
      </c>
      <c r="S926" s="2">
        <f t="shared" si="89"/>
        <v>7.3915372254954468</v>
      </c>
    </row>
    <row r="927" spans="1:19" hidden="1">
      <c r="A927" t="s">
        <v>980</v>
      </c>
      <c r="B927" t="s">
        <v>30</v>
      </c>
      <c r="C927">
        <v>139</v>
      </c>
      <c r="D927">
        <v>4221</v>
      </c>
      <c r="E927" s="2">
        <v>180.83</v>
      </c>
      <c r="F927">
        <v>24</v>
      </c>
      <c r="G927">
        <v>10</v>
      </c>
      <c r="H927">
        <v>3.3000000000000002E-2</v>
      </c>
      <c r="I927" s="3">
        <v>1082</v>
      </c>
      <c r="J927" s="1">
        <v>45609</v>
      </c>
      <c r="K927" t="s">
        <v>31</v>
      </c>
      <c r="L927" t="s">
        <v>9</v>
      </c>
      <c r="M927" t="s">
        <v>32</v>
      </c>
      <c r="N927" s="1">
        <f t="shared" si="84"/>
        <v>45609</v>
      </c>
      <c r="O927" s="4">
        <f t="shared" si="85"/>
        <v>3.2930585169391138E-2</v>
      </c>
      <c r="P927">
        <f t="shared" si="86"/>
        <v>1.3009352517985613</v>
      </c>
      <c r="Q927" s="2">
        <f t="shared" si="87"/>
        <v>7.5345833333333339</v>
      </c>
      <c r="R927" s="2">
        <f t="shared" si="88"/>
        <v>18.083000000000002</v>
      </c>
      <c r="S927" s="2">
        <f t="shared" si="89"/>
        <v>5.9835204335563787</v>
      </c>
    </row>
    <row r="928" spans="1:19" hidden="1">
      <c r="A928" t="s">
        <v>981</v>
      </c>
      <c r="B928" t="s">
        <v>30</v>
      </c>
      <c r="C928">
        <v>148</v>
      </c>
      <c r="D928">
        <v>4514</v>
      </c>
      <c r="E928" s="2">
        <v>203.54</v>
      </c>
      <c r="F928">
        <v>23</v>
      </c>
      <c r="G928">
        <v>3</v>
      </c>
      <c r="H928">
        <v>4.7E-2</v>
      </c>
      <c r="I928" s="3">
        <v>1622</v>
      </c>
      <c r="J928" s="1">
        <v>45423</v>
      </c>
      <c r="K928" t="s">
        <v>31</v>
      </c>
      <c r="L928" t="s">
        <v>7</v>
      </c>
      <c r="M928" t="s">
        <v>37</v>
      </c>
      <c r="N928" s="1">
        <f t="shared" si="84"/>
        <v>45423</v>
      </c>
      <c r="O928" s="4">
        <f t="shared" si="85"/>
        <v>3.2786885245901641E-2</v>
      </c>
      <c r="P928">
        <f t="shared" si="86"/>
        <v>1.3752702702702702</v>
      </c>
      <c r="Q928" s="2">
        <f t="shared" si="87"/>
        <v>8.8495652173913033</v>
      </c>
      <c r="R928" s="2">
        <f t="shared" si="88"/>
        <v>67.846666666666664</v>
      </c>
      <c r="S928" s="2">
        <f t="shared" si="89"/>
        <v>7.9689495922177462</v>
      </c>
    </row>
    <row r="929" spans="1:19" hidden="1">
      <c r="A929" t="s">
        <v>982</v>
      </c>
      <c r="B929" t="s">
        <v>30</v>
      </c>
      <c r="C929">
        <v>96</v>
      </c>
      <c r="D929">
        <v>3468</v>
      </c>
      <c r="E929" s="2">
        <v>228.41</v>
      </c>
      <c r="F929">
        <v>16</v>
      </c>
      <c r="G929">
        <v>9</v>
      </c>
      <c r="H929">
        <v>9.4E-2</v>
      </c>
      <c r="I929" s="3">
        <v>1035</v>
      </c>
      <c r="J929" s="1">
        <v>45393</v>
      </c>
      <c r="K929" t="s">
        <v>31</v>
      </c>
      <c r="L929" t="s">
        <v>7</v>
      </c>
      <c r="M929" t="s">
        <v>32</v>
      </c>
      <c r="N929" s="1">
        <f t="shared" si="84"/>
        <v>45393</v>
      </c>
      <c r="O929" s="4">
        <f t="shared" si="85"/>
        <v>2.768166089965398E-2</v>
      </c>
      <c r="P929">
        <f t="shared" si="86"/>
        <v>2.3792708333333334</v>
      </c>
      <c r="Q929" s="2">
        <f t="shared" si="87"/>
        <v>14.275625</v>
      </c>
      <c r="R929" s="2">
        <f t="shared" si="88"/>
        <v>25.378888888888888</v>
      </c>
      <c r="S929" s="2">
        <f t="shared" si="89"/>
        <v>4.5313252484567226</v>
      </c>
    </row>
    <row r="930" spans="1:19">
      <c r="A930" t="s">
        <v>983</v>
      </c>
      <c r="B930" t="s">
        <v>30</v>
      </c>
      <c r="C930">
        <v>126</v>
      </c>
      <c r="D930">
        <v>3613</v>
      </c>
      <c r="E930" s="2">
        <v>208.74</v>
      </c>
      <c r="F930">
        <v>18</v>
      </c>
      <c r="G930">
        <v>7</v>
      </c>
      <c r="H930">
        <v>4.5999999999999999E-2</v>
      </c>
      <c r="I930" s="3">
        <v>1106</v>
      </c>
      <c r="J930" s="1">
        <v>45602</v>
      </c>
      <c r="K930" t="s">
        <v>31</v>
      </c>
      <c r="L930" t="s">
        <v>7</v>
      </c>
      <c r="M930" t="s">
        <v>32</v>
      </c>
      <c r="N930" s="1">
        <f t="shared" si="84"/>
        <v>45602</v>
      </c>
      <c r="O930" s="4">
        <f t="shared" si="85"/>
        <v>3.4874065873235535E-2</v>
      </c>
      <c r="P930">
        <f t="shared" si="86"/>
        <v>1.6566666666666667</v>
      </c>
      <c r="Q930" s="2">
        <f t="shared" si="87"/>
        <v>11.596666666666668</v>
      </c>
      <c r="R930" s="2">
        <f t="shared" si="88"/>
        <v>29.82</v>
      </c>
      <c r="S930" s="2">
        <f t="shared" si="89"/>
        <v>5.2984574111334668</v>
      </c>
    </row>
    <row r="931" spans="1:19" hidden="1">
      <c r="A931" t="s">
        <v>984</v>
      </c>
      <c r="B931" t="s">
        <v>30</v>
      </c>
      <c r="C931">
        <v>115</v>
      </c>
      <c r="D931">
        <v>3234</v>
      </c>
      <c r="E931" s="2">
        <v>227.77</v>
      </c>
      <c r="F931">
        <v>30</v>
      </c>
      <c r="G931">
        <v>3</v>
      </c>
      <c r="H931">
        <v>2.5999999999999999E-2</v>
      </c>
      <c r="I931" s="3">
        <v>1272</v>
      </c>
      <c r="J931" s="1" t="s">
        <v>217</v>
      </c>
      <c r="K931" t="s">
        <v>31</v>
      </c>
      <c r="L931" t="s">
        <v>9</v>
      </c>
      <c r="M931" t="s">
        <v>32</v>
      </c>
      <c r="N931" s="1">
        <f t="shared" si="84"/>
        <v>45609</v>
      </c>
      <c r="O931" s="4">
        <f t="shared" si="85"/>
        <v>3.5559678416821276E-2</v>
      </c>
      <c r="P931">
        <f t="shared" si="86"/>
        <v>1.980608695652174</v>
      </c>
      <c r="Q931" s="2">
        <f t="shared" si="87"/>
        <v>7.5923333333333334</v>
      </c>
      <c r="R931" s="2">
        <f t="shared" si="88"/>
        <v>75.923333333333332</v>
      </c>
      <c r="S931" s="2">
        <f t="shared" si="89"/>
        <v>5.584580936910041</v>
      </c>
    </row>
    <row r="932" spans="1:19" hidden="1">
      <c r="A932" t="s">
        <v>985</v>
      </c>
      <c r="B932" t="s">
        <v>30</v>
      </c>
      <c r="C932">
        <v>135</v>
      </c>
      <c r="D932">
        <v>5436</v>
      </c>
      <c r="E932" s="2">
        <v>245.86</v>
      </c>
      <c r="F932">
        <v>28</v>
      </c>
      <c r="G932">
        <v>9</v>
      </c>
      <c r="H932">
        <v>6.7000000000000004E-2</v>
      </c>
      <c r="I932" s="3">
        <v>1453</v>
      </c>
      <c r="J932" s="1">
        <v>45599</v>
      </c>
      <c r="K932" t="s">
        <v>31</v>
      </c>
      <c r="L932" t="s">
        <v>7</v>
      </c>
      <c r="M932" t="s">
        <v>37</v>
      </c>
      <c r="N932" s="1">
        <f t="shared" si="84"/>
        <v>45599</v>
      </c>
      <c r="O932" s="4">
        <f t="shared" si="85"/>
        <v>2.4834437086092714E-2</v>
      </c>
      <c r="P932">
        <f t="shared" si="86"/>
        <v>1.8211851851851852</v>
      </c>
      <c r="Q932" s="2">
        <f t="shared" si="87"/>
        <v>8.7807142857142857</v>
      </c>
      <c r="R932" s="2">
        <f t="shared" si="88"/>
        <v>27.317777777777778</v>
      </c>
      <c r="S932" s="2">
        <f t="shared" si="89"/>
        <v>5.90986740421378</v>
      </c>
    </row>
    <row r="933" spans="1:19" hidden="1">
      <c r="A933" t="s">
        <v>986</v>
      </c>
      <c r="B933" t="s">
        <v>30</v>
      </c>
      <c r="C933">
        <v>158</v>
      </c>
      <c r="D933">
        <v>4519</v>
      </c>
      <c r="E933" s="2">
        <v>191.84</v>
      </c>
      <c r="F933">
        <v>26</v>
      </c>
      <c r="G933">
        <v>4</v>
      </c>
      <c r="H933">
        <v>2.5000000000000001E-2</v>
      </c>
      <c r="I933" s="3">
        <v>1505</v>
      </c>
      <c r="J933" s="1">
        <v>45625</v>
      </c>
      <c r="K933" t="s">
        <v>31</v>
      </c>
      <c r="L933" t="s">
        <v>7</v>
      </c>
      <c r="M933" t="s">
        <v>37</v>
      </c>
      <c r="N933" s="1">
        <f t="shared" si="84"/>
        <v>45625</v>
      </c>
      <c r="O933" s="4">
        <f t="shared" si="85"/>
        <v>3.4963487497233901E-2</v>
      </c>
      <c r="P933">
        <f t="shared" si="86"/>
        <v>1.2141772151898735</v>
      </c>
      <c r="Q933" s="2">
        <f t="shared" si="87"/>
        <v>7.3784615384615382</v>
      </c>
      <c r="R933" s="2">
        <f t="shared" si="88"/>
        <v>47.96</v>
      </c>
      <c r="S933" s="2">
        <f t="shared" si="89"/>
        <v>7.8450792326939114</v>
      </c>
    </row>
    <row r="934" spans="1:19">
      <c r="A934" t="s">
        <v>987</v>
      </c>
      <c r="B934" t="s">
        <v>30</v>
      </c>
      <c r="C934">
        <v>80</v>
      </c>
      <c r="D934">
        <v>3777</v>
      </c>
      <c r="E934" s="2">
        <v>199.52</v>
      </c>
      <c r="F934">
        <v>12</v>
      </c>
      <c r="G934">
        <v>7</v>
      </c>
      <c r="H934">
        <v>4.5999999999999999E-2</v>
      </c>
      <c r="I934" s="3">
        <v>1694</v>
      </c>
      <c r="J934" s="1">
        <v>45618</v>
      </c>
      <c r="K934" t="s">
        <v>31</v>
      </c>
      <c r="L934" t="s">
        <v>7</v>
      </c>
      <c r="M934" t="s">
        <v>32</v>
      </c>
      <c r="N934" s="1">
        <f t="shared" si="84"/>
        <v>45618</v>
      </c>
      <c r="O934" s="4">
        <f t="shared" si="85"/>
        <v>2.1180831347630394E-2</v>
      </c>
      <c r="P934">
        <f t="shared" si="86"/>
        <v>2.4940000000000002</v>
      </c>
      <c r="Q934" s="2">
        <f t="shared" si="87"/>
        <v>16.626666666666669</v>
      </c>
      <c r="R934" s="2">
        <f t="shared" si="88"/>
        <v>28.502857142857145</v>
      </c>
      <c r="S934" s="2">
        <f t="shared" si="89"/>
        <v>8.4903769045709705</v>
      </c>
    </row>
    <row r="935" spans="1:19">
      <c r="A935" t="s">
        <v>988</v>
      </c>
      <c r="B935" t="s">
        <v>30</v>
      </c>
      <c r="C935">
        <v>190</v>
      </c>
      <c r="D935">
        <v>3461</v>
      </c>
      <c r="E935" s="2">
        <v>205.22</v>
      </c>
      <c r="F935">
        <v>28</v>
      </c>
      <c r="G935">
        <v>10</v>
      </c>
      <c r="H935">
        <v>4.5999999999999999E-2</v>
      </c>
      <c r="I935" s="3">
        <v>1616</v>
      </c>
      <c r="J935" s="1" t="s">
        <v>206</v>
      </c>
      <c r="K935" t="s">
        <v>31</v>
      </c>
      <c r="L935" t="s">
        <v>8</v>
      </c>
      <c r="M935" t="s">
        <v>41</v>
      </c>
      <c r="N935" s="1">
        <f t="shared" si="84"/>
        <v>45621</v>
      </c>
      <c r="O935" s="4">
        <f t="shared" si="85"/>
        <v>5.4897428488876049E-2</v>
      </c>
      <c r="P935">
        <f t="shared" si="86"/>
        <v>1.0801052631578947</v>
      </c>
      <c r="Q935" s="2">
        <f t="shared" si="87"/>
        <v>7.3292857142857146</v>
      </c>
      <c r="R935" s="2">
        <f t="shared" si="88"/>
        <v>20.521999999999998</v>
      </c>
      <c r="S935" s="2">
        <f t="shared" si="89"/>
        <v>7.8744761719130691</v>
      </c>
    </row>
    <row r="936" spans="1:19">
      <c r="A936" t="s">
        <v>989</v>
      </c>
      <c r="B936" t="s">
        <v>30</v>
      </c>
      <c r="C936">
        <v>135</v>
      </c>
      <c r="D936">
        <v>4575</v>
      </c>
      <c r="E936" s="2">
        <v>241.92</v>
      </c>
      <c r="F936">
        <v>10</v>
      </c>
      <c r="G936">
        <v>5</v>
      </c>
      <c r="H936">
        <v>4.5999999999999999E-2</v>
      </c>
      <c r="I936" s="3">
        <v>1553</v>
      </c>
      <c r="J936" s="1" t="s">
        <v>73</v>
      </c>
      <c r="K936" t="s">
        <v>31</v>
      </c>
      <c r="L936" t="s">
        <v>7</v>
      </c>
      <c r="M936" t="s">
        <v>35</v>
      </c>
      <c r="N936" s="1">
        <f t="shared" si="84"/>
        <v>45618</v>
      </c>
      <c r="O936" s="4">
        <f t="shared" si="85"/>
        <v>2.9508196721311476E-2</v>
      </c>
      <c r="P936">
        <f t="shared" si="86"/>
        <v>1.7919999999999998</v>
      </c>
      <c r="Q936" s="2">
        <f t="shared" si="87"/>
        <v>24.192</v>
      </c>
      <c r="R936" s="2">
        <f t="shared" si="88"/>
        <v>48.384</v>
      </c>
      <c r="S936" s="2">
        <f t="shared" si="89"/>
        <v>6.4194775132275135</v>
      </c>
    </row>
    <row r="937" spans="1:19" hidden="1">
      <c r="A937" t="s">
        <v>990</v>
      </c>
      <c r="B937" t="s">
        <v>30</v>
      </c>
      <c r="C937">
        <v>149</v>
      </c>
      <c r="D937">
        <v>3471</v>
      </c>
      <c r="E937" s="2">
        <v>242.14</v>
      </c>
      <c r="F937">
        <v>23</v>
      </c>
      <c r="G937">
        <v>4</v>
      </c>
      <c r="H937">
        <v>2.7E-2</v>
      </c>
      <c r="I937" s="3">
        <v>1937</v>
      </c>
      <c r="J937" s="1">
        <v>45615</v>
      </c>
      <c r="K937" t="s">
        <v>31</v>
      </c>
      <c r="L937" t="s">
        <v>7</v>
      </c>
      <c r="M937" t="s">
        <v>39</v>
      </c>
      <c r="N937" s="1">
        <f t="shared" si="84"/>
        <v>45615</v>
      </c>
      <c r="O937" s="4">
        <f t="shared" si="85"/>
        <v>4.2927110342840677E-2</v>
      </c>
      <c r="P937">
        <f t="shared" si="86"/>
        <v>1.6251006711409395</v>
      </c>
      <c r="Q937" s="2">
        <f t="shared" si="87"/>
        <v>10.527826086956521</v>
      </c>
      <c r="R937" s="2">
        <f t="shared" si="88"/>
        <v>60.534999999999997</v>
      </c>
      <c r="S937" s="2">
        <f t="shared" si="89"/>
        <v>7.9995044189311972</v>
      </c>
    </row>
    <row r="938" spans="1:19">
      <c r="A938" t="s">
        <v>991</v>
      </c>
      <c r="B938" t="s">
        <v>30</v>
      </c>
      <c r="C938">
        <v>164</v>
      </c>
      <c r="D938">
        <v>3115</v>
      </c>
      <c r="E938" s="2">
        <v>232.62</v>
      </c>
      <c r="F938">
        <v>10</v>
      </c>
      <c r="G938">
        <v>7</v>
      </c>
      <c r="H938">
        <v>4.5999999999999999E-2</v>
      </c>
      <c r="I938" s="3">
        <v>1802</v>
      </c>
      <c r="J938" s="1">
        <v>45393</v>
      </c>
      <c r="K938" t="s">
        <v>31</v>
      </c>
      <c r="L938" t="s">
        <v>9</v>
      </c>
      <c r="M938" t="s">
        <v>37</v>
      </c>
      <c r="N938" s="1">
        <f t="shared" si="84"/>
        <v>45393</v>
      </c>
      <c r="O938" s="4">
        <f t="shared" si="85"/>
        <v>5.264847512038523E-2</v>
      </c>
      <c r="P938">
        <f t="shared" si="86"/>
        <v>1.4184146341463415</v>
      </c>
      <c r="Q938" s="2">
        <f t="shared" si="87"/>
        <v>23.262</v>
      </c>
      <c r="R938" s="2">
        <f t="shared" si="88"/>
        <v>33.231428571428573</v>
      </c>
      <c r="S938" s="2">
        <f t="shared" si="89"/>
        <v>7.7465394205141429</v>
      </c>
    </row>
    <row r="939" spans="1:19" hidden="1">
      <c r="A939" t="s">
        <v>992</v>
      </c>
      <c r="B939" t="s">
        <v>30</v>
      </c>
      <c r="C939">
        <v>132</v>
      </c>
      <c r="D939">
        <v>5428</v>
      </c>
      <c r="E939" s="2">
        <v>180.73</v>
      </c>
      <c r="F939">
        <v>10</v>
      </c>
      <c r="G939">
        <v>7</v>
      </c>
      <c r="H939">
        <v>3.9E-2</v>
      </c>
      <c r="I939" s="3">
        <v>1732</v>
      </c>
      <c r="J939" s="1" t="s">
        <v>43</v>
      </c>
      <c r="K939" t="s">
        <v>31</v>
      </c>
      <c r="L939" t="s">
        <v>7</v>
      </c>
      <c r="M939" t="s">
        <v>35</v>
      </c>
      <c r="N939" s="1">
        <f t="shared" si="84"/>
        <v>45612</v>
      </c>
      <c r="O939" s="4">
        <f t="shared" si="85"/>
        <v>2.4318349299926309E-2</v>
      </c>
      <c r="P939">
        <f t="shared" si="86"/>
        <v>1.3691666666666666</v>
      </c>
      <c r="Q939" s="2">
        <f t="shared" si="87"/>
        <v>18.073</v>
      </c>
      <c r="R939" s="2">
        <f t="shared" si="88"/>
        <v>25.818571428571428</v>
      </c>
      <c r="S939" s="2">
        <f t="shared" si="89"/>
        <v>9.5833563879820733</v>
      </c>
    </row>
    <row r="940" spans="1:19" hidden="1">
      <c r="A940" t="s">
        <v>993</v>
      </c>
      <c r="B940" t="s">
        <v>30</v>
      </c>
      <c r="C940">
        <v>198</v>
      </c>
      <c r="D940">
        <v>4499</v>
      </c>
      <c r="E940" s="2">
        <v>245.24</v>
      </c>
      <c r="F940">
        <v>27</v>
      </c>
      <c r="G940">
        <v>7</v>
      </c>
      <c r="H940">
        <v>3.5000000000000003E-2</v>
      </c>
      <c r="I940" s="3">
        <v>1165</v>
      </c>
      <c r="J940" s="1">
        <v>45597</v>
      </c>
      <c r="K940" t="s">
        <v>31</v>
      </c>
      <c r="L940" t="s">
        <v>9</v>
      </c>
      <c r="M940" t="s">
        <v>41</v>
      </c>
      <c r="N940" s="1">
        <f t="shared" si="84"/>
        <v>45597</v>
      </c>
      <c r="O940" s="4">
        <f t="shared" si="85"/>
        <v>4.4009779951100246E-2</v>
      </c>
      <c r="P940">
        <f t="shared" si="86"/>
        <v>1.2385858585858587</v>
      </c>
      <c r="Q940" s="2">
        <f t="shared" si="87"/>
        <v>9.0829629629629629</v>
      </c>
      <c r="R940" s="2">
        <f t="shared" si="88"/>
        <v>35.034285714285716</v>
      </c>
      <c r="S940" s="2">
        <f t="shared" si="89"/>
        <v>4.7504485402055128</v>
      </c>
    </row>
    <row r="941" spans="1:19" hidden="1">
      <c r="A941" t="s">
        <v>994</v>
      </c>
      <c r="B941" t="s">
        <v>30</v>
      </c>
      <c r="C941">
        <v>153</v>
      </c>
      <c r="D941">
        <v>3285</v>
      </c>
      <c r="E941" s="2">
        <v>226.26</v>
      </c>
      <c r="F941">
        <v>12</v>
      </c>
      <c r="G941">
        <v>7</v>
      </c>
      <c r="H941">
        <v>4.5999999999999999E-2</v>
      </c>
      <c r="I941" s="3">
        <v>1838</v>
      </c>
      <c r="J941" s="1">
        <v>45617</v>
      </c>
      <c r="K941" t="s">
        <v>31</v>
      </c>
      <c r="L941" t="s">
        <v>7</v>
      </c>
      <c r="M941" t="s">
        <v>41</v>
      </c>
      <c r="N941" s="1">
        <f t="shared" si="84"/>
        <v>45617</v>
      </c>
      <c r="O941" s="4">
        <f t="shared" si="85"/>
        <v>4.6575342465753428E-2</v>
      </c>
      <c r="P941">
        <f t="shared" si="86"/>
        <v>1.4788235294117646</v>
      </c>
      <c r="Q941" s="2">
        <f t="shared" si="87"/>
        <v>18.855</v>
      </c>
      <c r="R941" s="2">
        <f t="shared" si="88"/>
        <v>32.322857142857139</v>
      </c>
      <c r="S941" s="2">
        <f t="shared" si="89"/>
        <v>8.1233978608680282</v>
      </c>
    </row>
    <row r="942" spans="1:19">
      <c r="A942" t="s">
        <v>995</v>
      </c>
      <c r="B942" t="s">
        <v>30</v>
      </c>
      <c r="C942">
        <v>142</v>
      </c>
      <c r="D942">
        <v>3431</v>
      </c>
      <c r="E942" s="2">
        <v>235.09</v>
      </c>
      <c r="F942">
        <v>19</v>
      </c>
      <c r="G942">
        <v>7</v>
      </c>
      <c r="H942">
        <v>4.5999999999999999E-2</v>
      </c>
      <c r="I942" s="3">
        <v>1334</v>
      </c>
      <c r="J942" s="1">
        <v>45604</v>
      </c>
      <c r="K942" t="s">
        <v>31</v>
      </c>
      <c r="L942" t="s">
        <v>7</v>
      </c>
      <c r="M942" t="s">
        <v>37</v>
      </c>
      <c r="N942" s="1">
        <f t="shared" si="84"/>
        <v>45604</v>
      </c>
      <c r="O942" s="4">
        <f t="shared" si="85"/>
        <v>4.1387350626639466E-2</v>
      </c>
      <c r="P942">
        <f t="shared" si="86"/>
        <v>1.6555633802816903</v>
      </c>
      <c r="Q942" s="2">
        <f t="shared" si="87"/>
        <v>12.373157894736842</v>
      </c>
      <c r="R942" s="2">
        <f t="shared" si="88"/>
        <v>33.584285714285713</v>
      </c>
      <c r="S942" s="2">
        <f t="shared" si="89"/>
        <v>5.6744225615721637</v>
      </c>
    </row>
    <row r="943" spans="1:19" hidden="1">
      <c r="A943" t="s">
        <v>996</v>
      </c>
      <c r="B943" t="s">
        <v>30</v>
      </c>
      <c r="C943">
        <v>91</v>
      </c>
      <c r="D943">
        <v>4600</v>
      </c>
      <c r="E943" s="2">
        <v>194.14</v>
      </c>
      <c r="F943">
        <v>19</v>
      </c>
      <c r="G943">
        <v>7</v>
      </c>
      <c r="H943">
        <v>7.6999999999999999E-2</v>
      </c>
      <c r="I943" s="3">
        <v>1255</v>
      </c>
      <c r="J943" s="1">
        <v>45615</v>
      </c>
      <c r="K943" t="s">
        <v>31</v>
      </c>
      <c r="L943" t="s">
        <v>8</v>
      </c>
      <c r="M943" t="s">
        <v>37</v>
      </c>
      <c r="N943" s="1">
        <f t="shared" si="84"/>
        <v>45615</v>
      </c>
      <c r="O943" s="4">
        <f t="shared" si="85"/>
        <v>1.9782608695652175E-2</v>
      </c>
      <c r="P943">
        <f t="shared" si="86"/>
        <v>2.1334065934065931</v>
      </c>
      <c r="Q943" s="2">
        <f t="shared" si="87"/>
        <v>10.217894736842105</v>
      </c>
      <c r="R943" s="2">
        <f t="shared" si="88"/>
        <v>27.734285714285711</v>
      </c>
      <c r="S943" s="2">
        <f t="shared" si="89"/>
        <v>6.4644071288760694</v>
      </c>
    </row>
    <row r="944" spans="1:19" hidden="1">
      <c r="A944" t="s">
        <v>997</v>
      </c>
      <c r="B944" t="s">
        <v>30</v>
      </c>
      <c r="C944">
        <v>154</v>
      </c>
      <c r="D944">
        <v>4804</v>
      </c>
      <c r="E944" s="2">
        <v>190.98</v>
      </c>
      <c r="F944">
        <v>21</v>
      </c>
      <c r="G944">
        <v>3</v>
      </c>
      <c r="H944">
        <v>1.9E-2</v>
      </c>
      <c r="I944" s="3">
        <v>1521</v>
      </c>
      <c r="J944" s="1" t="s">
        <v>111</v>
      </c>
      <c r="K944" t="s">
        <v>31</v>
      </c>
      <c r="L944" t="s">
        <v>7</v>
      </c>
      <c r="M944" t="s">
        <v>39</v>
      </c>
      <c r="N944" s="1">
        <f t="shared" si="84"/>
        <v>45619</v>
      </c>
      <c r="O944" s="4">
        <f t="shared" si="85"/>
        <v>3.2056619483763531E-2</v>
      </c>
      <c r="P944">
        <f t="shared" si="86"/>
        <v>1.24012987012987</v>
      </c>
      <c r="Q944" s="2">
        <f t="shared" si="87"/>
        <v>9.0942857142857143</v>
      </c>
      <c r="R944" s="2">
        <f t="shared" si="88"/>
        <v>63.66</v>
      </c>
      <c r="S944" s="2">
        <f t="shared" si="89"/>
        <v>7.9641847313854859</v>
      </c>
    </row>
    <row r="945" spans="1:19">
      <c r="A945" t="s">
        <v>998</v>
      </c>
      <c r="B945" t="s">
        <v>30</v>
      </c>
      <c r="C945">
        <v>115</v>
      </c>
      <c r="D945">
        <v>5472</v>
      </c>
      <c r="E945" s="2">
        <v>230.29</v>
      </c>
      <c r="F945">
        <v>26</v>
      </c>
      <c r="G945">
        <v>4</v>
      </c>
      <c r="H945">
        <v>4.5999999999999999E-2</v>
      </c>
      <c r="I945" s="3">
        <v>1275</v>
      </c>
      <c r="J945" s="1">
        <v>45603</v>
      </c>
      <c r="K945" t="s">
        <v>31</v>
      </c>
      <c r="L945" t="s">
        <v>8</v>
      </c>
      <c r="M945" t="s">
        <v>32</v>
      </c>
      <c r="N945" s="1">
        <f t="shared" si="84"/>
        <v>45603</v>
      </c>
      <c r="O945" s="4">
        <f t="shared" si="85"/>
        <v>2.101608187134503E-2</v>
      </c>
      <c r="P945">
        <f t="shared" si="86"/>
        <v>2.0025217391304349</v>
      </c>
      <c r="Q945" s="2">
        <f t="shared" si="87"/>
        <v>8.8573076923076925</v>
      </c>
      <c r="R945" s="2">
        <f t="shared" si="88"/>
        <v>57.572499999999998</v>
      </c>
      <c r="S945" s="2">
        <f t="shared" si="89"/>
        <v>5.5364974597246954</v>
      </c>
    </row>
    <row r="946" spans="1:19" hidden="1">
      <c r="A946" t="s">
        <v>999</v>
      </c>
      <c r="B946" t="s">
        <v>30</v>
      </c>
      <c r="C946">
        <v>86</v>
      </c>
      <c r="D946">
        <v>5493</v>
      </c>
      <c r="E946" s="2">
        <v>191.28</v>
      </c>
      <c r="F946">
        <v>18</v>
      </c>
      <c r="G946">
        <v>9</v>
      </c>
      <c r="H946">
        <v>0.105</v>
      </c>
      <c r="I946" s="3">
        <v>1204</v>
      </c>
      <c r="J946" s="1">
        <v>45616</v>
      </c>
      <c r="K946" t="s">
        <v>31</v>
      </c>
      <c r="L946" t="s">
        <v>9</v>
      </c>
      <c r="M946" t="s">
        <v>35</v>
      </c>
      <c r="N946" s="1">
        <f t="shared" si="84"/>
        <v>45616</v>
      </c>
      <c r="O946" s="4">
        <f t="shared" si="85"/>
        <v>1.5656289823411614E-2</v>
      </c>
      <c r="P946">
        <f t="shared" si="86"/>
        <v>2.2241860465116279</v>
      </c>
      <c r="Q946" s="2">
        <f t="shared" si="87"/>
        <v>10.626666666666667</v>
      </c>
      <c r="R946" s="2">
        <f t="shared" si="88"/>
        <v>21.253333333333334</v>
      </c>
      <c r="S946" s="2">
        <f t="shared" si="89"/>
        <v>6.2944374738603095</v>
      </c>
    </row>
    <row r="947" spans="1:19" hidden="1">
      <c r="A947" t="s">
        <v>1000</v>
      </c>
      <c r="B947" t="s">
        <v>30</v>
      </c>
      <c r="C947">
        <v>116</v>
      </c>
      <c r="D947">
        <v>3188</v>
      </c>
      <c r="E947" s="2">
        <v>238.62</v>
      </c>
      <c r="F947">
        <v>15</v>
      </c>
      <c r="G947">
        <v>10</v>
      </c>
      <c r="H947">
        <v>8.5999999999999993E-2</v>
      </c>
      <c r="I947" s="3">
        <v>1429</v>
      </c>
      <c r="J947" s="1" t="s">
        <v>50</v>
      </c>
      <c r="K947" t="s">
        <v>31</v>
      </c>
      <c r="L947" t="s">
        <v>9</v>
      </c>
      <c r="M947" t="s">
        <v>41</v>
      </c>
      <c r="N947" s="1">
        <f t="shared" si="84"/>
        <v>45610</v>
      </c>
      <c r="O947" s="4">
        <f t="shared" si="85"/>
        <v>3.6386449184441658E-2</v>
      </c>
      <c r="P947">
        <f t="shared" si="86"/>
        <v>2.0570689655172414</v>
      </c>
      <c r="Q947" s="2">
        <f t="shared" si="87"/>
        <v>15.907999999999999</v>
      </c>
      <c r="R947" s="2">
        <f t="shared" si="88"/>
        <v>23.862000000000002</v>
      </c>
      <c r="S947" s="2">
        <f t="shared" si="89"/>
        <v>5.9886011231246332</v>
      </c>
    </row>
    <row r="948" spans="1:19" hidden="1">
      <c r="A948" t="s">
        <v>1001</v>
      </c>
      <c r="B948" t="s">
        <v>30</v>
      </c>
      <c r="C948">
        <v>144</v>
      </c>
      <c r="D948">
        <v>3579</v>
      </c>
      <c r="E948" s="2">
        <v>237.97</v>
      </c>
      <c r="F948">
        <v>21</v>
      </c>
      <c r="G948">
        <v>10</v>
      </c>
      <c r="H948">
        <v>6.9000000000000006E-2</v>
      </c>
      <c r="I948" s="3">
        <v>1155</v>
      </c>
      <c r="J948" s="1">
        <v>45598</v>
      </c>
      <c r="K948" t="s">
        <v>31</v>
      </c>
      <c r="L948" t="s">
        <v>7</v>
      </c>
      <c r="M948" t="s">
        <v>35</v>
      </c>
      <c r="N948" s="1">
        <f t="shared" si="84"/>
        <v>45598</v>
      </c>
      <c r="O948" s="4">
        <f t="shared" si="85"/>
        <v>4.0234702430846606E-2</v>
      </c>
      <c r="P948">
        <f t="shared" si="86"/>
        <v>1.6525694444444445</v>
      </c>
      <c r="Q948" s="2">
        <f t="shared" si="87"/>
        <v>11.331904761904761</v>
      </c>
      <c r="R948" s="2">
        <f t="shared" si="88"/>
        <v>23.797000000000001</v>
      </c>
      <c r="S948" s="2">
        <f t="shared" si="89"/>
        <v>4.8535529688616208</v>
      </c>
    </row>
    <row r="949" spans="1:19" hidden="1">
      <c r="A949" t="s">
        <v>1002</v>
      </c>
      <c r="B949" t="s">
        <v>30</v>
      </c>
      <c r="C949">
        <v>101</v>
      </c>
      <c r="D949">
        <v>4198</v>
      </c>
      <c r="E949" s="2">
        <v>204.09</v>
      </c>
      <c r="F949">
        <v>30</v>
      </c>
      <c r="G949">
        <v>10</v>
      </c>
      <c r="H949">
        <v>9.9000000000000005E-2</v>
      </c>
      <c r="I949" s="3">
        <v>1642</v>
      </c>
      <c r="J949" s="1">
        <v>45617</v>
      </c>
      <c r="K949" t="s">
        <v>31</v>
      </c>
      <c r="L949" t="s">
        <v>7</v>
      </c>
      <c r="M949" t="s">
        <v>39</v>
      </c>
      <c r="N949" s="1">
        <f t="shared" si="84"/>
        <v>45617</v>
      </c>
      <c r="O949" s="4">
        <f t="shared" si="85"/>
        <v>2.4059075750357314E-2</v>
      </c>
      <c r="P949">
        <f t="shared" si="86"/>
        <v>2.0206930693069309</v>
      </c>
      <c r="Q949" s="2">
        <f t="shared" si="87"/>
        <v>6.8029999999999999</v>
      </c>
      <c r="R949" s="2">
        <f t="shared" si="88"/>
        <v>20.408999999999999</v>
      </c>
      <c r="S949" s="2">
        <f t="shared" si="89"/>
        <v>8.045470135724436</v>
      </c>
    </row>
    <row r="950" spans="1:19">
      <c r="A950" t="s">
        <v>1003</v>
      </c>
      <c r="B950" t="s">
        <v>30</v>
      </c>
      <c r="C950">
        <v>116</v>
      </c>
      <c r="D950">
        <v>4224</v>
      </c>
      <c r="E950" s="2">
        <v>245.99</v>
      </c>
      <c r="F950">
        <v>10</v>
      </c>
      <c r="G950">
        <v>5</v>
      </c>
      <c r="H950">
        <v>4.5999999999999999E-2</v>
      </c>
      <c r="I950" s="3">
        <v>1054</v>
      </c>
      <c r="J950" s="1">
        <v>45601</v>
      </c>
      <c r="K950" t="s">
        <v>31</v>
      </c>
      <c r="L950" t="s">
        <v>9</v>
      </c>
      <c r="M950" t="s">
        <v>37</v>
      </c>
      <c r="N950" s="1">
        <f t="shared" si="84"/>
        <v>45601</v>
      </c>
      <c r="O950" s="4">
        <f t="shared" si="85"/>
        <v>2.7462121212121212E-2</v>
      </c>
      <c r="P950">
        <f t="shared" si="86"/>
        <v>2.1206034482758622</v>
      </c>
      <c r="Q950" s="2">
        <f t="shared" si="87"/>
        <v>24.599</v>
      </c>
      <c r="R950" s="2">
        <f t="shared" si="88"/>
        <v>49.198</v>
      </c>
      <c r="S950" s="2">
        <f t="shared" si="89"/>
        <v>4.2847270214236346</v>
      </c>
    </row>
    <row r="951" spans="1:19" hidden="1">
      <c r="A951" t="s">
        <v>1004</v>
      </c>
      <c r="B951" t="s">
        <v>30</v>
      </c>
      <c r="C951">
        <v>187</v>
      </c>
      <c r="D951">
        <v>3199</v>
      </c>
      <c r="E951" s="2">
        <v>193.29</v>
      </c>
      <c r="F951">
        <v>24</v>
      </c>
      <c r="G951">
        <v>6</v>
      </c>
      <c r="H951">
        <v>3.2000000000000001E-2</v>
      </c>
      <c r="I951" s="3">
        <v>1430</v>
      </c>
      <c r="J951" s="1">
        <v>45616</v>
      </c>
      <c r="K951" t="s">
        <v>31</v>
      </c>
      <c r="L951" t="s">
        <v>9</v>
      </c>
      <c r="M951" t="s">
        <v>41</v>
      </c>
      <c r="N951" s="1">
        <f t="shared" si="84"/>
        <v>45616</v>
      </c>
      <c r="O951" s="4">
        <f t="shared" si="85"/>
        <v>5.8455767427321038E-2</v>
      </c>
      <c r="P951">
        <f t="shared" si="86"/>
        <v>1.0336363636363637</v>
      </c>
      <c r="Q951" s="2">
        <f t="shared" si="87"/>
        <v>8.0537499999999991</v>
      </c>
      <c r="R951" s="2">
        <f t="shared" si="88"/>
        <v>32.214999999999996</v>
      </c>
      <c r="S951" s="2">
        <f t="shared" si="89"/>
        <v>7.39820994360805</v>
      </c>
    </row>
    <row r="952" spans="1:19" hidden="1">
      <c r="A952" t="s">
        <v>1005</v>
      </c>
      <c r="B952" t="s">
        <v>30</v>
      </c>
      <c r="C952">
        <v>114</v>
      </c>
      <c r="D952">
        <v>4333</v>
      </c>
      <c r="E952" s="2">
        <v>192.81</v>
      </c>
      <c r="F952">
        <v>26</v>
      </c>
      <c r="G952">
        <v>6</v>
      </c>
      <c r="H952">
        <v>5.2999999999999999E-2</v>
      </c>
      <c r="I952" s="3">
        <v>1722</v>
      </c>
      <c r="J952" s="1">
        <v>45515</v>
      </c>
      <c r="K952" t="s">
        <v>31</v>
      </c>
      <c r="L952" t="s">
        <v>9</v>
      </c>
      <c r="M952" t="s">
        <v>39</v>
      </c>
      <c r="N952" s="1">
        <f t="shared" si="84"/>
        <v>45515</v>
      </c>
      <c r="O952" s="4">
        <f t="shared" si="85"/>
        <v>2.6309716132010153E-2</v>
      </c>
      <c r="P952">
        <f t="shared" si="86"/>
        <v>1.6913157894736843</v>
      </c>
      <c r="Q952" s="2">
        <f t="shared" si="87"/>
        <v>7.4157692307692304</v>
      </c>
      <c r="R952" s="2">
        <f t="shared" si="88"/>
        <v>32.134999999999998</v>
      </c>
      <c r="S952" s="2">
        <f t="shared" si="89"/>
        <v>8.9310720398319585</v>
      </c>
    </row>
    <row r="953" spans="1:19">
      <c r="A953" t="s">
        <v>1006</v>
      </c>
      <c r="B953" t="s">
        <v>30</v>
      </c>
      <c r="C953">
        <v>141</v>
      </c>
      <c r="D953">
        <v>3617</v>
      </c>
      <c r="E953" s="2">
        <v>198.52</v>
      </c>
      <c r="F953">
        <v>20</v>
      </c>
      <c r="G953">
        <v>9</v>
      </c>
      <c r="H953">
        <v>4.5999999999999999E-2</v>
      </c>
      <c r="I953" s="3">
        <v>1858</v>
      </c>
      <c r="J953" s="1" t="s">
        <v>94</v>
      </c>
      <c r="K953" t="s">
        <v>31</v>
      </c>
      <c r="L953" t="s">
        <v>7</v>
      </c>
      <c r="M953" t="s">
        <v>35</v>
      </c>
      <c r="N953" s="1">
        <f t="shared" si="84"/>
        <v>45617</v>
      </c>
      <c r="O953" s="4">
        <f t="shared" si="85"/>
        <v>3.8982582250483823E-2</v>
      </c>
      <c r="P953">
        <f t="shared" si="86"/>
        <v>1.4079432624113475</v>
      </c>
      <c r="Q953" s="2">
        <f t="shared" si="87"/>
        <v>9.9260000000000002</v>
      </c>
      <c r="R953" s="2">
        <f t="shared" si="88"/>
        <v>22.05777777777778</v>
      </c>
      <c r="S953" s="2">
        <f t="shared" si="89"/>
        <v>9.3592585129961705</v>
      </c>
    </row>
    <row r="954" spans="1:19" hidden="1">
      <c r="A954" t="s">
        <v>1007</v>
      </c>
      <c r="B954" t="s">
        <v>30</v>
      </c>
      <c r="C954">
        <v>167</v>
      </c>
      <c r="D954">
        <v>5588</v>
      </c>
      <c r="E954" s="2">
        <v>181.95</v>
      </c>
      <c r="F954">
        <v>18</v>
      </c>
      <c r="G954">
        <v>9</v>
      </c>
      <c r="H954">
        <v>3.5000000000000003E-2</v>
      </c>
      <c r="I954" s="3">
        <v>1505</v>
      </c>
      <c r="J954" s="1">
        <v>45619</v>
      </c>
      <c r="K954" t="s">
        <v>31</v>
      </c>
      <c r="L954" t="s">
        <v>9</v>
      </c>
      <c r="M954" t="s">
        <v>39</v>
      </c>
      <c r="N954" s="1">
        <f t="shared" si="84"/>
        <v>45619</v>
      </c>
      <c r="O954" s="4">
        <f t="shared" si="85"/>
        <v>2.9885468861846815E-2</v>
      </c>
      <c r="P954">
        <f t="shared" si="86"/>
        <v>1.0895209580838323</v>
      </c>
      <c r="Q954" s="2">
        <f t="shared" si="87"/>
        <v>10.108333333333333</v>
      </c>
      <c r="R954" s="2">
        <f t="shared" si="88"/>
        <v>20.216666666666665</v>
      </c>
      <c r="S954" s="2">
        <f t="shared" si="89"/>
        <v>8.2715031602088498</v>
      </c>
    </row>
    <row r="955" spans="1:19" hidden="1">
      <c r="A955" t="s">
        <v>1008</v>
      </c>
      <c r="B955" t="s">
        <v>30</v>
      </c>
      <c r="C955">
        <v>186</v>
      </c>
      <c r="D955">
        <v>4689</v>
      </c>
      <c r="E955" s="2">
        <v>204.31</v>
      </c>
      <c r="F955">
        <v>26</v>
      </c>
      <c r="G955">
        <v>6</v>
      </c>
      <c r="H955">
        <v>3.2000000000000001E-2</v>
      </c>
      <c r="I955" s="3">
        <v>1936</v>
      </c>
      <c r="J955" s="1">
        <v>45617</v>
      </c>
      <c r="K955" t="s">
        <v>31</v>
      </c>
      <c r="L955" t="s">
        <v>7</v>
      </c>
      <c r="M955" t="s">
        <v>37</v>
      </c>
      <c r="N955" s="1">
        <f t="shared" si="84"/>
        <v>45617</v>
      </c>
      <c r="O955" s="4">
        <f t="shared" si="85"/>
        <v>3.9667306461932179E-2</v>
      </c>
      <c r="P955">
        <f t="shared" si="86"/>
        <v>1.0984408602150537</v>
      </c>
      <c r="Q955" s="2">
        <f t="shared" si="87"/>
        <v>7.858076923076923</v>
      </c>
      <c r="R955" s="2">
        <f t="shared" si="88"/>
        <v>34.051666666666669</v>
      </c>
      <c r="S955" s="2">
        <f t="shared" si="89"/>
        <v>9.475796583622925</v>
      </c>
    </row>
    <row r="956" spans="1:19">
      <c r="A956" t="s">
        <v>1009</v>
      </c>
      <c r="B956" t="s">
        <v>30</v>
      </c>
      <c r="C956">
        <v>139</v>
      </c>
      <c r="D956">
        <v>4846</v>
      </c>
      <c r="E956" s="2">
        <v>206.4</v>
      </c>
      <c r="F956">
        <v>21</v>
      </c>
      <c r="G956">
        <v>7</v>
      </c>
      <c r="H956">
        <v>4.5999999999999999E-2</v>
      </c>
      <c r="I956" s="3">
        <v>1526</v>
      </c>
      <c r="J956" s="1" t="s">
        <v>357</v>
      </c>
      <c r="K956" t="s">
        <v>31</v>
      </c>
      <c r="L956" t="s">
        <v>8</v>
      </c>
      <c r="M956" t="s">
        <v>37</v>
      </c>
      <c r="N956" s="1">
        <f t="shared" si="84"/>
        <v>45624</v>
      </c>
      <c r="O956" s="4">
        <f t="shared" si="85"/>
        <v>2.8683450268262484E-2</v>
      </c>
      <c r="P956">
        <f t="shared" si="86"/>
        <v>1.4848920863309354</v>
      </c>
      <c r="Q956" s="2">
        <f t="shared" si="87"/>
        <v>9.8285714285714292</v>
      </c>
      <c r="R956" s="2">
        <f t="shared" si="88"/>
        <v>29.485714285714288</v>
      </c>
      <c r="S956" s="2">
        <f t="shared" si="89"/>
        <v>7.3934108527131777</v>
      </c>
    </row>
    <row r="957" spans="1:19">
      <c r="A957" t="s">
        <v>1010</v>
      </c>
      <c r="B957" t="s">
        <v>30</v>
      </c>
      <c r="C957">
        <v>136</v>
      </c>
      <c r="D957">
        <v>3441</v>
      </c>
      <c r="E957" s="2">
        <v>236.21</v>
      </c>
      <c r="F957">
        <v>26</v>
      </c>
      <c r="G957">
        <v>9</v>
      </c>
      <c r="H957">
        <v>4.5999999999999999E-2</v>
      </c>
      <c r="I957" s="3">
        <v>1461</v>
      </c>
      <c r="J957" s="1">
        <v>45611</v>
      </c>
      <c r="K957" t="s">
        <v>31</v>
      </c>
      <c r="L957" t="s">
        <v>7</v>
      </c>
      <c r="M957" t="s">
        <v>32</v>
      </c>
      <c r="N957" s="1">
        <f t="shared" si="84"/>
        <v>45611</v>
      </c>
      <c r="O957" s="4">
        <f t="shared" si="85"/>
        <v>3.9523394362104038E-2</v>
      </c>
      <c r="P957">
        <f t="shared" si="86"/>
        <v>1.7368382352941176</v>
      </c>
      <c r="Q957" s="2">
        <f t="shared" si="87"/>
        <v>9.0850000000000009</v>
      </c>
      <c r="R957" s="2">
        <f t="shared" si="88"/>
        <v>26.245555555555555</v>
      </c>
      <c r="S957" s="2">
        <f t="shared" si="89"/>
        <v>6.1851742093899498</v>
      </c>
    </row>
    <row r="958" spans="1:19" hidden="1">
      <c r="A958" t="s">
        <v>1011</v>
      </c>
      <c r="B958" t="s">
        <v>30</v>
      </c>
      <c r="C958">
        <v>185</v>
      </c>
      <c r="D958">
        <v>3719</v>
      </c>
      <c r="E958" s="2">
        <v>245.91</v>
      </c>
      <c r="F958">
        <v>17</v>
      </c>
      <c r="G958">
        <v>9</v>
      </c>
      <c r="H958">
        <v>4.9000000000000002E-2</v>
      </c>
      <c r="I958" s="3">
        <v>1218</v>
      </c>
      <c r="J958" s="1">
        <v>45605</v>
      </c>
      <c r="K958" t="s">
        <v>31</v>
      </c>
      <c r="L958" t="s">
        <v>8</v>
      </c>
      <c r="M958" t="s">
        <v>41</v>
      </c>
      <c r="N958" s="1">
        <f t="shared" si="84"/>
        <v>45605</v>
      </c>
      <c r="O958" s="4">
        <f t="shared" si="85"/>
        <v>4.9744554987899973E-2</v>
      </c>
      <c r="P958">
        <f t="shared" si="86"/>
        <v>1.3292432432432433</v>
      </c>
      <c r="Q958" s="2">
        <f t="shared" si="87"/>
        <v>14.465294117647058</v>
      </c>
      <c r="R958" s="2">
        <f t="shared" si="88"/>
        <v>27.323333333333334</v>
      </c>
      <c r="S958" s="2">
        <f t="shared" si="89"/>
        <v>4.9530315969257046</v>
      </c>
    </row>
    <row r="959" spans="1:19" hidden="1">
      <c r="A959" t="s">
        <v>1012</v>
      </c>
      <c r="B959" t="s">
        <v>30</v>
      </c>
      <c r="C959">
        <v>162</v>
      </c>
      <c r="D959">
        <v>3337</v>
      </c>
      <c r="E959" s="2">
        <v>200.94</v>
      </c>
      <c r="F959">
        <v>11</v>
      </c>
      <c r="G959">
        <v>9</v>
      </c>
      <c r="H959">
        <v>5.6000000000000001E-2</v>
      </c>
      <c r="I959" s="3">
        <v>1820</v>
      </c>
      <c r="J959" s="1">
        <v>45612</v>
      </c>
      <c r="K959" t="s">
        <v>31</v>
      </c>
      <c r="L959" t="s">
        <v>8</v>
      </c>
      <c r="M959" t="s">
        <v>35</v>
      </c>
      <c r="N959" s="1">
        <f t="shared" si="84"/>
        <v>45612</v>
      </c>
      <c r="O959" s="4">
        <f t="shared" si="85"/>
        <v>4.8546598741384478E-2</v>
      </c>
      <c r="P959">
        <f t="shared" si="86"/>
        <v>1.2403703703703703</v>
      </c>
      <c r="Q959" s="2">
        <f t="shared" si="87"/>
        <v>18.267272727272726</v>
      </c>
      <c r="R959" s="2">
        <f t="shared" si="88"/>
        <v>22.326666666666668</v>
      </c>
      <c r="S959" s="2">
        <f t="shared" si="89"/>
        <v>9.0574300786304374</v>
      </c>
    </row>
    <row r="960" spans="1:19" hidden="1">
      <c r="A960" t="s">
        <v>1013</v>
      </c>
      <c r="B960" t="s">
        <v>30</v>
      </c>
      <c r="C960">
        <v>91</v>
      </c>
      <c r="D960">
        <v>3694</v>
      </c>
      <c r="E960" s="2">
        <v>234.02</v>
      </c>
      <c r="F960">
        <v>23</v>
      </c>
      <c r="G960">
        <v>5</v>
      </c>
      <c r="H960">
        <v>5.5E-2</v>
      </c>
      <c r="I960" s="3">
        <v>1505</v>
      </c>
      <c r="J960" s="1">
        <v>45620</v>
      </c>
      <c r="K960" t="s">
        <v>31</v>
      </c>
      <c r="L960" t="s">
        <v>7</v>
      </c>
      <c r="M960" t="s">
        <v>41</v>
      </c>
      <c r="N960" s="1">
        <f t="shared" si="84"/>
        <v>45620</v>
      </c>
      <c r="O960" s="4">
        <f t="shared" si="85"/>
        <v>2.4634542501353548E-2</v>
      </c>
      <c r="P960">
        <f t="shared" si="86"/>
        <v>2.5716483516483519</v>
      </c>
      <c r="Q960" s="2">
        <f t="shared" si="87"/>
        <v>10.174782608695653</v>
      </c>
      <c r="R960" s="2">
        <f t="shared" si="88"/>
        <v>46.804000000000002</v>
      </c>
      <c r="S960" s="2">
        <f t="shared" si="89"/>
        <v>6.431074267156653</v>
      </c>
    </row>
    <row r="961" spans="1:19" hidden="1">
      <c r="A961" t="s">
        <v>1014</v>
      </c>
      <c r="B961" t="s">
        <v>30</v>
      </c>
      <c r="C961">
        <v>109</v>
      </c>
      <c r="D961">
        <v>5641</v>
      </c>
      <c r="E961" s="2">
        <v>224.36</v>
      </c>
      <c r="F961">
        <v>30</v>
      </c>
      <c r="G961">
        <v>4</v>
      </c>
      <c r="H961">
        <v>3.6999999999999998E-2</v>
      </c>
      <c r="I961" s="3">
        <v>1531</v>
      </c>
      <c r="J961" s="1" t="s">
        <v>217</v>
      </c>
      <c r="K961" t="s">
        <v>31</v>
      </c>
      <c r="L961" t="s">
        <v>9</v>
      </c>
      <c r="M961" t="s">
        <v>46</v>
      </c>
      <c r="N961" s="1">
        <f t="shared" si="84"/>
        <v>45609</v>
      </c>
      <c r="O961" s="4">
        <f t="shared" si="85"/>
        <v>1.9322815103705017E-2</v>
      </c>
      <c r="P961">
        <f t="shared" si="86"/>
        <v>2.0583486238532109</v>
      </c>
      <c r="Q961" s="2">
        <f t="shared" si="87"/>
        <v>7.4786666666666672</v>
      </c>
      <c r="R961" s="2">
        <f t="shared" si="88"/>
        <v>56.09</v>
      </c>
      <c r="S961" s="2">
        <f t="shared" si="89"/>
        <v>6.8238545195221958</v>
      </c>
    </row>
    <row r="962" spans="1:19">
      <c r="A962" t="s">
        <v>1015</v>
      </c>
      <c r="B962" t="s">
        <v>30</v>
      </c>
      <c r="C962">
        <v>88</v>
      </c>
      <c r="D962">
        <v>3992</v>
      </c>
      <c r="E962" s="2">
        <v>195.38</v>
      </c>
      <c r="F962">
        <v>14</v>
      </c>
      <c r="G962">
        <v>4</v>
      </c>
      <c r="H962">
        <v>4.5999999999999999E-2</v>
      </c>
      <c r="I962" s="3">
        <v>1228</v>
      </c>
      <c r="J962" s="1">
        <v>45611</v>
      </c>
      <c r="K962" t="s">
        <v>31</v>
      </c>
      <c r="L962" t="s">
        <v>7</v>
      </c>
      <c r="M962" t="s">
        <v>35</v>
      </c>
      <c r="N962" s="1">
        <f t="shared" ref="N962:N1025" si="90">IF(A962="","",IF(ISNUMBER(J962),J962,IF(MID(J962,5,1)="-",DATE(LEFT(J962,4),MID(J962,6,2),RIGHT(J962,2)),IF(MID(J962,5,1)="/",DATE(LEFT(J962,4),MID(J962,6,2),RIGHT(J962,2)),DATE(RIGHT(J962,4),MID(J962,4,2),LEFT(J962,2))))))</f>
        <v>45611</v>
      </c>
      <c r="O962" s="4">
        <f t="shared" ref="O962:O1025" si="91">IFERROR(C962/D962,0)</f>
        <v>2.2044088176352707E-2</v>
      </c>
      <c r="P962">
        <f t="shared" ref="P962:P1025" si="92">IFERROR(E962/C962,0)</f>
        <v>2.2202272727272727</v>
      </c>
      <c r="Q962" s="2">
        <f t="shared" ref="Q962:Q1025" si="93">IFERROR(E962/F962,0)</f>
        <v>13.955714285714285</v>
      </c>
      <c r="R962" s="2">
        <f t="shared" ref="R962:R1025" si="94">IFERROR(E962/G962,0)</f>
        <v>48.844999999999999</v>
      </c>
      <c r="S962" s="2">
        <f t="shared" ref="S962:S1025" si="95">IFERROR(I962/E962,0)</f>
        <v>6.2851878390828135</v>
      </c>
    </row>
    <row r="963" spans="1:19">
      <c r="A963" t="s">
        <v>1016</v>
      </c>
      <c r="B963" t="s">
        <v>30</v>
      </c>
      <c r="C963">
        <v>189</v>
      </c>
      <c r="D963">
        <v>3411</v>
      </c>
      <c r="E963" s="2">
        <v>205.26</v>
      </c>
      <c r="F963">
        <v>28</v>
      </c>
      <c r="G963">
        <v>7</v>
      </c>
      <c r="H963">
        <v>4.5999999999999999E-2</v>
      </c>
      <c r="I963" s="3">
        <v>1147</v>
      </c>
      <c r="J963" s="1" t="s">
        <v>115</v>
      </c>
      <c r="K963" t="s">
        <v>31</v>
      </c>
      <c r="L963" t="s">
        <v>7</v>
      </c>
      <c r="M963" t="s">
        <v>46</v>
      </c>
      <c r="N963" s="1">
        <f t="shared" si="90"/>
        <v>45623</v>
      </c>
      <c r="O963" s="4">
        <f t="shared" si="91"/>
        <v>5.5408970976253295E-2</v>
      </c>
      <c r="P963">
        <f t="shared" si="92"/>
        <v>1.0860317460317459</v>
      </c>
      <c r="Q963" s="2">
        <f t="shared" si="93"/>
        <v>7.3307142857142855</v>
      </c>
      <c r="R963" s="2">
        <f t="shared" si="94"/>
        <v>29.322857142857142</v>
      </c>
      <c r="S963" s="2">
        <f t="shared" si="95"/>
        <v>5.5880346877131446</v>
      </c>
    </row>
    <row r="964" spans="1:19" hidden="1">
      <c r="A964" t="s">
        <v>1017</v>
      </c>
      <c r="B964" t="s">
        <v>30</v>
      </c>
      <c r="C964">
        <v>154</v>
      </c>
      <c r="D964">
        <v>3099</v>
      </c>
      <c r="E964" s="2">
        <v>218.7</v>
      </c>
      <c r="F964">
        <v>30</v>
      </c>
      <c r="G964">
        <v>6</v>
      </c>
      <c r="H964">
        <v>3.9E-2</v>
      </c>
      <c r="I964" s="3">
        <v>1366</v>
      </c>
      <c r="J964" s="1">
        <v>45576</v>
      </c>
      <c r="K964" t="s">
        <v>31</v>
      </c>
      <c r="L964" t="s">
        <v>7</v>
      </c>
      <c r="M964" t="s">
        <v>37</v>
      </c>
      <c r="N964" s="1">
        <f t="shared" si="90"/>
        <v>45576</v>
      </c>
      <c r="O964" s="4">
        <f t="shared" si="91"/>
        <v>4.9693449499838657E-2</v>
      </c>
      <c r="P964">
        <f t="shared" si="92"/>
        <v>1.4201298701298701</v>
      </c>
      <c r="Q964" s="2">
        <f t="shared" si="93"/>
        <v>7.29</v>
      </c>
      <c r="R964" s="2">
        <f t="shared" si="94"/>
        <v>36.449999999999996</v>
      </c>
      <c r="S964" s="2">
        <f t="shared" si="95"/>
        <v>6.2459990855052583</v>
      </c>
    </row>
    <row r="965" spans="1:19" hidden="1">
      <c r="A965" t="s">
        <v>1018</v>
      </c>
      <c r="B965" t="s">
        <v>30</v>
      </c>
      <c r="C965">
        <v>106</v>
      </c>
      <c r="D965">
        <v>3017</v>
      </c>
      <c r="E965" s="2">
        <v>242.71</v>
      </c>
      <c r="F965">
        <v>24</v>
      </c>
      <c r="G965">
        <v>5</v>
      </c>
      <c r="H965">
        <v>0.03</v>
      </c>
      <c r="I965" s="3">
        <v>1701</v>
      </c>
      <c r="J965" s="1">
        <v>45600</v>
      </c>
      <c r="K965" t="s">
        <v>31</v>
      </c>
      <c r="L965" t="s">
        <v>8</v>
      </c>
      <c r="M965" t="s">
        <v>32</v>
      </c>
      <c r="N965" s="1">
        <f t="shared" si="90"/>
        <v>45600</v>
      </c>
      <c r="O965" s="4">
        <f t="shared" si="91"/>
        <v>3.5134239310573419E-2</v>
      </c>
      <c r="P965">
        <f t="shared" si="92"/>
        <v>2.2897169811320754</v>
      </c>
      <c r="Q965" s="2">
        <f t="shared" si="93"/>
        <v>10.112916666666667</v>
      </c>
      <c r="R965" s="2">
        <f t="shared" si="94"/>
        <v>48.542000000000002</v>
      </c>
      <c r="S965" s="2">
        <f t="shared" si="95"/>
        <v>7.008363891063409</v>
      </c>
    </row>
    <row r="966" spans="1:19" hidden="1">
      <c r="A966" t="s">
        <v>1019</v>
      </c>
      <c r="B966" t="s">
        <v>30</v>
      </c>
      <c r="C966">
        <v>134</v>
      </c>
      <c r="D966">
        <v>4518.5</v>
      </c>
      <c r="E966" s="2">
        <v>202.32</v>
      </c>
      <c r="F966">
        <v>17</v>
      </c>
      <c r="G966">
        <v>5</v>
      </c>
      <c r="H966">
        <v>5.7000000000000002E-2</v>
      </c>
      <c r="I966" s="3">
        <v>1963</v>
      </c>
      <c r="J966" s="1">
        <v>45619</v>
      </c>
      <c r="K966" t="s">
        <v>31</v>
      </c>
      <c r="L966" t="s">
        <v>9</v>
      </c>
      <c r="M966" t="s">
        <v>39</v>
      </c>
      <c r="N966" s="1">
        <f t="shared" si="90"/>
        <v>45619</v>
      </c>
      <c r="O966" s="4">
        <f t="shared" si="91"/>
        <v>2.9655859245324778E-2</v>
      </c>
      <c r="P966">
        <f t="shared" si="92"/>
        <v>1.5098507462686566</v>
      </c>
      <c r="Q966" s="2">
        <f t="shared" si="93"/>
        <v>11.901176470588235</v>
      </c>
      <c r="R966" s="2">
        <f t="shared" si="94"/>
        <v>40.463999999999999</v>
      </c>
      <c r="S966" s="2">
        <f t="shared" si="95"/>
        <v>9.7024515618821674</v>
      </c>
    </row>
    <row r="967" spans="1:19" hidden="1">
      <c r="A967" t="s">
        <v>1020</v>
      </c>
      <c r="B967" t="s">
        <v>30</v>
      </c>
      <c r="C967">
        <v>84</v>
      </c>
      <c r="D967">
        <v>5662</v>
      </c>
      <c r="E967" s="2">
        <v>228.62</v>
      </c>
      <c r="F967">
        <v>25</v>
      </c>
      <c r="G967">
        <v>9</v>
      </c>
      <c r="H967">
        <v>0.107</v>
      </c>
      <c r="I967" s="3">
        <v>1988</v>
      </c>
      <c r="J967" s="1" t="s">
        <v>100</v>
      </c>
      <c r="K967" t="s">
        <v>31</v>
      </c>
      <c r="L967" t="s">
        <v>7</v>
      </c>
      <c r="M967" t="s">
        <v>46</v>
      </c>
      <c r="N967" s="1">
        <f t="shared" si="90"/>
        <v>45622</v>
      </c>
      <c r="O967" s="4">
        <f t="shared" si="91"/>
        <v>1.4835747085835394E-2</v>
      </c>
      <c r="P967">
        <f t="shared" si="92"/>
        <v>2.7216666666666667</v>
      </c>
      <c r="Q967" s="2">
        <f t="shared" si="93"/>
        <v>9.1448</v>
      </c>
      <c r="R967" s="2">
        <f t="shared" si="94"/>
        <v>25.402222222222221</v>
      </c>
      <c r="S967" s="2">
        <f t="shared" si="95"/>
        <v>8.695652173913043</v>
      </c>
    </row>
    <row r="968" spans="1:19">
      <c r="A968" t="s">
        <v>1021</v>
      </c>
      <c r="B968" t="s">
        <v>30</v>
      </c>
      <c r="C968">
        <v>190</v>
      </c>
      <c r="D968">
        <v>4476</v>
      </c>
      <c r="E968" s="2">
        <v>198.18</v>
      </c>
      <c r="F968">
        <v>12</v>
      </c>
      <c r="G968">
        <v>4</v>
      </c>
      <c r="H968">
        <v>4.5999999999999999E-2</v>
      </c>
      <c r="I968" s="3">
        <v>1002</v>
      </c>
      <c r="J968" s="1">
        <v>45603</v>
      </c>
      <c r="K968" t="s">
        <v>31</v>
      </c>
      <c r="L968" t="s">
        <v>7</v>
      </c>
      <c r="M968" t="s">
        <v>37</v>
      </c>
      <c r="N968" s="1">
        <f t="shared" si="90"/>
        <v>45603</v>
      </c>
      <c r="O968" s="4">
        <f t="shared" si="91"/>
        <v>4.2448614834673819E-2</v>
      </c>
      <c r="P968">
        <f t="shared" si="92"/>
        <v>1.0430526315789475</v>
      </c>
      <c r="Q968" s="2">
        <f t="shared" si="93"/>
        <v>16.515000000000001</v>
      </c>
      <c r="R968" s="2">
        <f t="shared" si="94"/>
        <v>49.545000000000002</v>
      </c>
      <c r="S968" s="2">
        <f t="shared" si="95"/>
        <v>5.0560096881622769</v>
      </c>
    </row>
    <row r="969" spans="1:19" hidden="1">
      <c r="A969" t="s">
        <v>1022</v>
      </c>
      <c r="B969" t="s">
        <v>30</v>
      </c>
      <c r="C969">
        <v>156</v>
      </c>
      <c r="D969">
        <v>4771</v>
      </c>
      <c r="E969" s="2">
        <v>199.3</v>
      </c>
      <c r="F969">
        <v>26</v>
      </c>
      <c r="G969">
        <v>8</v>
      </c>
      <c r="H969">
        <v>5.0999999999999997E-2</v>
      </c>
      <c r="I969" s="3">
        <v>1823</v>
      </c>
      <c r="J969" s="1">
        <v>45600</v>
      </c>
      <c r="K969" t="s">
        <v>31</v>
      </c>
      <c r="L969" t="s">
        <v>9</v>
      </c>
      <c r="M969" t="s">
        <v>37</v>
      </c>
      <c r="N969" s="1">
        <f t="shared" si="90"/>
        <v>45600</v>
      </c>
      <c r="O969" s="4">
        <f t="shared" si="91"/>
        <v>3.2697547683923703E-2</v>
      </c>
      <c r="P969">
        <f t="shared" si="92"/>
        <v>1.2775641025641027</v>
      </c>
      <c r="Q969" s="2">
        <f t="shared" si="93"/>
        <v>7.6653846153846157</v>
      </c>
      <c r="R969" s="2">
        <f t="shared" si="94"/>
        <v>24.912500000000001</v>
      </c>
      <c r="S969" s="2">
        <f t="shared" si="95"/>
        <v>9.1470145509282492</v>
      </c>
    </row>
    <row r="970" spans="1:19">
      <c r="A970" t="s">
        <v>1023</v>
      </c>
      <c r="B970" t="s">
        <v>30</v>
      </c>
      <c r="C970">
        <v>139</v>
      </c>
      <c r="D970">
        <v>5510</v>
      </c>
      <c r="E970" s="2">
        <v>198.92</v>
      </c>
      <c r="F970">
        <v>23</v>
      </c>
      <c r="G970">
        <v>9</v>
      </c>
      <c r="H970">
        <v>4.5999999999999999E-2</v>
      </c>
      <c r="I970" s="3">
        <v>1063</v>
      </c>
      <c r="J970" s="1">
        <v>45610</v>
      </c>
      <c r="K970" t="s">
        <v>31</v>
      </c>
      <c r="L970" t="s">
        <v>7</v>
      </c>
      <c r="M970" t="s">
        <v>35</v>
      </c>
      <c r="N970" s="1">
        <f t="shared" si="90"/>
        <v>45610</v>
      </c>
      <c r="O970" s="4">
        <f t="shared" si="91"/>
        <v>2.5226860254083484E-2</v>
      </c>
      <c r="P970">
        <f t="shared" si="92"/>
        <v>1.4310791366906475</v>
      </c>
      <c r="Q970" s="2">
        <f t="shared" si="93"/>
        <v>8.6486956521739131</v>
      </c>
      <c r="R970" s="2">
        <f t="shared" si="94"/>
        <v>22.10222222222222</v>
      </c>
      <c r="S970" s="2">
        <f t="shared" si="95"/>
        <v>5.3438568268650721</v>
      </c>
    </row>
    <row r="971" spans="1:19" hidden="1">
      <c r="A971" t="s">
        <v>1024</v>
      </c>
      <c r="B971" t="s">
        <v>30</v>
      </c>
      <c r="C971">
        <v>170</v>
      </c>
      <c r="D971">
        <v>4786</v>
      </c>
      <c r="E971" s="2">
        <v>202.62</v>
      </c>
      <c r="F971">
        <v>27</v>
      </c>
      <c r="G971">
        <v>6</v>
      </c>
      <c r="H971">
        <v>0.04</v>
      </c>
      <c r="I971" s="3">
        <v>1372</v>
      </c>
      <c r="J971" s="1">
        <v>45600</v>
      </c>
      <c r="K971" t="s">
        <v>31</v>
      </c>
      <c r="L971" t="s">
        <v>8</v>
      </c>
      <c r="M971" t="s">
        <v>39</v>
      </c>
      <c r="N971" s="1">
        <f t="shared" si="90"/>
        <v>45600</v>
      </c>
      <c r="O971" s="4">
        <f t="shared" si="91"/>
        <v>3.55202674467196E-2</v>
      </c>
      <c r="P971">
        <f t="shared" si="92"/>
        <v>1.1918823529411764</v>
      </c>
      <c r="Q971" s="2">
        <f t="shared" si="93"/>
        <v>7.5044444444444443</v>
      </c>
      <c r="R971" s="2">
        <f t="shared" si="94"/>
        <v>33.770000000000003</v>
      </c>
      <c r="S971" s="2">
        <f t="shared" si="95"/>
        <v>6.771296022110354</v>
      </c>
    </row>
    <row r="972" spans="1:19" hidden="1">
      <c r="A972" t="s">
        <v>1025</v>
      </c>
      <c r="B972" t="s">
        <v>30</v>
      </c>
      <c r="C972">
        <v>86</v>
      </c>
      <c r="D972">
        <v>3964</v>
      </c>
      <c r="E972" s="2">
        <v>193.15</v>
      </c>
      <c r="F972">
        <v>26</v>
      </c>
      <c r="G972">
        <v>5</v>
      </c>
      <c r="H972">
        <v>4.4999999999999998E-2</v>
      </c>
      <c r="I972" s="3">
        <v>1639</v>
      </c>
      <c r="J972" s="1" t="s">
        <v>111</v>
      </c>
      <c r="K972" t="s">
        <v>31</v>
      </c>
      <c r="L972" t="s">
        <v>7</v>
      </c>
      <c r="M972" t="s">
        <v>32</v>
      </c>
      <c r="N972" s="1">
        <f t="shared" si="90"/>
        <v>45619</v>
      </c>
      <c r="O972" s="4">
        <f t="shared" si="91"/>
        <v>2.1695257315842584E-2</v>
      </c>
      <c r="P972">
        <f t="shared" si="92"/>
        <v>2.2459302325581394</v>
      </c>
      <c r="Q972" s="2">
        <f t="shared" si="93"/>
        <v>7.4288461538461537</v>
      </c>
      <c r="R972" s="2">
        <f t="shared" si="94"/>
        <v>38.630000000000003</v>
      </c>
      <c r="S972" s="2">
        <f t="shared" si="95"/>
        <v>8.48563292777634</v>
      </c>
    </row>
    <row r="973" spans="1:19">
      <c r="A973" t="s">
        <v>1026</v>
      </c>
      <c r="B973" t="s">
        <v>30</v>
      </c>
      <c r="C973">
        <v>143</v>
      </c>
      <c r="D973">
        <v>5317</v>
      </c>
      <c r="E973" s="2">
        <v>236.37</v>
      </c>
      <c r="F973">
        <v>10</v>
      </c>
      <c r="G973">
        <v>3</v>
      </c>
      <c r="H973">
        <v>4.5999999999999999E-2</v>
      </c>
      <c r="I973" s="3">
        <v>1861</v>
      </c>
      <c r="J973" s="1" t="s">
        <v>43</v>
      </c>
      <c r="K973" t="s">
        <v>31</v>
      </c>
      <c r="L973" t="s">
        <v>9</v>
      </c>
      <c r="M973" t="s">
        <v>37</v>
      </c>
      <c r="N973" s="1">
        <f t="shared" si="90"/>
        <v>45612</v>
      </c>
      <c r="O973" s="4">
        <f t="shared" si="91"/>
        <v>2.6894865525672371E-2</v>
      </c>
      <c r="P973">
        <f t="shared" si="92"/>
        <v>1.652937062937063</v>
      </c>
      <c r="Q973" s="2">
        <f t="shared" si="93"/>
        <v>23.637</v>
      </c>
      <c r="R973" s="2">
        <f t="shared" si="94"/>
        <v>78.790000000000006</v>
      </c>
      <c r="S973" s="2">
        <f t="shared" si="95"/>
        <v>7.8732495663578286</v>
      </c>
    </row>
    <row r="974" spans="1:19" hidden="1">
      <c r="A974" t="s">
        <v>1027</v>
      </c>
      <c r="B974" t="s">
        <v>30</v>
      </c>
      <c r="C974">
        <v>84</v>
      </c>
      <c r="D974">
        <v>3454</v>
      </c>
      <c r="E974" s="2">
        <v>206.8</v>
      </c>
      <c r="F974">
        <v>23</v>
      </c>
      <c r="G974">
        <v>3</v>
      </c>
      <c r="H974">
        <v>3.5999999999999997E-2</v>
      </c>
      <c r="I974" s="3">
        <v>1573</v>
      </c>
      <c r="J974" s="1">
        <v>45613</v>
      </c>
      <c r="K974" t="s">
        <v>31</v>
      </c>
      <c r="L974" t="s">
        <v>7</v>
      </c>
      <c r="M974" t="s">
        <v>32</v>
      </c>
      <c r="N974" s="1">
        <f t="shared" si="90"/>
        <v>45613</v>
      </c>
      <c r="O974" s="4">
        <f t="shared" si="91"/>
        <v>2.4319629415170817E-2</v>
      </c>
      <c r="P974">
        <f t="shared" si="92"/>
        <v>2.461904761904762</v>
      </c>
      <c r="Q974" s="2">
        <f t="shared" si="93"/>
        <v>8.9913043478260875</v>
      </c>
      <c r="R974" s="2">
        <f t="shared" si="94"/>
        <v>68.933333333333337</v>
      </c>
      <c r="S974" s="2">
        <f t="shared" si="95"/>
        <v>7.6063829787234036</v>
      </c>
    </row>
    <row r="975" spans="1:19">
      <c r="A975" t="s">
        <v>1028</v>
      </c>
      <c r="B975" t="s">
        <v>30</v>
      </c>
      <c r="C975">
        <v>145</v>
      </c>
      <c r="D975">
        <v>3804</v>
      </c>
      <c r="E975" s="2">
        <v>236.92</v>
      </c>
      <c r="F975">
        <v>29</v>
      </c>
      <c r="G975">
        <v>8</v>
      </c>
      <c r="H975">
        <v>4.5999999999999999E-2</v>
      </c>
      <c r="I975" s="3">
        <v>1328</v>
      </c>
      <c r="J975" s="1">
        <v>45619</v>
      </c>
      <c r="K975" t="s">
        <v>31</v>
      </c>
      <c r="L975" t="s">
        <v>9</v>
      </c>
      <c r="M975" t="s">
        <v>35</v>
      </c>
      <c r="N975" s="1">
        <f t="shared" si="90"/>
        <v>45619</v>
      </c>
      <c r="O975" s="4">
        <f t="shared" si="91"/>
        <v>3.8117770767613038E-2</v>
      </c>
      <c r="P975">
        <f t="shared" si="92"/>
        <v>1.6339310344827584</v>
      </c>
      <c r="Q975" s="2">
        <f t="shared" si="93"/>
        <v>8.1696551724137922</v>
      </c>
      <c r="R975" s="2">
        <f t="shared" si="94"/>
        <v>29.614999999999998</v>
      </c>
      <c r="S975" s="2">
        <f t="shared" si="95"/>
        <v>5.6052676008779336</v>
      </c>
    </row>
    <row r="976" spans="1:19">
      <c r="A976" t="s">
        <v>1029</v>
      </c>
      <c r="B976" t="s">
        <v>30</v>
      </c>
      <c r="C976">
        <v>126</v>
      </c>
      <c r="D976">
        <v>4670</v>
      </c>
      <c r="E976" s="2">
        <v>234.65</v>
      </c>
      <c r="F976">
        <v>25</v>
      </c>
      <c r="G976">
        <v>8</v>
      </c>
      <c r="H976">
        <v>4.5999999999999999E-2</v>
      </c>
      <c r="I976" s="3">
        <v>1470</v>
      </c>
      <c r="J976" s="1">
        <v>45619</v>
      </c>
      <c r="K976" t="s">
        <v>31</v>
      </c>
      <c r="L976" t="s">
        <v>7</v>
      </c>
      <c r="M976" t="s">
        <v>41</v>
      </c>
      <c r="N976" s="1">
        <f t="shared" si="90"/>
        <v>45619</v>
      </c>
      <c r="O976" s="4">
        <f t="shared" si="91"/>
        <v>2.6980728051391862E-2</v>
      </c>
      <c r="P976">
        <f t="shared" si="92"/>
        <v>1.8623015873015873</v>
      </c>
      <c r="Q976" s="2">
        <f t="shared" si="93"/>
        <v>9.386000000000001</v>
      </c>
      <c r="R976" s="2">
        <f t="shared" si="94"/>
        <v>29.331250000000001</v>
      </c>
      <c r="S976" s="2">
        <f t="shared" si="95"/>
        <v>6.264649477945877</v>
      </c>
    </row>
    <row r="977" spans="1:19" hidden="1">
      <c r="A977" t="s">
        <v>1030</v>
      </c>
      <c r="B977" t="s">
        <v>30</v>
      </c>
      <c r="C977">
        <v>156</v>
      </c>
      <c r="D977">
        <v>3273</v>
      </c>
      <c r="E977" s="2">
        <v>189.36</v>
      </c>
      <c r="F977">
        <v>14</v>
      </c>
      <c r="G977">
        <v>6</v>
      </c>
      <c r="H977">
        <v>3.7999999999999999E-2</v>
      </c>
      <c r="I977" s="3">
        <v>1860</v>
      </c>
      <c r="J977" s="1">
        <v>45611</v>
      </c>
      <c r="K977" t="s">
        <v>31</v>
      </c>
      <c r="L977" t="s">
        <v>8</v>
      </c>
      <c r="M977" t="s">
        <v>37</v>
      </c>
      <c r="N977" s="1">
        <f t="shared" si="90"/>
        <v>45611</v>
      </c>
      <c r="O977" s="4">
        <f t="shared" si="91"/>
        <v>4.7662694775435381E-2</v>
      </c>
      <c r="P977">
        <f t="shared" si="92"/>
        <v>1.213846153846154</v>
      </c>
      <c r="Q977" s="2">
        <f t="shared" si="93"/>
        <v>13.525714285714287</v>
      </c>
      <c r="R977" s="2">
        <f t="shared" si="94"/>
        <v>31.560000000000002</v>
      </c>
      <c r="S977" s="2">
        <f t="shared" si="95"/>
        <v>9.8225602027883383</v>
      </c>
    </row>
    <row r="978" spans="1:19" hidden="1">
      <c r="A978" t="s">
        <v>1031</v>
      </c>
      <c r="B978" t="s">
        <v>30</v>
      </c>
      <c r="C978">
        <v>124</v>
      </c>
      <c r="D978">
        <v>4236</v>
      </c>
      <c r="E978" s="2">
        <v>182.02</v>
      </c>
      <c r="F978">
        <v>20</v>
      </c>
      <c r="G978">
        <v>9</v>
      </c>
      <c r="H978">
        <v>7.2999999999999995E-2</v>
      </c>
      <c r="I978" s="3">
        <v>1979</v>
      </c>
      <c r="J978" s="1" t="s">
        <v>73</v>
      </c>
      <c r="K978" t="s">
        <v>31</v>
      </c>
      <c r="L978" t="s">
        <v>7</v>
      </c>
      <c r="M978" t="s">
        <v>39</v>
      </c>
      <c r="N978" s="1">
        <f t="shared" si="90"/>
        <v>45618</v>
      </c>
      <c r="O978" s="4">
        <f t="shared" si="91"/>
        <v>2.9272898961284231E-2</v>
      </c>
      <c r="P978">
        <f t="shared" si="92"/>
        <v>1.4679032258064517</v>
      </c>
      <c r="Q978" s="2">
        <f t="shared" si="93"/>
        <v>9.1010000000000009</v>
      </c>
      <c r="R978" s="2">
        <f t="shared" si="94"/>
        <v>20.224444444444444</v>
      </c>
      <c r="S978" s="2">
        <f t="shared" si="95"/>
        <v>10.872431600922974</v>
      </c>
    </row>
    <row r="979" spans="1:19" hidden="1">
      <c r="A979" t="s">
        <v>1032</v>
      </c>
      <c r="B979" t="s">
        <v>30</v>
      </c>
      <c r="C979">
        <v>197</v>
      </c>
      <c r="D979">
        <v>5866</v>
      </c>
      <c r="E979" s="2">
        <v>217.81</v>
      </c>
      <c r="F979">
        <v>28</v>
      </c>
      <c r="G979">
        <v>7</v>
      </c>
      <c r="H979">
        <v>3.5999999999999997E-2</v>
      </c>
      <c r="I979" s="3">
        <v>1331</v>
      </c>
      <c r="J979" s="1" t="s">
        <v>105</v>
      </c>
      <c r="K979" t="s">
        <v>31</v>
      </c>
      <c r="L979" t="s">
        <v>8</v>
      </c>
      <c r="M979" t="s">
        <v>32</v>
      </c>
      <c r="N979" s="1">
        <f t="shared" si="90"/>
        <v>45614</v>
      </c>
      <c r="O979" s="4">
        <f t="shared" si="91"/>
        <v>3.3583361745652913E-2</v>
      </c>
      <c r="P979">
        <f t="shared" si="92"/>
        <v>1.1056345177664975</v>
      </c>
      <c r="Q979" s="2">
        <f t="shared" si="93"/>
        <v>7.7789285714285716</v>
      </c>
      <c r="R979" s="2">
        <f t="shared" si="94"/>
        <v>31.115714285714287</v>
      </c>
      <c r="S979" s="2">
        <f t="shared" si="95"/>
        <v>6.1108305403792293</v>
      </c>
    </row>
    <row r="980" spans="1:19">
      <c r="A980" t="s">
        <v>1033</v>
      </c>
      <c r="B980" t="s">
        <v>30</v>
      </c>
      <c r="C980">
        <v>106</v>
      </c>
      <c r="D980">
        <v>3102</v>
      </c>
      <c r="E980" s="2">
        <v>214.56</v>
      </c>
      <c r="F980">
        <v>12</v>
      </c>
      <c r="G980">
        <v>7</v>
      </c>
      <c r="H980">
        <v>4.5999999999999999E-2</v>
      </c>
      <c r="I980" s="3">
        <v>1881</v>
      </c>
      <c r="J980" s="1">
        <v>45621</v>
      </c>
      <c r="K980" t="s">
        <v>31</v>
      </c>
      <c r="L980" t="s">
        <v>8</v>
      </c>
      <c r="M980" t="s">
        <v>32</v>
      </c>
      <c r="N980" s="1">
        <f t="shared" si="90"/>
        <v>45621</v>
      </c>
      <c r="O980" s="4">
        <f t="shared" si="91"/>
        <v>3.4171502256608637E-2</v>
      </c>
      <c r="P980">
        <f t="shared" si="92"/>
        <v>2.0241509433962266</v>
      </c>
      <c r="Q980" s="2">
        <f t="shared" si="93"/>
        <v>17.88</v>
      </c>
      <c r="R980" s="2">
        <f t="shared" si="94"/>
        <v>30.651428571428571</v>
      </c>
      <c r="S980" s="2">
        <f t="shared" si="95"/>
        <v>8.7667785234899327</v>
      </c>
    </row>
    <row r="981" spans="1:19" hidden="1">
      <c r="A981" t="s">
        <v>1034</v>
      </c>
      <c r="B981" t="s">
        <v>30</v>
      </c>
      <c r="C981">
        <v>129</v>
      </c>
      <c r="D981">
        <v>4856</v>
      </c>
      <c r="E981" s="2">
        <v>230.13</v>
      </c>
      <c r="F981">
        <v>23</v>
      </c>
      <c r="G981">
        <v>7</v>
      </c>
      <c r="H981">
        <v>5.3999999999999999E-2</v>
      </c>
      <c r="I981" s="3">
        <v>1720</v>
      </c>
      <c r="J981" s="1" t="s">
        <v>206</v>
      </c>
      <c r="K981" t="s">
        <v>31</v>
      </c>
      <c r="L981" t="s">
        <v>9</v>
      </c>
      <c r="M981" t="s">
        <v>32</v>
      </c>
      <c r="N981" s="1">
        <f t="shared" si="90"/>
        <v>45621</v>
      </c>
      <c r="O981" s="4">
        <f t="shared" si="91"/>
        <v>2.656507413509061E-2</v>
      </c>
      <c r="P981">
        <f t="shared" si="92"/>
        <v>1.7839534883720929</v>
      </c>
      <c r="Q981" s="2">
        <f t="shared" si="93"/>
        <v>10.005652173913044</v>
      </c>
      <c r="R981" s="2">
        <f t="shared" si="94"/>
        <v>32.875714285714288</v>
      </c>
      <c r="S981" s="2">
        <f t="shared" si="95"/>
        <v>7.4740364142006692</v>
      </c>
    </row>
    <row r="982" spans="1:19" hidden="1">
      <c r="A982" t="s">
        <v>1035</v>
      </c>
      <c r="B982" t="s">
        <v>30</v>
      </c>
      <c r="C982">
        <v>93</v>
      </c>
      <c r="D982">
        <v>4054</v>
      </c>
      <c r="E982" s="2">
        <v>244.73</v>
      </c>
      <c r="F982">
        <v>11</v>
      </c>
      <c r="G982">
        <v>8</v>
      </c>
      <c r="H982">
        <v>8.5999999999999993E-2</v>
      </c>
      <c r="I982" s="3">
        <v>1066</v>
      </c>
      <c r="J982" s="1">
        <v>45620</v>
      </c>
      <c r="K982" t="s">
        <v>31</v>
      </c>
      <c r="L982" t="s">
        <v>7</v>
      </c>
      <c r="M982" t="s">
        <v>41</v>
      </c>
      <c r="N982" s="1">
        <f t="shared" si="90"/>
        <v>45620</v>
      </c>
      <c r="O982" s="4">
        <f t="shared" si="91"/>
        <v>2.2940305870744943E-2</v>
      </c>
      <c r="P982">
        <f t="shared" si="92"/>
        <v>2.6315053763440859</v>
      </c>
      <c r="Q982" s="2">
        <f t="shared" si="93"/>
        <v>22.248181818181816</v>
      </c>
      <c r="R982" s="2">
        <f t="shared" si="94"/>
        <v>30.591249999999999</v>
      </c>
      <c r="S982" s="2">
        <f t="shared" si="95"/>
        <v>4.3558207003636662</v>
      </c>
    </row>
    <row r="983" spans="1:19" hidden="1">
      <c r="A983" t="s">
        <v>1036</v>
      </c>
      <c r="B983" t="s">
        <v>30</v>
      </c>
      <c r="C983">
        <v>96</v>
      </c>
      <c r="D983">
        <v>4074</v>
      </c>
      <c r="E983" s="2">
        <v>219.66</v>
      </c>
      <c r="F983">
        <v>16</v>
      </c>
      <c r="G983">
        <v>8</v>
      </c>
      <c r="H983">
        <v>8.3000000000000004E-2</v>
      </c>
      <c r="I983" s="3">
        <v>1505</v>
      </c>
      <c r="J983" s="1">
        <v>45484</v>
      </c>
      <c r="K983" t="s">
        <v>31</v>
      </c>
      <c r="L983" t="s">
        <v>9</v>
      </c>
      <c r="M983" t="s">
        <v>37</v>
      </c>
      <c r="N983" s="1">
        <f t="shared" si="90"/>
        <v>45484</v>
      </c>
      <c r="O983" s="4">
        <f t="shared" si="91"/>
        <v>2.3564064801178203E-2</v>
      </c>
      <c r="P983">
        <f t="shared" si="92"/>
        <v>2.288125</v>
      </c>
      <c r="Q983" s="2">
        <f t="shared" si="93"/>
        <v>13.72875</v>
      </c>
      <c r="R983" s="2">
        <f t="shared" si="94"/>
        <v>27.4575</v>
      </c>
      <c r="S983" s="2">
        <f t="shared" si="95"/>
        <v>6.8514977692797965</v>
      </c>
    </row>
    <row r="984" spans="1:19" hidden="1">
      <c r="A984" t="s">
        <v>1037</v>
      </c>
      <c r="B984" t="s">
        <v>30</v>
      </c>
      <c r="C984">
        <v>135</v>
      </c>
      <c r="D984">
        <v>4430</v>
      </c>
      <c r="E984" s="2">
        <v>196.18</v>
      </c>
      <c r="F984">
        <v>12</v>
      </c>
      <c r="G984">
        <v>9</v>
      </c>
      <c r="H984">
        <v>6.7000000000000004E-2</v>
      </c>
      <c r="I984" s="3">
        <v>1374</v>
      </c>
      <c r="J984" s="1">
        <v>45604</v>
      </c>
      <c r="K984" t="s">
        <v>31</v>
      </c>
      <c r="L984" t="s">
        <v>8</v>
      </c>
      <c r="M984" t="s">
        <v>46</v>
      </c>
      <c r="N984" s="1">
        <f t="shared" si="90"/>
        <v>45604</v>
      </c>
      <c r="O984" s="4">
        <f t="shared" si="91"/>
        <v>3.0474040632054177E-2</v>
      </c>
      <c r="P984">
        <f t="shared" si="92"/>
        <v>1.4531851851851851</v>
      </c>
      <c r="Q984" s="2">
        <f t="shared" si="93"/>
        <v>16.348333333333333</v>
      </c>
      <c r="R984" s="2">
        <f t="shared" si="94"/>
        <v>21.797777777777778</v>
      </c>
      <c r="S984" s="2">
        <f t="shared" si="95"/>
        <v>7.0037720460801305</v>
      </c>
    </row>
    <row r="985" spans="1:19" hidden="1">
      <c r="A985" t="s">
        <v>1038</v>
      </c>
      <c r="B985" t="s">
        <v>30</v>
      </c>
      <c r="C985">
        <v>138</v>
      </c>
      <c r="D985">
        <v>5356</v>
      </c>
      <c r="E985" s="2">
        <v>204.86</v>
      </c>
      <c r="F985">
        <v>15</v>
      </c>
      <c r="G985">
        <v>9</v>
      </c>
      <c r="H985">
        <v>6.5000000000000002E-2</v>
      </c>
      <c r="I985" s="3">
        <v>1268</v>
      </c>
      <c r="J985" s="1">
        <v>45618</v>
      </c>
      <c r="K985" t="s">
        <v>31</v>
      </c>
      <c r="L985" t="s">
        <v>8</v>
      </c>
      <c r="M985" t="s">
        <v>41</v>
      </c>
      <c r="N985" s="1">
        <f t="shared" si="90"/>
        <v>45618</v>
      </c>
      <c r="O985" s="4">
        <f t="shared" si="91"/>
        <v>2.5765496639283045E-2</v>
      </c>
      <c r="P985">
        <f t="shared" si="92"/>
        <v>1.4844927536231884</v>
      </c>
      <c r="Q985" s="2">
        <f t="shared" si="93"/>
        <v>13.657333333333334</v>
      </c>
      <c r="R985" s="2">
        <f t="shared" si="94"/>
        <v>22.762222222222224</v>
      </c>
      <c r="S985" s="2">
        <f t="shared" si="95"/>
        <v>6.1895928927072141</v>
      </c>
    </row>
    <row r="986" spans="1:19">
      <c r="A986" t="s">
        <v>1039</v>
      </c>
      <c r="B986" t="s">
        <v>30</v>
      </c>
      <c r="C986">
        <v>92</v>
      </c>
      <c r="D986">
        <v>4898</v>
      </c>
      <c r="E986" s="2">
        <v>247.49</v>
      </c>
      <c r="F986">
        <v>19</v>
      </c>
      <c r="G986">
        <v>7</v>
      </c>
      <c r="H986">
        <v>4.5999999999999999E-2</v>
      </c>
      <c r="I986" s="3">
        <v>1969</v>
      </c>
      <c r="J986" s="1">
        <v>45603</v>
      </c>
      <c r="K986" t="s">
        <v>31</v>
      </c>
      <c r="L986" t="s">
        <v>7</v>
      </c>
      <c r="M986" t="s">
        <v>39</v>
      </c>
      <c r="N986" s="1">
        <f t="shared" si="90"/>
        <v>45603</v>
      </c>
      <c r="O986" s="4">
        <f t="shared" si="91"/>
        <v>1.8783176806859942E-2</v>
      </c>
      <c r="P986">
        <f t="shared" si="92"/>
        <v>2.690108695652174</v>
      </c>
      <c r="Q986" s="2">
        <f t="shared" si="93"/>
        <v>13.025789473684211</v>
      </c>
      <c r="R986" s="2">
        <f t="shared" si="94"/>
        <v>35.355714285714285</v>
      </c>
      <c r="S986" s="2">
        <f t="shared" si="95"/>
        <v>7.9558770051315202</v>
      </c>
    </row>
    <row r="987" spans="1:19" hidden="1">
      <c r="A987" t="s">
        <v>1040</v>
      </c>
      <c r="B987" t="s">
        <v>30</v>
      </c>
      <c r="C987">
        <v>151</v>
      </c>
      <c r="D987">
        <v>5301</v>
      </c>
      <c r="E987" s="2">
        <v>232.06</v>
      </c>
      <c r="F987">
        <v>13</v>
      </c>
      <c r="G987">
        <v>9</v>
      </c>
      <c r="H987">
        <v>0.06</v>
      </c>
      <c r="I987" s="3">
        <v>1893</v>
      </c>
      <c r="J987" s="1">
        <v>45601</v>
      </c>
      <c r="K987" t="s">
        <v>31</v>
      </c>
      <c r="L987" t="s">
        <v>8</v>
      </c>
      <c r="M987" t="s">
        <v>37</v>
      </c>
      <c r="N987" s="1">
        <f t="shared" si="90"/>
        <v>45601</v>
      </c>
      <c r="O987" s="4">
        <f t="shared" si="91"/>
        <v>2.8485191473306925E-2</v>
      </c>
      <c r="P987">
        <f t="shared" si="92"/>
        <v>1.5368211920529802</v>
      </c>
      <c r="Q987" s="2">
        <f t="shared" si="93"/>
        <v>17.850769230769231</v>
      </c>
      <c r="R987" s="2">
        <f t="shared" si="94"/>
        <v>25.784444444444446</v>
      </c>
      <c r="S987" s="2">
        <f t="shared" si="95"/>
        <v>8.1573730931655604</v>
      </c>
    </row>
    <row r="988" spans="1:19" hidden="1">
      <c r="A988" t="s">
        <v>1041</v>
      </c>
      <c r="B988" t="s">
        <v>30</v>
      </c>
      <c r="C988">
        <v>189</v>
      </c>
      <c r="D988">
        <v>3031</v>
      </c>
      <c r="E988" s="2">
        <v>209.84</v>
      </c>
      <c r="F988">
        <v>25</v>
      </c>
      <c r="G988">
        <v>6</v>
      </c>
      <c r="H988">
        <v>3.2000000000000001E-2</v>
      </c>
      <c r="I988" s="3">
        <v>1936</v>
      </c>
      <c r="J988" s="1">
        <v>45622</v>
      </c>
      <c r="K988" t="s">
        <v>31</v>
      </c>
      <c r="L988" t="s">
        <v>9</v>
      </c>
      <c r="M988" t="s">
        <v>41</v>
      </c>
      <c r="N988" s="1">
        <f t="shared" si="90"/>
        <v>45622</v>
      </c>
      <c r="O988" s="4">
        <f t="shared" si="91"/>
        <v>6.2355658198614321E-2</v>
      </c>
      <c r="P988">
        <f t="shared" si="92"/>
        <v>1.1102645502645503</v>
      </c>
      <c r="Q988" s="2">
        <f t="shared" si="93"/>
        <v>8.3935999999999993</v>
      </c>
      <c r="R988" s="2">
        <f t="shared" si="94"/>
        <v>34.973333333333336</v>
      </c>
      <c r="S988" s="2">
        <f t="shared" si="95"/>
        <v>9.2260770110560433</v>
      </c>
    </row>
    <row r="989" spans="1:19">
      <c r="A989" t="s">
        <v>1042</v>
      </c>
      <c r="B989" t="s">
        <v>30</v>
      </c>
      <c r="C989">
        <v>97</v>
      </c>
      <c r="D989">
        <v>3410</v>
      </c>
      <c r="E989" s="2">
        <v>180.52</v>
      </c>
      <c r="F989">
        <v>24</v>
      </c>
      <c r="G989">
        <v>7</v>
      </c>
      <c r="H989">
        <v>4.5999999999999999E-2</v>
      </c>
      <c r="I989" s="3">
        <v>1532</v>
      </c>
      <c r="J989" s="1">
        <v>45484</v>
      </c>
      <c r="K989" t="s">
        <v>31</v>
      </c>
      <c r="L989" t="s">
        <v>9</v>
      </c>
      <c r="M989" t="s">
        <v>46</v>
      </c>
      <c r="N989" s="1">
        <f t="shared" si="90"/>
        <v>45484</v>
      </c>
      <c r="O989" s="4">
        <f t="shared" si="91"/>
        <v>2.8445747800586511E-2</v>
      </c>
      <c r="P989">
        <f t="shared" si="92"/>
        <v>1.8610309278350516</v>
      </c>
      <c r="Q989" s="2">
        <f t="shared" si="93"/>
        <v>7.5216666666666674</v>
      </c>
      <c r="R989" s="2">
        <f t="shared" si="94"/>
        <v>25.78857142857143</v>
      </c>
      <c r="S989" s="2">
        <f t="shared" si="95"/>
        <v>8.486594283181919</v>
      </c>
    </row>
    <row r="990" spans="1:19" hidden="1">
      <c r="A990" t="s">
        <v>1043</v>
      </c>
      <c r="B990" t="s">
        <v>30</v>
      </c>
      <c r="C990">
        <v>178</v>
      </c>
      <c r="D990">
        <v>4745</v>
      </c>
      <c r="E990" s="2">
        <v>200.61</v>
      </c>
      <c r="F990">
        <v>12</v>
      </c>
      <c r="G990">
        <v>9</v>
      </c>
      <c r="H990">
        <v>5.0999999999999997E-2</v>
      </c>
      <c r="I990" s="3">
        <v>1574</v>
      </c>
      <c r="J990" s="1">
        <v>45614</v>
      </c>
      <c r="K990" t="s">
        <v>31</v>
      </c>
      <c r="L990" t="s">
        <v>7</v>
      </c>
      <c r="M990" t="s">
        <v>32</v>
      </c>
      <c r="N990" s="1">
        <f t="shared" si="90"/>
        <v>45614</v>
      </c>
      <c r="O990" s="4">
        <f t="shared" si="91"/>
        <v>3.7513171759747103E-2</v>
      </c>
      <c r="P990">
        <f t="shared" si="92"/>
        <v>1.1270224719101125</v>
      </c>
      <c r="Q990" s="2">
        <f t="shared" si="93"/>
        <v>16.717500000000001</v>
      </c>
      <c r="R990" s="2">
        <f t="shared" si="94"/>
        <v>22.290000000000003</v>
      </c>
      <c r="S990" s="2">
        <f t="shared" si="95"/>
        <v>7.8460694880614126</v>
      </c>
    </row>
    <row r="991" spans="1:19" hidden="1">
      <c r="A991" t="s">
        <v>1044</v>
      </c>
      <c r="B991" t="s">
        <v>30</v>
      </c>
      <c r="C991">
        <v>164</v>
      </c>
      <c r="D991">
        <v>3024</v>
      </c>
      <c r="E991" s="2">
        <v>192.34</v>
      </c>
      <c r="F991">
        <v>12</v>
      </c>
      <c r="G991">
        <v>8</v>
      </c>
      <c r="H991">
        <v>4.9000000000000002E-2</v>
      </c>
      <c r="I991" s="3">
        <v>1997</v>
      </c>
      <c r="J991" s="1">
        <v>45603</v>
      </c>
      <c r="K991" t="s">
        <v>31</v>
      </c>
      <c r="L991" t="s">
        <v>7</v>
      </c>
      <c r="M991" t="s">
        <v>35</v>
      </c>
      <c r="N991" s="1">
        <f t="shared" si="90"/>
        <v>45603</v>
      </c>
      <c r="O991" s="4">
        <f t="shared" si="91"/>
        <v>5.423280423280423E-2</v>
      </c>
      <c r="P991">
        <f t="shared" si="92"/>
        <v>1.1728048780487805</v>
      </c>
      <c r="Q991" s="2">
        <f t="shared" si="93"/>
        <v>16.028333333333332</v>
      </c>
      <c r="R991" s="2">
        <f t="shared" si="94"/>
        <v>24.0425</v>
      </c>
      <c r="S991" s="2">
        <f t="shared" si="95"/>
        <v>10.382655713840075</v>
      </c>
    </row>
    <row r="992" spans="1:19" hidden="1">
      <c r="A992" t="s">
        <v>1045</v>
      </c>
      <c r="B992" t="s">
        <v>30</v>
      </c>
      <c r="C992">
        <v>94</v>
      </c>
      <c r="D992">
        <v>5435</v>
      </c>
      <c r="E992" s="2">
        <v>231.42</v>
      </c>
      <c r="F992">
        <v>21</v>
      </c>
      <c r="G992">
        <v>5</v>
      </c>
      <c r="H992">
        <v>5.6000000000000001E-2</v>
      </c>
      <c r="I992" s="3">
        <v>1114</v>
      </c>
      <c r="J992" s="1">
        <v>45599</v>
      </c>
      <c r="K992" t="s">
        <v>31</v>
      </c>
      <c r="L992" t="s">
        <v>7</v>
      </c>
      <c r="M992" t="s">
        <v>37</v>
      </c>
      <c r="N992" s="1">
        <f t="shared" si="90"/>
        <v>45599</v>
      </c>
      <c r="O992" s="4">
        <f t="shared" si="91"/>
        <v>1.7295308187672494E-2</v>
      </c>
      <c r="P992">
        <f t="shared" si="92"/>
        <v>2.461914893617021</v>
      </c>
      <c r="Q992" s="2">
        <f t="shared" si="93"/>
        <v>11.02</v>
      </c>
      <c r="R992" s="2">
        <f t="shared" si="94"/>
        <v>46.283999999999999</v>
      </c>
      <c r="S992" s="2">
        <f t="shared" si="95"/>
        <v>4.8137585342667011</v>
      </c>
    </row>
    <row r="993" spans="1:19" hidden="1">
      <c r="A993" t="s">
        <v>1046</v>
      </c>
      <c r="B993" t="s">
        <v>30</v>
      </c>
      <c r="C993">
        <v>176</v>
      </c>
      <c r="D993">
        <v>3021</v>
      </c>
      <c r="E993" s="2">
        <v>204.53</v>
      </c>
      <c r="F993">
        <v>29</v>
      </c>
      <c r="G993">
        <v>7</v>
      </c>
      <c r="H993">
        <v>0.03</v>
      </c>
      <c r="I993" s="3">
        <v>1620</v>
      </c>
      <c r="J993" s="1">
        <v>45609</v>
      </c>
      <c r="K993" t="s">
        <v>31</v>
      </c>
      <c r="L993" t="s">
        <v>9</v>
      </c>
      <c r="M993" t="s">
        <v>41</v>
      </c>
      <c r="N993" s="1">
        <f t="shared" si="90"/>
        <v>45609</v>
      </c>
      <c r="O993" s="4">
        <f t="shared" si="91"/>
        <v>5.8258854683879507E-2</v>
      </c>
      <c r="P993">
        <f t="shared" si="92"/>
        <v>1.1621022727272727</v>
      </c>
      <c r="Q993" s="2">
        <f t="shared" si="93"/>
        <v>7.0527586206896551</v>
      </c>
      <c r="R993" s="2">
        <f t="shared" si="94"/>
        <v>29.21857142857143</v>
      </c>
      <c r="S993" s="2">
        <f t="shared" si="95"/>
        <v>7.9205984452158607</v>
      </c>
    </row>
    <row r="994" spans="1:19" hidden="1">
      <c r="A994" t="s">
        <v>1047</v>
      </c>
      <c r="B994" t="s">
        <v>30</v>
      </c>
      <c r="C994">
        <v>165</v>
      </c>
      <c r="D994">
        <v>5335</v>
      </c>
      <c r="E994" s="2">
        <v>192.53</v>
      </c>
      <c r="F994">
        <v>23</v>
      </c>
      <c r="G994">
        <v>5</v>
      </c>
      <c r="H994">
        <v>0.03</v>
      </c>
      <c r="I994" s="3">
        <v>1402</v>
      </c>
      <c r="J994" s="1">
        <v>45637</v>
      </c>
      <c r="K994" t="s">
        <v>31</v>
      </c>
      <c r="L994" t="s">
        <v>8</v>
      </c>
      <c r="M994" t="s">
        <v>39</v>
      </c>
      <c r="N994" s="1">
        <f t="shared" si="90"/>
        <v>45637</v>
      </c>
      <c r="O994" s="4">
        <f t="shared" si="91"/>
        <v>3.0927835051546393E-2</v>
      </c>
      <c r="P994">
        <f t="shared" si="92"/>
        <v>1.1668484848484848</v>
      </c>
      <c r="Q994" s="2">
        <f t="shared" si="93"/>
        <v>8.3708695652173919</v>
      </c>
      <c r="R994" s="2">
        <f t="shared" si="94"/>
        <v>38.506</v>
      </c>
      <c r="S994" s="2">
        <f t="shared" si="95"/>
        <v>7.2819820287747365</v>
      </c>
    </row>
    <row r="995" spans="1:19" hidden="1">
      <c r="A995" t="s">
        <v>1048</v>
      </c>
      <c r="B995" t="s">
        <v>30</v>
      </c>
      <c r="C995">
        <v>188</v>
      </c>
      <c r="D995">
        <v>4081</v>
      </c>
      <c r="E995" s="2">
        <v>237.05</v>
      </c>
      <c r="F995">
        <v>18</v>
      </c>
      <c r="G995">
        <v>8</v>
      </c>
      <c r="H995">
        <v>0.05</v>
      </c>
      <c r="I995" s="3">
        <v>1846</v>
      </c>
      <c r="J995" s="1">
        <v>45454</v>
      </c>
      <c r="K995" t="s">
        <v>31</v>
      </c>
      <c r="L995" t="s">
        <v>9</v>
      </c>
      <c r="M995" t="s">
        <v>35</v>
      </c>
      <c r="N995" s="1">
        <f t="shared" si="90"/>
        <v>45454</v>
      </c>
      <c r="O995" s="4">
        <f t="shared" si="91"/>
        <v>4.6067140406763046E-2</v>
      </c>
      <c r="P995">
        <f t="shared" si="92"/>
        <v>1.260904255319149</v>
      </c>
      <c r="Q995" s="2">
        <f t="shared" si="93"/>
        <v>13.169444444444444</v>
      </c>
      <c r="R995" s="2">
        <f t="shared" si="94"/>
        <v>29.631250000000001</v>
      </c>
      <c r="S995" s="2">
        <f t="shared" si="95"/>
        <v>7.7873866272938193</v>
      </c>
    </row>
    <row r="996" spans="1:19">
      <c r="A996" t="s">
        <v>1049</v>
      </c>
      <c r="B996" t="s">
        <v>30</v>
      </c>
      <c r="C996">
        <v>87</v>
      </c>
      <c r="D996">
        <v>4840</v>
      </c>
      <c r="E996" s="2">
        <v>205.72</v>
      </c>
      <c r="F996">
        <v>16</v>
      </c>
      <c r="G996">
        <v>6</v>
      </c>
      <c r="H996">
        <v>4.5999999999999999E-2</v>
      </c>
      <c r="I996" s="3">
        <v>1040</v>
      </c>
      <c r="J996" s="1">
        <v>45546</v>
      </c>
      <c r="K996" t="s">
        <v>31</v>
      </c>
      <c r="L996" t="s">
        <v>7</v>
      </c>
      <c r="M996" t="s">
        <v>41</v>
      </c>
      <c r="N996" s="1">
        <f t="shared" si="90"/>
        <v>45546</v>
      </c>
      <c r="O996" s="4">
        <f t="shared" si="91"/>
        <v>1.7975206611570246E-2</v>
      </c>
      <c r="P996">
        <f t="shared" si="92"/>
        <v>2.3645977011494255</v>
      </c>
      <c r="Q996" s="2">
        <f t="shared" si="93"/>
        <v>12.8575</v>
      </c>
      <c r="R996" s="2">
        <f t="shared" si="94"/>
        <v>34.286666666666669</v>
      </c>
      <c r="S996" s="2">
        <f t="shared" si="95"/>
        <v>5.0554151273575734</v>
      </c>
    </row>
    <row r="997" spans="1:19" hidden="1">
      <c r="A997" t="s">
        <v>1050</v>
      </c>
      <c r="B997" t="s">
        <v>30</v>
      </c>
      <c r="C997">
        <v>106</v>
      </c>
      <c r="D997">
        <v>4738</v>
      </c>
      <c r="E997" s="2">
        <v>196.7</v>
      </c>
      <c r="F997">
        <v>17</v>
      </c>
      <c r="G997">
        <v>4</v>
      </c>
      <c r="H997">
        <v>3.7999999999999999E-2</v>
      </c>
      <c r="I997" s="3">
        <v>1515</v>
      </c>
      <c r="J997" s="1">
        <v>45625</v>
      </c>
      <c r="K997" t="s">
        <v>31</v>
      </c>
      <c r="L997" t="s">
        <v>9</v>
      </c>
      <c r="M997" t="s">
        <v>39</v>
      </c>
      <c r="N997" s="1">
        <f t="shared" si="90"/>
        <v>45625</v>
      </c>
      <c r="O997" s="4">
        <f t="shared" si="91"/>
        <v>2.2372308991135501E-2</v>
      </c>
      <c r="P997">
        <f t="shared" si="92"/>
        <v>1.8556603773584905</v>
      </c>
      <c r="Q997" s="2">
        <f t="shared" si="93"/>
        <v>11.570588235294117</v>
      </c>
      <c r="R997" s="2">
        <f t="shared" si="94"/>
        <v>49.174999999999997</v>
      </c>
      <c r="S997" s="2">
        <f t="shared" si="95"/>
        <v>7.702084392475852</v>
      </c>
    </row>
    <row r="998" spans="1:19" hidden="1">
      <c r="A998" t="s">
        <v>1051</v>
      </c>
      <c r="B998" t="s">
        <v>30</v>
      </c>
      <c r="C998">
        <v>198</v>
      </c>
      <c r="D998">
        <v>4181</v>
      </c>
      <c r="E998" s="2">
        <v>218.4</v>
      </c>
      <c r="F998">
        <v>10</v>
      </c>
      <c r="G998">
        <v>8</v>
      </c>
      <c r="H998">
        <v>0.04</v>
      </c>
      <c r="I998" s="3">
        <v>1298</v>
      </c>
      <c r="J998" s="1">
        <v>45613</v>
      </c>
      <c r="K998" t="s">
        <v>31</v>
      </c>
      <c r="L998" t="s">
        <v>8</v>
      </c>
      <c r="M998" t="s">
        <v>39</v>
      </c>
      <c r="N998" s="1">
        <f t="shared" si="90"/>
        <v>45613</v>
      </c>
      <c r="O998" s="4">
        <f t="shared" si="91"/>
        <v>4.7357091604879213E-2</v>
      </c>
      <c r="P998">
        <f t="shared" si="92"/>
        <v>1.103030303030303</v>
      </c>
      <c r="Q998" s="2">
        <f t="shared" si="93"/>
        <v>21.84</v>
      </c>
      <c r="R998" s="2">
        <f t="shared" si="94"/>
        <v>27.3</v>
      </c>
      <c r="S998" s="2">
        <f t="shared" si="95"/>
        <v>5.9432234432234434</v>
      </c>
    </row>
    <row r="999" spans="1:19" hidden="1">
      <c r="A999" t="s">
        <v>1052</v>
      </c>
      <c r="B999" t="s">
        <v>30</v>
      </c>
      <c r="C999">
        <v>121</v>
      </c>
      <c r="D999">
        <v>5813</v>
      </c>
      <c r="E999" s="2">
        <v>202.92</v>
      </c>
      <c r="F999">
        <v>25</v>
      </c>
      <c r="G999">
        <v>6</v>
      </c>
      <c r="H999">
        <v>0.05</v>
      </c>
      <c r="I999" s="3">
        <v>1226</v>
      </c>
      <c r="J999" s="1" t="s">
        <v>50</v>
      </c>
      <c r="K999" t="s">
        <v>31</v>
      </c>
      <c r="L999" t="s">
        <v>9</v>
      </c>
      <c r="M999" t="s">
        <v>37</v>
      </c>
      <c r="N999" s="1">
        <f t="shared" si="90"/>
        <v>45610</v>
      </c>
      <c r="O999" s="4">
        <f t="shared" si="91"/>
        <v>2.0815413727851367E-2</v>
      </c>
      <c r="P999">
        <f t="shared" si="92"/>
        <v>1.6770247933884297</v>
      </c>
      <c r="Q999" s="2">
        <f t="shared" si="93"/>
        <v>8.1167999999999996</v>
      </c>
      <c r="R999" s="2">
        <f t="shared" si="94"/>
        <v>33.82</v>
      </c>
      <c r="S999" s="2">
        <f t="shared" si="95"/>
        <v>6.041789867928248</v>
      </c>
    </row>
    <row r="1000" spans="1:19" hidden="1">
      <c r="A1000" t="s">
        <v>1053</v>
      </c>
      <c r="B1000" t="s">
        <v>30</v>
      </c>
      <c r="C1000">
        <v>120</v>
      </c>
      <c r="D1000">
        <v>4303</v>
      </c>
      <c r="E1000" s="2">
        <v>202.8</v>
      </c>
      <c r="F1000">
        <v>21</v>
      </c>
      <c r="G1000">
        <v>4</v>
      </c>
      <c r="H1000">
        <v>3.3000000000000002E-2</v>
      </c>
      <c r="I1000" s="3">
        <v>1033</v>
      </c>
      <c r="J1000" s="1">
        <v>45622</v>
      </c>
      <c r="K1000" t="s">
        <v>31</v>
      </c>
      <c r="L1000" t="s">
        <v>9</v>
      </c>
      <c r="M1000" t="s">
        <v>41</v>
      </c>
      <c r="N1000" s="1">
        <f t="shared" si="90"/>
        <v>45622</v>
      </c>
      <c r="O1000" s="4">
        <f t="shared" si="91"/>
        <v>2.7887520334650244E-2</v>
      </c>
      <c r="P1000">
        <f t="shared" si="92"/>
        <v>1.6900000000000002</v>
      </c>
      <c r="Q1000" s="2">
        <f t="shared" si="93"/>
        <v>9.6571428571428584</v>
      </c>
      <c r="R1000" s="2">
        <f t="shared" si="94"/>
        <v>50.7</v>
      </c>
      <c r="S1000" s="2">
        <f t="shared" si="95"/>
        <v>5.0936883629191323</v>
      </c>
    </row>
    <row r="1001" spans="1:19" hidden="1">
      <c r="A1001" t="s">
        <v>1054</v>
      </c>
      <c r="B1001" t="s">
        <v>30</v>
      </c>
      <c r="C1001">
        <v>189</v>
      </c>
      <c r="D1001">
        <v>5201</v>
      </c>
      <c r="E1001" s="2">
        <v>210.87</v>
      </c>
      <c r="F1001">
        <v>21</v>
      </c>
      <c r="G1001">
        <v>10</v>
      </c>
      <c r="H1001">
        <v>5.2999999999999999E-2</v>
      </c>
      <c r="I1001" s="3">
        <v>1560</v>
      </c>
      <c r="J1001" s="1">
        <v>45607</v>
      </c>
      <c r="K1001" t="s">
        <v>31</v>
      </c>
      <c r="L1001" t="s">
        <v>8</v>
      </c>
      <c r="M1001" t="s">
        <v>35</v>
      </c>
      <c r="N1001" s="1">
        <f t="shared" si="90"/>
        <v>45607</v>
      </c>
      <c r="O1001" s="4">
        <f t="shared" si="91"/>
        <v>3.6339165545087482E-2</v>
      </c>
      <c r="P1001">
        <f t="shared" si="92"/>
        <v>1.1157142857142857</v>
      </c>
      <c r="Q1001" s="2">
        <f t="shared" si="93"/>
        <v>10.041428571428572</v>
      </c>
      <c r="R1001" s="2">
        <f t="shared" si="94"/>
        <v>21.087</v>
      </c>
      <c r="S1001" s="2">
        <f t="shared" si="95"/>
        <v>7.3979228908806371</v>
      </c>
    </row>
    <row r="1002" spans="1:19">
      <c r="A1002" t="s">
        <v>1055</v>
      </c>
      <c r="B1002" t="s">
        <v>30</v>
      </c>
      <c r="C1002">
        <v>131</v>
      </c>
      <c r="D1002">
        <v>4603</v>
      </c>
      <c r="E1002" s="2">
        <v>228.63</v>
      </c>
      <c r="F1002">
        <v>30</v>
      </c>
      <c r="G1002">
        <v>7</v>
      </c>
      <c r="H1002">
        <v>4.5999999999999999E-2</v>
      </c>
      <c r="I1002" s="3">
        <v>1270</v>
      </c>
      <c r="J1002" s="1">
        <v>45599</v>
      </c>
      <c r="K1002" t="s">
        <v>31</v>
      </c>
      <c r="L1002" t="s">
        <v>9</v>
      </c>
      <c r="M1002" t="s">
        <v>46</v>
      </c>
      <c r="N1002" s="1">
        <f t="shared" si="90"/>
        <v>45599</v>
      </c>
      <c r="O1002" s="4">
        <f t="shared" si="91"/>
        <v>2.8459700195524656E-2</v>
      </c>
      <c r="P1002">
        <f t="shared" si="92"/>
        <v>1.7452671755725191</v>
      </c>
      <c r="Q1002" s="2">
        <f t="shared" si="93"/>
        <v>7.6209999999999996</v>
      </c>
      <c r="R1002" s="2">
        <f t="shared" si="94"/>
        <v>32.661428571428573</v>
      </c>
      <c r="S1002" s="2">
        <f t="shared" si="95"/>
        <v>5.5548265756899795</v>
      </c>
    </row>
    <row r="1003" spans="1:19" hidden="1">
      <c r="A1003" t="s">
        <v>1056</v>
      </c>
      <c r="B1003" t="s">
        <v>30</v>
      </c>
      <c r="C1003">
        <v>99</v>
      </c>
      <c r="D1003">
        <v>4051</v>
      </c>
      <c r="E1003" s="2">
        <v>207.42</v>
      </c>
      <c r="F1003">
        <v>10</v>
      </c>
      <c r="G1003">
        <v>9</v>
      </c>
      <c r="H1003">
        <v>9.0999999999999998E-2</v>
      </c>
      <c r="I1003" s="3">
        <v>1797</v>
      </c>
      <c r="J1003" s="1" t="s">
        <v>50</v>
      </c>
      <c r="K1003" t="s">
        <v>31</v>
      </c>
      <c r="L1003" t="s">
        <v>8</v>
      </c>
      <c r="M1003" t="s">
        <v>46</v>
      </c>
      <c r="N1003" s="1">
        <f t="shared" si="90"/>
        <v>45610</v>
      </c>
      <c r="O1003" s="4">
        <f t="shared" si="91"/>
        <v>2.4438410269069365E-2</v>
      </c>
      <c r="P1003">
        <f t="shared" si="92"/>
        <v>2.0951515151515152</v>
      </c>
      <c r="Q1003" s="2">
        <f t="shared" si="93"/>
        <v>20.741999999999997</v>
      </c>
      <c r="R1003" s="2">
        <f t="shared" si="94"/>
        <v>23.046666666666667</v>
      </c>
      <c r="S1003" s="2">
        <f t="shared" si="95"/>
        <v>8.6635811397165181</v>
      </c>
    </row>
    <row r="1004" spans="1:19" hidden="1">
      <c r="A1004" t="s">
        <v>1057</v>
      </c>
      <c r="B1004" t="s">
        <v>30</v>
      </c>
      <c r="C1004">
        <v>199</v>
      </c>
      <c r="D1004">
        <v>4080</v>
      </c>
      <c r="E1004" s="2">
        <v>243.8</v>
      </c>
      <c r="F1004">
        <v>23</v>
      </c>
      <c r="G1004">
        <v>7</v>
      </c>
      <c r="H1004">
        <v>0.05</v>
      </c>
      <c r="I1004" s="3">
        <v>1507</v>
      </c>
      <c r="J1004" s="1" t="s">
        <v>89</v>
      </c>
      <c r="K1004" t="s">
        <v>31</v>
      </c>
      <c r="L1004" t="s">
        <v>7</v>
      </c>
      <c r="M1004" t="s">
        <v>39</v>
      </c>
      <c r="N1004" s="1">
        <f t="shared" si="90"/>
        <v>45611</v>
      </c>
      <c r="O1004" s="4">
        <f t="shared" si="91"/>
        <v>4.8774509803921569E-2</v>
      </c>
      <c r="P1004">
        <f t="shared" si="92"/>
        <v>1.2251256281407035</v>
      </c>
      <c r="Q1004" s="2">
        <f t="shared" si="93"/>
        <v>10.6</v>
      </c>
      <c r="R1004" s="2">
        <f t="shared" si="94"/>
        <v>34.828571428571429</v>
      </c>
      <c r="S1004" s="2">
        <f t="shared" si="95"/>
        <v>6.1812961443806396</v>
      </c>
    </row>
    <row r="1005" spans="1:19" hidden="1">
      <c r="A1005" t="s">
        <v>1058</v>
      </c>
      <c r="B1005" t="s">
        <v>30</v>
      </c>
      <c r="C1005">
        <v>180</v>
      </c>
      <c r="D1005">
        <v>4140</v>
      </c>
      <c r="E1005" s="2">
        <v>240.76</v>
      </c>
      <c r="F1005">
        <v>21</v>
      </c>
      <c r="G1005">
        <v>8</v>
      </c>
      <c r="H1005">
        <v>4.3999999999999997E-2</v>
      </c>
      <c r="I1005" s="3">
        <v>1248</v>
      </c>
      <c r="J1005" s="1">
        <v>45607</v>
      </c>
      <c r="K1005" t="s">
        <v>31</v>
      </c>
      <c r="L1005" t="s">
        <v>7</v>
      </c>
      <c r="M1005" t="s">
        <v>41</v>
      </c>
      <c r="N1005" s="1">
        <f t="shared" si="90"/>
        <v>45607</v>
      </c>
      <c r="O1005" s="4">
        <f t="shared" si="91"/>
        <v>4.3478260869565216E-2</v>
      </c>
      <c r="P1005">
        <f t="shared" si="92"/>
        <v>1.3375555555555556</v>
      </c>
      <c r="Q1005" s="2">
        <f t="shared" si="93"/>
        <v>11.464761904761904</v>
      </c>
      <c r="R1005" s="2">
        <f t="shared" si="94"/>
        <v>30.094999999999999</v>
      </c>
      <c r="S1005" s="2">
        <f t="shared" si="95"/>
        <v>5.1835853131749463</v>
      </c>
    </row>
    <row r="1006" spans="1:19" hidden="1">
      <c r="A1006" t="s">
        <v>1059</v>
      </c>
      <c r="B1006" t="s">
        <v>30</v>
      </c>
      <c r="C1006">
        <v>88</v>
      </c>
      <c r="D1006">
        <v>3333</v>
      </c>
      <c r="E1006" s="2">
        <v>193.25</v>
      </c>
      <c r="F1006">
        <v>29</v>
      </c>
      <c r="G1006">
        <v>3</v>
      </c>
      <c r="H1006">
        <v>3.4000000000000002E-2</v>
      </c>
      <c r="I1006" s="3">
        <v>1398</v>
      </c>
      <c r="J1006" s="1">
        <v>45610</v>
      </c>
      <c r="K1006" t="s">
        <v>31</v>
      </c>
      <c r="L1006" t="s">
        <v>9</v>
      </c>
      <c r="M1006" t="s">
        <v>37</v>
      </c>
      <c r="N1006" s="1">
        <f t="shared" si="90"/>
        <v>45610</v>
      </c>
      <c r="O1006" s="4">
        <f t="shared" si="91"/>
        <v>2.6402640264026403E-2</v>
      </c>
      <c r="P1006">
        <f t="shared" si="92"/>
        <v>2.1960227272727271</v>
      </c>
      <c r="Q1006" s="2">
        <f t="shared" si="93"/>
        <v>6.6637931034482758</v>
      </c>
      <c r="R1006" s="2">
        <f t="shared" si="94"/>
        <v>64.416666666666671</v>
      </c>
      <c r="S1006" s="2">
        <f t="shared" si="95"/>
        <v>7.2341526520051742</v>
      </c>
    </row>
    <row r="1007" spans="1:19" hidden="1">
      <c r="A1007" t="s">
        <v>1060</v>
      </c>
      <c r="B1007" t="s">
        <v>30</v>
      </c>
      <c r="C1007">
        <v>140</v>
      </c>
      <c r="D1007">
        <v>3689</v>
      </c>
      <c r="E1007" s="2">
        <v>249.33</v>
      </c>
      <c r="F1007">
        <v>20</v>
      </c>
      <c r="G1007">
        <v>9</v>
      </c>
      <c r="H1007">
        <v>6.4000000000000001E-2</v>
      </c>
      <c r="I1007" s="3">
        <v>1329</v>
      </c>
      <c r="J1007" s="1">
        <v>45618</v>
      </c>
      <c r="K1007" t="s">
        <v>31</v>
      </c>
      <c r="L1007" t="s">
        <v>8</v>
      </c>
      <c r="M1007" t="s">
        <v>32</v>
      </c>
      <c r="N1007" s="1">
        <f t="shared" si="90"/>
        <v>45618</v>
      </c>
      <c r="O1007" s="4">
        <f t="shared" si="91"/>
        <v>3.7950664136622389E-2</v>
      </c>
      <c r="P1007">
        <f t="shared" si="92"/>
        <v>1.7809285714285714</v>
      </c>
      <c r="Q1007" s="2">
        <f t="shared" si="93"/>
        <v>12.4665</v>
      </c>
      <c r="R1007" s="2">
        <f t="shared" si="94"/>
        <v>27.703333333333333</v>
      </c>
      <c r="S1007" s="2">
        <f t="shared" si="95"/>
        <v>5.3302851642401636</v>
      </c>
    </row>
    <row r="1008" spans="1:19" hidden="1">
      <c r="A1008" t="s">
        <v>1061</v>
      </c>
      <c r="B1008" t="s">
        <v>30</v>
      </c>
      <c r="C1008">
        <v>166</v>
      </c>
      <c r="D1008">
        <v>4665</v>
      </c>
      <c r="E1008" s="2">
        <v>223.95</v>
      </c>
      <c r="F1008">
        <v>23</v>
      </c>
      <c r="G1008">
        <v>9</v>
      </c>
      <c r="H1008">
        <v>5.3999999999999999E-2</v>
      </c>
      <c r="I1008" s="3">
        <v>1404</v>
      </c>
      <c r="J1008" s="1">
        <v>45603</v>
      </c>
      <c r="K1008" t="s">
        <v>31</v>
      </c>
      <c r="L1008" t="s">
        <v>9</v>
      </c>
      <c r="M1008" t="s">
        <v>37</v>
      </c>
      <c r="N1008" s="1">
        <f t="shared" si="90"/>
        <v>45603</v>
      </c>
      <c r="O1008" s="4">
        <f t="shared" si="91"/>
        <v>3.5584137191854236E-2</v>
      </c>
      <c r="P1008">
        <f t="shared" si="92"/>
        <v>1.3490963855421687</v>
      </c>
      <c r="Q1008" s="2">
        <f t="shared" si="93"/>
        <v>9.7369565217391294</v>
      </c>
      <c r="R1008" s="2">
        <f t="shared" si="94"/>
        <v>24.883333333333333</v>
      </c>
      <c r="S1008" s="2">
        <f t="shared" si="95"/>
        <v>6.2692565304755528</v>
      </c>
    </row>
    <row r="1009" spans="1:19" hidden="1">
      <c r="A1009" t="s">
        <v>1062</v>
      </c>
      <c r="B1009" t="s">
        <v>30</v>
      </c>
      <c r="C1009">
        <v>185</v>
      </c>
      <c r="D1009">
        <v>3670</v>
      </c>
      <c r="E1009" s="2">
        <v>198.66</v>
      </c>
      <c r="F1009">
        <v>30</v>
      </c>
      <c r="G1009">
        <v>4</v>
      </c>
      <c r="H1009">
        <v>5.7000000000000002E-2</v>
      </c>
      <c r="I1009" s="3">
        <v>1440</v>
      </c>
      <c r="J1009" s="1" t="s">
        <v>217</v>
      </c>
      <c r="K1009" t="s">
        <v>31</v>
      </c>
      <c r="L1009" t="s">
        <v>7</v>
      </c>
      <c r="M1009" t="s">
        <v>39</v>
      </c>
      <c r="N1009" s="1">
        <f t="shared" si="90"/>
        <v>45609</v>
      </c>
      <c r="O1009" s="4">
        <f t="shared" si="91"/>
        <v>5.0408719346049048E-2</v>
      </c>
      <c r="P1009">
        <f t="shared" si="92"/>
        <v>1.0738378378378379</v>
      </c>
      <c r="Q1009" s="2">
        <f t="shared" si="93"/>
        <v>6.6219999999999999</v>
      </c>
      <c r="R1009" s="2">
        <f t="shared" si="94"/>
        <v>49.664999999999999</v>
      </c>
      <c r="S1009" s="2">
        <f t="shared" si="95"/>
        <v>7.2485653881002721</v>
      </c>
    </row>
    <row r="1010" spans="1:19" hidden="1">
      <c r="A1010" t="s">
        <v>1063</v>
      </c>
      <c r="B1010" t="s">
        <v>30</v>
      </c>
      <c r="C1010">
        <v>139</v>
      </c>
      <c r="D1010">
        <v>4036</v>
      </c>
      <c r="E1010" s="2">
        <v>242.12</v>
      </c>
      <c r="F1010">
        <v>25</v>
      </c>
      <c r="G1010">
        <v>5</v>
      </c>
      <c r="H1010">
        <v>3.5999999999999997E-2</v>
      </c>
      <c r="I1010" s="3">
        <v>1329</v>
      </c>
      <c r="J1010" s="1">
        <v>45622</v>
      </c>
      <c r="K1010" t="s">
        <v>31</v>
      </c>
      <c r="L1010" t="s">
        <v>9</v>
      </c>
      <c r="M1010" t="s">
        <v>32</v>
      </c>
      <c r="N1010" s="1">
        <f t="shared" si="90"/>
        <v>45622</v>
      </c>
      <c r="O1010" s="4">
        <f t="shared" si="91"/>
        <v>3.4440039643211101E-2</v>
      </c>
      <c r="P1010">
        <f t="shared" si="92"/>
        <v>1.7418705035971223</v>
      </c>
      <c r="Q1010" s="2">
        <f t="shared" si="93"/>
        <v>9.684800000000001</v>
      </c>
      <c r="R1010" s="2">
        <f t="shared" si="94"/>
        <v>48.423999999999999</v>
      </c>
      <c r="S1010" s="2">
        <f t="shared" si="95"/>
        <v>5.4890137122088216</v>
      </c>
    </row>
    <row r="1011" spans="1:19">
      <c r="A1011" t="s">
        <v>1064</v>
      </c>
      <c r="B1011" t="s">
        <v>30</v>
      </c>
      <c r="C1011">
        <v>142</v>
      </c>
      <c r="D1011">
        <v>4497</v>
      </c>
      <c r="E1011" s="2">
        <v>198.98</v>
      </c>
      <c r="F1011">
        <v>27</v>
      </c>
      <c r="G1011">
        <v>3</v>
      </c>
      <c r="H1011">
        <v>4.5999999999999999E-2</v>
      </c>
      <c r="I1011" s="3">
        <v>1582</v>
      </c>
      <c r="J1011" s="1">
        <v>45626</v>
      </c>
      <c r="K1011" t="s">
        <v>31</v>
      </c>
      <c r="L1011" t="s">
        <v>9</v>
      </c>
      <c r="M1011" t="s">
        <v>46</v>
      </c>
      <c r="N1011" s="1">
        <f t="shared" si="90"/>
        <v>45626</v>
      </c>
      <c r="O1011" s="4">
        <f t="shared" si="91"/>
        <v>3.1576606626639983E-2</v>
      </c>
      <c r="P1011">
        <f t="shared" si="92"/>
        <v>1.4012676056338027</v>
      </c>
      <c r="Q1011" s="2">
        <f t="shared" si="93"/>
        <v>7.3696296296296291</v>
      </c>
      <c r="R1011" s="2">
        <f t="shared" si="94"/>
        <v>66.326666666666668</v>
      </c>
      <c r="S1011" s="2">
        <f t="shared" si="95"/>
        <v>7.9505477937481155</v>
      </c>
    </row>
    <row r="1012" spans="1:19" hidden="1">
      <c r="A1012" t="s">
        <v>1065</v>
      </c>
      <c r="B1012" t="s">
        <v>30</v>
      </c>
      <c r="C1012">
        <v>173</v>
      </c>
      <c r="D1012">
        <v>3705</v>
      </c>
      <c r="E1012" s="2">
        <v>197.01</v>
      </c>
      <c r="F1012">
        <v>20</v>
      </c>
      <c r="G1012">
        <v>10</v>
      </c>
      <c r="H1012">
        <v>5.8000000000000003E-2</v>
      </c>
      <c r="I1012" s="3">
        <v>1010</v>
      </c>
      <c r="J1012" s="1" t="s">
        <v>100</v>
      </c>
      <c r="K1012" t="s">
        <v>31</v>
      </c>
      <c r="L1012" t="s">
        <v>7</v>
      </c>
      <c r="M1012" t="s">
        <v>39</v>
      </c>
      <c r="N1012" s="1">
        <f t="shared" si="90"/>
        <v>45622</v>
      </c>
      <c r="O1012" s="4">
        <f t="shared" si="91"/>
        <v>4.6693657219973012E-2</v>
      </c>
      <c r="P1012">
        <f t="shared" si="92"/>
        <v>1.1387861271676301</v>
      </c>
      <c r="Q1012" s="2">
        <f t="shared" si="93"/>
        <v>9.8505000000000003</v>
      </c>
      <c r="R1012" s="2">
        <f t="shared" si="94"/>
        <v>19.701000000000001</v>
      </c>
      <c r="S1012" s="2">
        <f t="shared" si="95"/>
        <v>5.1266433175980914</v>
      </c>
    </row>
    <row r="1013" spans="1:19">
      <c r="A1013" t="s">
        <v>1066</v>
      </c>
      <c r="B1013" t="s">
        <v>30</v>
      </c>
      <c r="C1013">
        <v>139</v>
      </c>
      <c r="D1013">
        <v>5849</v>
      </c>
      <c r="E1013" s="2">
        <v>215.57</v>
      </c>
      <c r="F1013">
        <v>27</v>
      </c>
      <c r="G1013">
        <v>3</v>
      </c>
      <c r="H1013">
        <v>4.5999999999999999E-2</v>
      </c>
      <c r="I1013" s="3">
        <v>1146</v>
      </c>
      <c r="J1013" s="1">
        <v>45621</v>
      </c>
      <c r="K1013" t="s">
        <v>31</v>
      </c>
      <c r="L1013" t="s">
        <v>9</v>
      </c>
      <c r="M1013" t="s">
        <v>32</v>
      </c>
      <c r="N1013" s="1">
        <f t="shared" si="90"/>
        <v>45621</v>
      </c>
      <c r="O1013" s="4">
        <f t="shared" si="91"/>
        <v>2.3764746110446232E-2</v>
      </c>
      <c r="P1013">
        <f t="shared" si="92"/>
        <v>1.5508633093525179</v>
      </c>
      <c r="Q1013" s="2">
        <f t="shared" si="93"/>
        <v>7.9840740740740737</v>
      </c>
      <c r="R1013" s="2">
        <f t="shared" si="94"/>
        <v>71.856666666666669</v>
      </c>
      <c r="S1013" s="2">
        <f t="shared" si="95"/>
        <v>5.3161386092684513</v>
      </c>
    </row>
    <row r="1014" spans="1:19" hidden="1">
      <c r="A1014" t="s">
        <v>1067</v>
      </c>
      <c r="B1014" t="s">
        <v>30</v>
      </c>
      <c r="C1014">
        <v>153</v>
      </c>
      <c r="D1014">
        <v>5283</v>
      </c>
      <c r="E1014" s="2">
        <v>205.72</v>
      </c>
      <c r="F1014">
        <v>24</v>
      </c>
      <c r="G1014">
        <v>3</v>
      </c>
      <c r="H1014">
        <v>0.02</v>
      </c>
      <c r="I1014" s="3">
        <v>1591</v>
      </c>
      <c r="J1014" s="1">
        <v>45576</v>
      </c>
      <c r="K1014" t="s">
        <v>31</v>
      </c>
      <c r="L1014" t="s">
        <v>7</v>
      </c>
      <c r="M1014" t="s">
        <v>32</v>
      </c>
      <c r="N1014" s="1">
        <f t="shared" si="90"/>
        <v>45576</v>
      </c>
      <c r="O1014" s="4">
        <f t="shared" si="91"/>
        <v>2.8960817717206135E-2</v>
      </c>
      <c r="P1014">
        <f t="shared" si="92"/>
        <v>1.3445751633986929</v>
      </c>
      <c r="Q1014" s="2">
        <f t="shared" si="93"/>
        <v>8.5716666666666672</v>
      </c>
      <c r="R1014" s="2">
        <f t="shared" si="94"/>
        <v>68.573333333333338</v>
      </c>
      <c r="S1014" s="2">
        <f t="shared" si="95"/>
        <v>7.7338129496402876</v>
      </c>
    </row>
    <row r="1015" spans="1:19" hidden="1">
      <c r="A1015" t="s">
        <v>1068</v>
      </c>
      <c r="B1015" t="s">
        <v>30</v>
      </c>
      <c r="C1015">
        <v>104</v>
      </c>
      <c r="D1015">
        <v>5203</v>
      </c>
      <c r="E1015" s="2">
        <v>241.15</v>
      </c>
      <c r="F1015">
        <v>17</v>
      </c>
      <c r="G1015">
        <v>6</v>
      </c>
      <c r="H1015">
        <v>4.8000000000000001E-2</v>
      </c>
      <c r="I1015" s="3">
        <v>1164</v>
      </c>
      <c r="J1015" s="1" t="s">
        <v>357</v>
      </c>
      <c r="K1015" t="s">
        <v>31</v>
      </c>
      <c r="L1015" t="s">
        <v>8</v>
      </c>
      <c r="M1015" t="s">
        <v>37</v>
      </c>
      <c r="N1015" s="1">
        <f t="shared" si="90"/>
        <v>45624</v>
      </c>
      <c r="O1015" s="4">
        <f t="shared" si="91"/>
        <v>1.9988468191428022E-2</v>
      </c>
      <c r="P1015">
        <f t="shared" si="92"/>
        <v>2.3187500000000001</v>
      </c>
      <c r="Q1015" s="2">
        <f t="shared" si="93"/>
        <v>14.185294117647059</v>
      </c>
      <c r="R1015" s="2">
        <f t="shared" si="94"/>
        <v>40.19166666666667</v>
      </c>
      <c r="S1015" s="2">
        <f t="shared" si="95"/>
        <v>4.8268712419655815</v>
      </c>
    </row>
    <row r="1016" spans="1:19" hidden="1">
      <c r="A1016" t="s">
        <v>1069</v>
      </c>
      <c r="B1016" t="s">
        <v>30</v>
      </c>
      <c r="C1016">
        <v>120</v>
      </c>
      <c r="D1016">
        <v>4243</v>
      </c>
      <c r="E1016" s="2">
        <v>198.49</v>
      </c>
      <c r="F1016">
        <v>15</v>
      </c>
      <c r="G1016">
        <v>10</v>
      </c>
      <c r="H1016">
        <v>8.3000000000000004E-2</v>
      </c>
      <c r="I1016" s="3">
        <v>1891</v>
      </c>
      <c r="J1016" s="1" t="s">
        <v>115</v>
      </c>
      <c r="K1016" t="s">
        <v>31</v>
      </c>
      <c r="L1016" t="s">
        <v>7</v>
      </c>
      <c r="M1016" t="s">
        <v>39</v>
      </c>
      <c r="N1016" s="1">
        <f t="shared" si="90"/>
        <v>45623</v>
      </c>
      <c r="O1016" s="4">
        <f t="shared" si="91"/>
        <v>2.8281876031110063E-2</v>
      </c>
      <c r="P1016">
        <f t="shared" si="92"/>
        <v>1.6540833333333333</v>
      </c>
      <c r="Q1016" s="2">
        <f t="shared" si="93"/>
        <v>13.232666666666667</v>
      </c>
      <c r="R1016" s="2">
        <f t="shared" si="94"/>
        <v>19.849</v>
      </c>
      <c r="S1016" s="2">
        <f t="shared" si="95"/>
        <v>9.526928308730918</v>
      </c>
    </row>
    <row r="1017" spans="1:19">
      <c r="A1017" t="s">
        <v>1070</v>
      </c>
      <c r="B1017" t="s">
        <v>30</v>
      </c>
      <c r="C1017">
        <v>100</v>
      </c>
      <c r="D1017">
        <v>3716</v>
      </c>
      <c r="E1017" s="2">
        <v>247.95</v>
      </c>
      <c r="F1017">
        <v>23</v>
      </c>
      <c r="G1017">
        <v>8</v>
      </c>
      <c r="H1017">
        <v>4.5999999999999999E-2</v>
      </c>
      <c r="I1017" s="3">
        <v>1924</v>
      </c>
      <c r="J1017" s="1">
        <v>45610</v>
      </c>
      <c r="K1017" t="s">
        <v>31</v>
      </c>
      <c r="L1017" t="s">
        <v>8</v>
      </c>
      <c r="M1017" t="s">
        <v>32</v>
      </c>
      <c r="N1017" s="1">
        <f t="shared" si="90"/>
        <v>45610</v>
      </c>
      <c r="O1017" s="4">
        <f t="shared" si="91"/>
        <v>2.6910656620021529E-2</v>
      </c>
      <c r="P1017">
        <f t="shared" si="92"/>
        <v>2.4794999999999998</v>
      </c>
      <c r="Q1017" s="2">
        <f t="shared" si="93"/>
        <v>10.780434782608696</v>
      </c>
      <c r="R1017" s="2">
        <f t="shared" si="94"/>
        <v>30.993749999999999</v>
      </c>
      <c r="S1017" s="2">
        <f t="shared" si="95"/>
        <v>7.759628957451099</v>
      </c>
    </row>
    <row r="1018" spans="1:19" hidden="1">
      <c r="A1018" t="s">
        <v>1071</v>
      </c>
      <c r="B1018" t="s">
        <v>30</v>
      </c>
      <c r="C1018">
        <v>106</v>
      </c>
      <c r="D1018">
        <v>3646</v>
      </c>
      <c r="E1018" s="2">
        <v>237.89</v>
      </c>
      <c r="F1018">
        <v>28</v>
      </c>
      <c r="G1018">
        <v>7</v>
      </c>
      <c r="H1018">
        <v>4.5999999999999999E-2</v>
      </c>
      <c r="I1018" s="3">
        <v>1564</v>
      </c>
      <c r="J1018" s="1">
        <v>45598</v>
      </c>
      <c r="K1018" t="s">
        <v>31</v>
      </c>
      <c r="L1018" t="s">
        <v>8</v>
      </c>
      <c r="M1018" t="s">
        <v>46</v>
      </c>
      <c r="N1018" s="1">
        <f t="shared" si="90"/>
        <v>45598</v>
      </c>
      <c r="O1018" s="4">
        <f t="shared" si="91"/>
        <v>2.9072956664838178E-2</v>
      </c>
      <c r="P1018">
        <f t="shared" si="92"/>
        <v>2.2442452830188677</v>
      </c>
      <c r="Q1018" s="2">
        <f t="shared" si="93"/>
        <v>8.4960714285714278</v>
      </c>
      <c r="R1018" s="2">
        <f t="shared" si="94"/>
        <v>33.984285714285711</v>
      </c>
      <c r="S1018" s="2">
        <f t="shared" si="95"/>
        <v>6.5744671907183996</v>
      </c>
    </row>
    <row r="1019" spans="1:19" hidden="1">
      <c r="A1019" t="s">
        <v>1072</v>
      </c>
      <c r="B1019" t="s">
        <v>30</v>
      </c>
      <c r="C1019">
        <v>136</v>
      </c>
      <c r="D1019">
        <v>4101</v>
      </c>
      <c r="E1019" s="2">
        <v>227.43</v>
      </c>
      <c r="F1019">
        <v>28</v>
      </c>
      <c r="G1019">
        <v>9</v>
      </c>
      <c r="H1019">
        <v>5.7000000000000002E-2</v>
      </c>
      <c r="I1019" s="3">
        <v>1284</v>
      </c>
      <c r="J1019" s="1" t="s">
        <v>348</v>
      </c>
      <c r="K1019" t="s">
        <v>31</v>
      </c>
      <c r="L1019" t="s">
        <v>9</v>
      </c>
      <c r="M1019" t="s">
        <v>32</v>
      </c>
      <c r="N1019" s="1">
        <f t="shared" si="90"/>
        <v>45615</v>
      </c>
      <c r="O1019" s="4">
        <f t="shared" si="91"/>
        <v>3.3162643257742014E-2</v>
      </c>
      <c r="P1019">
        <f t="shared" si="92"/>
        <v>1.672279411764706</v>
      </c>
      <c r="Q1019" s="2">
        <f t="shared" si="93"/>
        <v>8.1225000000000005</v>
      </c>
      <c r="R1019" s="2">
        <f t="shared" si="94"/>
        <v>25.27</v>
      </c>
      <c r="S1019" s="2">
        <f t="shared" si="95"/>
        <v>5.6456931803192187</v>
      </c>
    </row>
    <row r="1020" spans="1:19">
      <c r="A1020" t="s">
        <v>1073</v>
      </c>
      <c r="B1020" t="s">
        <v>30</v>
      </c>
      <c r="C1020">
        <v>121</v>
      </c>
      <c r="D1020">
        <v>3366</v>
      </c>
      <c r="E1020" s="2">
        <v>246.56</v>
      </c>
      <c r="F1020">
        <v>25</v>
      </c>
      <c r="G1020">
        <v>7</v>
      </c>
      <c r="H1020">
        <v>4.5999999999999999E-2</v>
      </c>
      <c r="I1020" s="3">
        <v>1170</v>
      </c>
      <c r="J1020" s="1">
        <v>45598</v>
      </c>
      <c r="K1020" t="s">
        <v>31</v>
      </c>
      <c r="L1020" t="s">
        <v>7</v>
      </c>
      <c r="M1020" t="s">
        <v>41</v>
      </c>
      <c r="N1020" s="1">
        <f t="shared" si="90"/>
        <v>45598</v>
      </c>
      <c r="O1020" s="4">
        <f t="shared" si="91"/>
        <v>3.5947712418300651E-2</v>
      </c>
      <c r="P1020">
        <f t="shared" si="92"/>
        <v>2.037685950413223</v>
      </c>
      <c r="Q1020" s="2">
        <f t="shared" si="93"/>
        <v>9.8624000000000009</v>
      </c>
      <c r="R1020" s="2">
        <f t="shared" si="94"/>
        <v>35.222857142857144</v>
      </c>
      <c r="S1020" s="2">
        <f t="shared" si="95"/>
        <v>4.7452952628163532</v>
      </c>
    </row>
    <row r="1021" spans="1:19" hidden="1">
      <c r="A1021" t="s">
        <v>1074</v>
      </c>
      <c r="B1021" t="s">
        <v>30</v>
      </c>
      <c r="C1021">
        <v>153</v>
      </c>
      <c r="D1021">
        <v>3381</v>
      </c>
      <c r="E1021" s="2">
        <v>231.35</v>
      </c>
      <c r="F1021">
        <v>29</v>
      </c>
      <c r="G1021">
        <v>5</v>
      </c>
      <c r="H1021">
        <v>3.3000000000000002E-2</v>
      </c>
      <c r="I1021" s="3">
        <v>1769</v>
      </c>
      <c r="J1021" s="1">
        <v>45624</v>
      </c>
      <c r="K1021" t="s">
        <v>31</v>
      </c>
      <c r="L1021" t="s">
        <v>9</v>
      </c>
      <c r="M1021" t="s">
        <v>35</v>
      </c>
      <c r="N1021" s="1">
        <f t="shared" si="90"/>
        <v>45624</v>
      </c>
      <c r="O1021" s="4">
        <f t="shared" si="91"/>
        <v>4.5252883762200533E-2</v>
      </c>
      <c r="P1021">
        <f t="shared" si="92"/>
        <v>1.5120915032679738</v>
      </c>
      <c r="Q1021" s="2">
        <f t="shared" si="93"/>
        <v>7.977586206896552</v>
      </c>
      <c r="R1021" s="2">
        <f t="shared" si="94"/>
        <v>46.269999999999996</v>
      </c>
      <c r="S1021" s="2">
        <f t="shared" si="95"/>
        <v>7.6464231683596289</v>
      </c>
    </row>
    <row r="1022" spans="1:19">
      <c r="A1022" t="s">
        <v>1075</v>
      </c>
      <c r="B1022" t="s">
        <v>30</v>
      </c>
      <c r="C1022">
        <v>111</v>
      </c>
      <c r="D1022">
        <v>5003</v>
      </c>
      <c r="E1022" s="2">
        <v>213.34</v>
      </c>
      <c r="F1022">
        <v>29</v>
      </c>
      <c r="G1022">
        <v>3</v>
      </c>
      <c r="H1022">
        <v>4.5999999999999999E-2</v>
      </c>
      <c r="I1022" s="3">
        <v>1938</v>
      </c>
      <c r="J1022" s="1">
        <v>45621</v>
      </c>
      <c r="K1022" t="s">
        <v>31</v>
      </c>
      <c r="L1022" t="s">
        <v>9</v>
      </c>
      <c r="M1022" t="s">
        <v>46</v>
      </c>
      <c r="N1022" s="1">
        <f t="shared" si="90"/>
        <v>45621</v>
      </c>
      <c r="O1022" s="4">
        <f t="shared" si="91"/>
        <v>2.2186687987207677E-2</v>
      </c>
      <c r="P1022">
        <f t="shared" si="92"/>
        <v>1.9219819819819821</v>
      </c>
      <c r="Q1022" s="2">
        <f t="shared" si="93"/>
        <v>7.3565517241379315</v>
      </c>
      <c r="R1022" s="2">
        <f t="shared" si="94"/>
        <v>71.11333333333333</v>
      </c>
      <c r="S1022" s="2">
        <f t="shared" si="95"/>
        <v>9.084091122152433</v>
      </c>
    </row>
    <row r="1023" spans="1:19" hidden="1">
      <c r="A1023" t="s">
        <v>1076</v>
      </c>
      <c r="B1023" t="s">
        <v>30</v>
      </c>
      <c r="C1023">
        <v>156</v>
      </c>
      <c r="D1023">
        <v>5415</v>
      </c>
      <c r="E1023" s="2">
        <v>198.27</v>
      </c>
      <c r="F1023">
        <v>29</v>
      </c>
      <c r="G1023">
        <v>7</v>
      </c>
      <c r="H1023">
        <v>3.6999999999999998E-2</v>
      </c>
      <c r="I1023" s="3">
        <v>1918</v>
      </c>
      <c r="J1023" s="1" t="s">
        <v>132</v>
      </c>
      <c r="K1023" t="s">
        <v>31</v>
      </c>
      <c r="L1023" t="s">
        <v>7</v>
      </c>
      <c r="M1023" t="s">
        <v>39</v>
      </c>
      <c r="N1023" s="1">
        <f t="shared" si="90"/>
        <v>45613</v>
      </c>
      <c r="O1023" s="4">
        <f t="shared" si="91"/>
        <v>2.8808864265927978E-2</v>
      </c>
      <c r="P1023">
        <f t="shared" si="92"/>
        <v>1.2709615384615385</v>
      </c>
      <c r="Q1023" s="2">
        <f t="shared" si="93"/>
        <v>6.8368965517241387</v>
      </c>
      <c r="R1023" s="2">
        <f t="shared" si="94"/>
        <v>28.324285714285715</v>
      </c>
      <c r="S1023" s="2">
        <f t="shared" si="95"/>
        <v>9.673677308720432</v>
      </c>
    </row>
    <row r="1024" spans="1:19" hidden="1">
      <c r="A1024" t="s">
        <v>1077</v>
      </c>
      <c r="B1024" t="s">
        <v>30</v>
      </c>
      <c r="C1024">
        <v>137</v>
      </c>
      <c r="D1024">
        <v>3838</v>
      </c>
      <c r="E1024" s="2">
        <v>226.92</v>
      </c>
      <c r="F1024">
        <v>18</v>
      </c>
      <c r="G1024">
        <v>6</v>
      </c>
      <c r="H1024">
        <v>4.3999999999999997E-2</v>
      </c>
      <c r="I1024" s="3">
        <v>1505</v>
      </c>
      <c r="J1024" s="1" t="s">
        <v>115</v>
      </c>
      <c r="K1024" t="s">
        <v>31</v>
      </c>
      <c r="L1024" t="s">
        <v>9</v>
      </c>
      <c r="M1024" t="s">
        <v>46</v>
      </c>
      <c r="N1024" s="1">
        <f t="shared" si="90"/>
        <v>45623</v>
      </c>
      <c r="O1024" s="4">
        <f t="shared" si="91"/>
        <v>3.5695674830640955E-2</v>
      </c>
      <c r="P1024">
        <f t="shared" si="92"/>
        <v>1.6563503649635036</v>
      </c>
      <c r="Q1024" s="2">
        <f t="shared" si="93"/>
        <v>12.606666666666666</v>
      </c>
      <c r="R1024" s="2">
        <f t="shared" si="94"/>
        <v>37.82</v>
      </c>
      <c r="S1024" s="2">
        <f t="shared" si="95"/>
        <v>6.6322933192314473</v>
      </c>
    </row>
    <row r="1025" spans="1:19" hidden="1">
      <c r="A1025" t="s">
        <v>1078</v>
      </c>
      <c r="B1025" t="s">
        <v>30</v>
      </c>
      <c r="C1025">
        <v>138</v>
      </c>
      <c r="D1025">
        <v>3002</v>
      </c>
      <c r="E1025" s="2">
        <v>246.3</v>
      </c>
      <c r="F1025">
        <v>24</v>
      </c>
      <c r="G1025">
        <v>7</v>
      </c>
      <c r="H1025">
        <v>3.5999999999999997E-2</v>
      </c>
      <c r="I1025" s="3">
        <v>1530</v>
      </c>
      <c r="J1025" s="1">
        <v>45597</v>
      </c>
      <c r="K1025" t="s">
        <v>31</v>
      </c>
      <c r="L1025" t="s">
        <v>9</v>
      </c>
      <c r="M1025" t="s">
        <v>32</v>
      </c>
      <c r="N1025" s="1">
        <f t="shared" si="90"/>
        <v>45597</v>
      </c>
      <c r="O1025" s="4">
        <f t="shared" si="91"/>
        <v>4.5969353764157228E-2</v>
      </c>
      <c r="P1025">
        <f t="shared" si="92"/>
        <v>1.7847826086956522</v>
      </c>
      <c r="Q1025" s="2">
        <f t="shared" si="93"/>
        <v>10.262500000000001</v>
      </c>
      <c r="R1025" s="2">
        <f t="shared" si="94"/>
        <v>35.18571428571429</v>
      </c>
      <c r="S1025" s="2">
        <f t="shared" si="95"/>
        <v>6.2119366626065773</v>
      </c>
    </row>
    <row r="1026" spans="1:19" hidden="1">
      <c r="A1026" t="s">
        <v>1079</v>
      </c>
      <c r="B1026" t="s">
        <v>30</v>
      </c>
      <c r="C1026">
        <v>96</v>
      </c>
      <c r="D1026">
        <v>3958</v>
      </c>
      <c r="E1026" s="2">
        <v>238.06</v>
      </c>
      <c r="F1026">
        <v>17</v>
      </c>
      <c r="G1026">
        <v>4</v>
      </c>
      <c r="H1026">
        <v>4.2000000000000003E-2</v>
      </c>
      <c r="I1026" s="3">
        <v>1750</v>
      </c>
      <c r="J1026" s="1">
        <v>45603</v>
      </c>
      <c r="K1026" t="s">
        <v>31</v>
      </c>
      <c r="L1026" t="s">
        <v>8</v>
      </c>
      <c r="M1026" t="s">
        <v>41</v>
      </c>
      <c r="N1026" s="1">
        <f t="shared" ref="N1026:N1089" si="96">IF(A1026="","",IF(ISNUMBER(J1026),J1026,IF(MID(J1026,5,1)="-",DATE(LEFT(J1026,4),MID(J1026,6,2),RIGHT(J1026,2)),IF(MID(J1026,5,1)="/",DATE(LEFT(J1026,4),MID(J1026,6,2),RIGHT(J1026,2)),DATE(RIGHT(J1026,4),MID(J1026,4,2),LEFT(J1026,2))))))</f>
        <v>45603</v>
      </c>
      <c r="O1026" s="4">
        <f t="shared" ref="O1026:O1089" si="97">IFERROR(C1026/D1026,0)</f>
        <v>2.425467407781708E-2</v>
      </c>
      <c r="P1026">
        <f t="shared" ref="P1026:P1089" si="98">IFERROR(E1026/C1026,0)</f>
        <v>2.4797916666666668</v>
      </c>
      <c r="Q1026" s="2">
        <f t="shared" ref="Q1026:Q1089" si="99">IFERROR(E1026/F1026,0)</f>
        <v>14.003529411764706</v>
      </c>
      <c r="R1026" s="2">
        <f t="shared" ref="R1026:R1089" si="100">IFERROR(E1026/G1026,0)</f>
        <v>59.515000000000001</v>
      </c>
      <c r="S1026" s="2">
        <f t="shared" ref="S1026:S1089" si="101">IFERROR(I1026/E1026,0)</f>
        <v>7.3510879610182309</v>
      </c>
    </row>
    <row r="1027" spans="1:19" hidden="1">
      <c r="A1027" t="s">
        <v>1080</v>
      </c>
      <c r="B1027" t="s">
        <v>30</v>
      </c>
      <c r="C1027">
        <v>180</v>
      </c>
      <c r="D1027">
        <v>3060</v>
      </c>
      <c r="E1027" s="2">
        <v>194.47</v>
      </c>
      <c r="F1027">
        <v>21</v>
      </c>
      <c r="G1027">
        <v>5</v>
      </c>
      <c r="H1027">
        <v>5.3999999999999999E-2</v>
      </c>
      <c r="I1027" s="3">
        <v>1429</v>
      </c>
      <c r="J1027" s="1">
        <v>45606</v>
      </c>
      <c r="K1027" t="s">
        <v>31</v>
      </c>
      <c r="L1027" t="s">
        <v>9</v>
      </c>
      <c r="M1027" t="s">
        <v>41</v>
      </c>
      <c r="N1027" s="1">
        <f t="shared" si="96"/>
        <v>45606</v>
      </c>
      <c r="O1027" s="4">
        <f t="shared" si="97"/>
        <v>5.8823529411764705E-2</v>
      </c>
      <c r="P1027">
        <f t="shared" si="98"/>
        <v>1.0803888888888888</v>
      </c>
      <c r="Q1027" s="2">
        <f t="shared" si="99"/>
        <v>9.2604761904761901</v>
      </c>
      <c r="R1027" s="2">
        <f t="shared" si="100"/>
        <v>38.893999999999998</v>
      </c>
      <c r="S1027" s="2">
        <f t="shared" si="101"/>
        <v>7.3481770967244309</v>
      </c>
    </row>
    <row r="1028" spans="1:19" hidden="1">
      <c r="A1028" t="s">
        <v>1081</v>
      </c>
      <c r="B1028" t="s">
        <v>30</v>
      </c>
      <c r="C1028">
        <v>132</v>
      </c>
      <c r="D1028">
        <v>5514</v>
      </c>
      <c r="E1028" s="2">
        <v>208.57</v>
      </c>
      <c r="F1028">
        <v>16</v>
      </c>
      <c r="G1028">
        <v>7</v>
      </c>
      <c r="H1028">
        <v>5.2999999999999999E-2</v>
      </c>
      <c r="I1028" s="3">
        <v>1072</v>
      </c>
      <c r="J1028" s="1">
        <v>45622</v>
      </c>
      <c r="K1028" t="s">
        <v>31</v>
      </c>
      <c r="L1028" t="s">
        <v>8</v>
      </c>
      <c r="M1028" t="s">
        <v>41</v>
      </c>
      <c r="N1028" s="1">
        <f t="shared" si="96"/>
        <v>45622</v>
      </c>
      <c r="O1028" s="4">
        <f t="shared" si="97"/>
        <v>2.3939064200217627E-2</v>
      </c>
      <c r="P1028">
        <f t="shared" si="98"/>
        <v>1.5800757575757576</v>
      </c>
      <c r="Q1028" s="2">
        <f t="shared" si="99"/>
        <v>13.035625</v>
      </c>
      <c r="R1028" s="2">
        <f t="shared" si="100"/>
        <v>29.795714285714286</v>
      </c>
      <c r="S1028" s="2">
        <f t="shared" si="101"/>
        <v>5.1397612312413097</v>
      </c>
    </row>
    <row r="1029" spans="1:19" hidden="1">
      <c r="A1029" t="s">
        <v>1082</v>
      </c>
      <c r="B1029" t="s">
        <v>30</v>
      </c>
      <c r="C1029">
        <v>147</v>
      </c>
      <c r="D1029">
        <v>5373</v>
      </c>
      <c r="E1029" s="2">
        <v>233.68</v>
      </c>
      <c r="F1029">
        <v>20</v>
      </c>
      <c r="G1029">
        <v>7</v>
      </c>
      <c r="H1029">
        <v>4.8000000000000001E-2</v>
      </c>
      <c r="I1029" s="3">
        <v>1685</v>
      </c>
      <c r="J1029" s="1">
        <v>45597</v>
      </c>
      <c r="K1029" t="s">
        <v>31</v>
      </c>
      <c r="L1029" t="s">
        <v>7</v>
      </c>
      <c r="M1029" t="s">
        <v>35</v>
      </c>
      <c r="N1029" s="1">
        <f t="shared" si="96"/>
        <v>45597</v>
      </c>
      <c r="O1029" s="4">
        <f t="shared" si="97"/>
        <v>2.7359017308766054E-2</v>
      </c>
      <c r="P1029">
        <f t="shared" si="98"/>
        <v>1.5896598639455783</v>
      </c>
      <c r="Q1029" s="2">
        <f t="shared" si="99"/>
        <v>11.684000000000001</v>
      </c>
      <c r="R1029" s="2">
        <f t="shared" si="100"/>
        <v>33.382857142857141</v>
      </c>
      <c r="S1029" s="2">
        <f t="shared" si="101"/>
        <v>7.2107155083875387</v>
      </c>
    </row>
    <row r="1030" spans="1:19" hidden="1">
      <c r="A1030" t="s">
        <v>1083</v>
      </c>
      <c r="B1030" t="s">
        <v>30</v>
      </c>
      <c r="C1030">
        <v>84</v>
      </c>
      <c r="D1030">
        <v>4720</v>
      </c>
      <c r="E1030" s="2">
        <v>213.68</v>
      </c>
      <c r="F1030">
        <v>20</v>
      </c>
      <c r="G1030">
        <v>5</v>
      </c>
      <c r="H1030">
        <v>0.06</v>
      </c>
      <c r="I1030" s="3">
        <v>1412</v>
      </c>
      <c r="J1030" s="1">
        <v>45617</v>
      </c>
      <c r="K1030" t="s">
        <v>31</v>
      </c>
      <c r="L1030" t="s">
        <v>9</v>
      </c>
      <c r="M1030" t="s">
        <v>35</v>
      </c>
      <c r="N1030" s="1">
        <f t="shared" si="96"/>
        <v>45617</v>
      </c>
      <c r="O1030" s="4">
        <f t="shared" si="97"/>
        <v>1.7796610169491526E-2</v>
      </c>
      <c r="P1030">
        <f t="shared" si="98"/>
        <v>2.5438095238095237</v>
      </c>
      <c r="Q1030" s="2">
        <f t="shared" si="99"/>
        <v>10.684000000000001</v>
      </c>
      <c r="R1030" s="2">
        <f t="shared" si="100"/>
        <v>42.736000000000004</v>
      </c>
      <c r="S1030" s="2">
        <f t="shared" si="101"/>
        <v>6.6080119805316357</v>
      </c>
    </row>
    <row r="1031" spans="1:19" hidden="1">
      <c r="A1031" t="s">
        <v>1084</v>
      </c>
      <c r="B1031" t="s">
        <v>30</v>
      </c>
      <c r="C1031">
        <v>82</v>
      </c>
      <c r="D1031">
        <v>4330</v>
      </c>
      <c r="E1031" s="2">
        <v>228.68</v>
      </c>
      <c r="F1031">
        <v>18</v>
      </c>
      <c r="G1031">
        <v>8</v>
      </c>
      <c r="H1031">
        <v>9.8000000000000004E-2</v>
      </c>
      <c r="I1031" s="3">
        <v>1510</v>
      </c>
      <c r="J1031" s="1">
        <v>45600</v>
      </c>
      <c r="K1031" t="s">
        <v>31</v>
      </c>
      <c r="L1031" t="s">
        <v>7</v>
      </c>
      <c r="M1031" t="s">
        <v>46</v>
      </c>
      <c r="N1031" s="1">
        <f t="shared" si="96"/>
        <v>45600</v>
      </c>
      <c r="O1031" s="4">
        <f t="shared" si="97"/>
        <v>1.8937644341801386E-2</v>
      </c>
      <c r="P1031">
        <f t="shared" si="98"/>
        <v>2.7887804878048783</v>
      </c>
      <c r="Q1031" s="2">
        <f t="shared" si="99"/>
        <v>12.704444444444444</v>
      </c>
      <c r="R1031" s="2">
        <f t="shared" si="100"/>
        <v>28.585000000000001</v>
      </c>
      <c r="S1031" s="2">
        <f t="shared" si="101"/>
        <v>6.6031135210774883</v>
      </c>
    </row>
    <row r="1032" spans="1:19">
      <c r="A1032" t="s">
        <v>1085</v>
      </c>
      <c r="B1032" t="s">
        <v>30</v>
      </c>
      <c r="C1032">
        <v>173</v>
      </c>
      <c r="D1032">
        <v>4365</v>
      </c>
      <c r="E1032" s="2">
        <v>215.57</v>
      </c>
      <c r="F1032">
        <v>28</v>
      </c>
      <c r="G1032">
        <v>9</v>
      </c>
      <c r="H1032">
        <v>4.5999999999999999E-2</v>
      </c>
      <c r="I1032" s="3">
        <v>1311</v>
      </c>
      <c r="J1032" s="1">
        <v>45454</v>
      </c>
      <c r="K1032" t="s">
        <v>31</v>
      </c>
      <c r="L1032" t="s">
        <v>7</v>
      </c>
      <c r="M1032" t="s">
        <v>37</v>
      </c>
      <c r="N1032" s="1">
        <f t="shared" si="96"/>
        <v>45454</v>
      </c>
      <c r="O1032" s="4">
        <f t="shared" si="97"/>
        <v>3.9633447880870559E-2</v>
      </c>
      <c r="P1032">
        <f t="shared" si="98"/>
        <v>1.2460693641618497</v>
      </c>
      <c r="Q1032" s="2">
        <f t="shared" si="99"/>
        <v>7.6989285714285716</v>
      </c>
      <c r="R1032" s="2">
        <f t="shared" si="100"/>
        <v>23.952222222222222</v>
      </c>
      <c r="S1032" s="2">
        <f t="shared" si="101"/>
        <v>6.081551236257364</v>
      </c>
    </row>
    <row r="1033" spans="1:19" hidden="1">
      <c r="A1033" t="s">
        <v>1086</v>
      </c>
      <c r="B1033" t="s">
        <v>30</v>
      </c>
      <c r="C1033">
        <v>89</v>
      </c>
      <c r="D1033">
        <v>5899</v>
      </c>
      <c r="E1033" s="2">
        <v>226.95</v>
      </c>
      <c r="F1033">
        <v>13</v>
      </c>
      <c r="G1033">
        <v>7</v>
      </c>
      <c r="H1033">
        <v>7.9000000000000001E-2</v>
      </c>
      <c r="I1033" s="3">
        <v>1058</v>
      </c>
      <c r="J1033" s="1">
        <v>45606</v>
      </c>
      <c r="K1033" t="s">
        <v>31</v>
      </c>
      <c r="L1033" t="s">
        <v>8</v>
      </c>
      <c r="M1033" t="s">
        <v>39</v>
      </c>
      <c r="N1033" s="1">
        <f t="shared" si="96"/>
        <v>45606</v>
      </c>
      <c r="O1033" s="4">
        <f t="shared" si="97"/>
        <v>1.5087302932700457E-2</v>
      </c>
      <c r="P1033">
        <f t="shared" si="98"/>
        <v>2.5499999999999998</v>
      </c>
      <c r="Q1033" s="2">
        <f t="shared" si="99"/>
        <v>17.457692307692305</v>
      </c>
      <c r="R1033" s="2">
        <f t="shared" si="100"/>
        <v>32.421428571428571</v>
      </c>
      <c r="S1033" s="2">
        <f t="shared" si="101"/>
        <v>4.6618197840934128</v>
      </c>
    </row>
    <row r="1034" spans="1:19" hidden="1">
      <c r="A1034" t="s">
        <v>1087</v>
      </c>
      <c r="B1034" t="s">
        <v>30</v>
      </c>
      <c r="C1034">
        <v>198</v>
      </c>
      <c r="D1034">
        <v>3500</v>
      </c>
      <c r="E1034" s="2">
        <v>206.88</v>
      </c>
      <c r="F1034">
        <v>19</v>
      </c>
      <c r="G1034">
        <v>6</v>
      </c>
      <c r="H1034">
        <v>0.03</v>
      </c>
      <c r="I1034" s="3">
        <v>1684</v>
      </c>
      <c r="J1034" s="1">
        <v>45607</v>
      </c>
      <c r="K1034" t="s">
        <v>31</v>
      </c>
      <c r="L1034" t="s">
        <v>8</v>
      </c>
      <c r="M1034" t="s">
        <v>46</v>
      </c>
      <c r="N1034" s="1">
        <f t="shared" si="96"/>
        <v>45607</v>
      </c>
      <c r="O1034" s="4">
        <f t="shared" si="97"/>
        <v>5.6571428571428571E-2</v>
      </c>
      <c r="P1034">
        <f t="shared" si="98"/>
        <v>1.0448484848484849</v>
      </c>
      <c r="Q1034" s="2">
        <f t="shared" si="99"/>
        <v>10.888421052631578</v>
      </c>
      <c r="R1034" s="2">
        <f t="shared" si="100"/>
        <v>34.479999999999997</v>
      </c>
      <c r="S1034" s="2">
        <f t="shared" si="101"/>
        <v>8.1399845320959017</v>
      </c>
    </row>
    <row r="1035" spans="1:19" hidden="1">
      <c r="A1035" t="s">
        <v>1088</v>
      </c>
      <c r="B1035" t="s">
        <v>30</v>
      </c>
      <c r="C1035">
        <v>135</v>
      </c>
      <c r="D1035">
        <v>4155</v>
      </c>
      <c r="E1035" s="2">
        <v>207.81</v>
      </c>
      <c r="F1035">
        <v>25</v>
      </c>
      <c r="G1035">
        <v>9</v>
      </c>
      <c r="H1035">
        <v>4.9000000000000002E-2</v>
      </c>
      <c r="I1035" s="3">
        <v>1313</v>
      </c>
      <c r="J1035" s="1">
        <v>45362</v>
      </c>
      <c r="K1035" t="s">
        <v>31</v>
      </c>
      <c r="L1035" t="s">
        <v>7</v>
      </c>
      <c r="M1035" t="s">
        <v>41</v>
      </c>
      <c r="N1035" s="1">
        <f t="shared" si="96"/>
        <v>45362</v>
      </c>
      <c r="O1035" s="4">
        <f t="shared" si="97"/>
        <v>3.2490974729241874E-2</v>
      </c>
      <c r="P1035">
        <f t="shared" si="98"/>
        <v>1.5393333333333334</v>
      </c>
      <c r="Q1035" s="2">
        <f t="shared" si="99"/>
        <v>8.3124000000000002</v>
      </c>
      <c r="R1035" s="2">
        <f t="shared" si="100"/>
        <v>23.09</v>
      </c>
      <c r="S1035" s="2">
        <f t="shared" si="101"/>
        <v>6.318271498002983</v>
      </c>
    </row>
    <row r="1036" spans="1:19" hidden="1">
      <c r="A1036" t="s">
        <v>1089</v>
      </c>
      <c r="B1036" t="s">
        <v>30</v>
      </c>
      <c r="C1036">
        <v>94</v>
      </c>
      <c r="D1036">
        <v>5437</v>
      </c>
      <c r="E1036" s="2">
        <v>190.49</v>
      </c>
      <c r="F1036">
        <v>16</v>
      </c>
      <c r="G1036">
        <v>6</v>
      </c>
      <c r="H1036">
        <v>4.3999999999999997E-2</v>
      </c>
      <c r="I1036" s="3">
        <v>1234</v>
      </c>
      <c r="J1036" s="1">
        <v>45612</v>
      </c>
      <c r="K1036" t="s">
        <v>31</v>
      </c>
      <c r="L1036" t="s">
        <v>9</v>
      </c>
      <c r="M1036" t="s">
        <v>39</v>
      </c>
      <c r="N1036" s="1">
        <f t="shared" si="96"/>
        <v>45612</v>
      </c>
      <c r="O1036" s="4">
        <f t="shared" si="97"/>
        <v>1.7288946109987127E-2</v>
      </c>
      <c r="P1036">
        <f t="shared" si="98"/>
        <v>2.0264893617021276</v>
      </c>
      <c r="Q1036" s="2">
        <f t="shared" si="99"/>
        <v>11.905625000000001</v>
      </c>
      <c r="R1036" s="2">
        <f t="shared" si="100"/>
        <v>31.748333333333335</v>
      </c>
      <c r="S1036" s="2">
        <f t="shared" si="101"/>
        <v>6.4780303428001469</v>
      </c>
    </row>
    <row r="1037" spans="1:19" hidden="1">
      <c r="A1037" t="s">
        <v>1090</v>
      </c>
      <c r="B1037" t="s">
        <v>30</v>
      </c>
      <c r="C1037">
        <v>151</v>
      </c>
      <c r="D1037">
        <v>3251</v>
      </c>
      <c r="E1037" s="2">
        <v>224.8</v>
      </c>
      <c r="F1037">
        <v>13</v>
      </c>
      <c r="G1037">
        <v>6</v>
      </c>
      <c r="H1037">
        <v>0.04</v>
      </c>
      <c r="I1037" s="3">
        <v>1505</v>
      </c>
      <c r="J1037" s="1">
        <v>45617</v>
      </c>
      <c r="K1037" t="s">
        <v>31</v>
      </c>
      <c r="L1037" t="s">
        <v>7</v>
      </c>
      <c r="M1037" t="s">
        <v>32</v>
      </c>
      <c r="N1037" s="1">
        <f t="shared" si="96"/>
        <v>45617</v>
      </c>
      <c r="O1037" s="4">
        <f t="shared" si="97"/>
        <v>4.6447247000922794E-2</v>
      </c>
      <c r="P1037">
        <f t="shared" si="98"/>
        <v>1.4887417218543046</v>
      </c>
      <c r="Q1037" s="2">
        <f t="shared" si="99"/>
        <v>17.292307692307695</v>
      </c>
      <c r="R1037" s="2">
        <f t="shared" si="100"/>
        <v>37.466666666666669</v>
      </c>
      <c r="S1037" s="2">
        <f t="shared" si="101"/>
        <v>6.6948398576512451</v>
      </c>
    </row>
    <row r="1038" spans="1:19" hidden="1">
      <c r="A1038" t="s">
        <v>1091</v>
      </c>
      <c r="B1038" t="s">
        <v>30</v>
      </c>
      <c r="C1038">
        <v>113</v>
      </c>
      <c r="D1038">
        <v>5392</v>
      </c>
      <c r="E1038" s="2">
        <v>205.13</v>
      </c>
      <c r="F1038">
        <v>28</v>
      </c>
      <c r="G1038">
        <v>3</v>
      </c>
      <c r="H1038">
        <v>3.4000000000000002E-2</v>
      </c>
      <c r="I1038" s="3">
        <v>1208</v>
      </c>
      <c r="J1038" s="1" t="s">
        <v>132</v>
      </c>
      <c r="K1038" t="s">
        <v>31</v>
      </c>
      <c r="L1038" t="s">
        <v>8</v>
      </c>
      <c r="M1038" t="s">
        <v>41</v>
      </c>
      <c r="N1038" s="1">
        <f t="shared" si="96"/>
        <v>45613</v>
      </c>
      <c r="O1038" s="4">
        <f t="shared" si="97"/>
        <v>2.0956973293768544E-2</v>
      </c>
      <c r="P1038">
        <f t="shared" si="98"/>
        <v>1.8153097345132743</v>
      </c>
      <c r="Q1038" s="2">
        <f t="shared" si="99"/>
        <v>7.3260714285714288</v>
      </c>
      <c r="R1038" s="2">
        <f t="shared" si="100"/>
        <v>68.376666666666665</v>
      </c>
      <c r="S1038" s="2">
        <f t="shared" si="101"/>
        <v>5.8889484717008731</v>
      </c>
    </row>
    <row r="1039" spans="1:19" hidden="1">
      <c r="A1039" t="s">
        <v>1092</v>
      </c>
      <c r="B1039" t="s">
        <v>30</v>
      </c>
      <c r="C1039">
        <v>164</v>
      </c>
      <c r="D1039">
        <v>5403</v>
      </c>
      <c r="E1039" s="2">
        <v>213</v>
      </c>
      <c r="F1039">
        <v>11</v>
      </c>
      <c r="G1039">
        <v>8</v>
      </c>
      <c r="H1039">
        <v>3.6999999999999998E-2</v>
      </c>
      <c r="I1039" s="3">
        <v>1505</v>
      </c>
      <c r="J1039" s="1">
        <v>45618</v>
      </c>
      <c r="K1039" t="s">
        <v>31</v>
      </c>
      <c r="L1039" t="s">
        <v>7</v>
      </c>
      <c r="M1039" t="s">
        <v>46</v>
      </c>
      <c r="N1039" s="1">
        <f t="shared" si="96"/>
        <v>45618</v>
      </c>
      <c r="O1039" s="4">
        <f t="shared" si="97"/>
        <v>3.0353507310753286E-2</v>
      </c>
      <c r="P1039">
        <f t="shared" si="98"/>
        <v>1.2987804878048781</v>
      </c>
      <c r="Q1039" s="2">
        <f t="shared" si="99"/>
        <v>19.363636363636363</v>
      </c>
      <c r="R1039" s="2">
        <f t="shared" si="100"/>
        <v>26.625</v>
      </c>
      <c r="S1039" s="2">
        <f t="shared" si="101"/>
        <v>7.065727699530516</v>
      </c>
    </row>
    <row r="1040" spans="1:19" hidden="1">
      <c r="A1040" t="s">
        <v>1093</v>
      </c>
      <c r="B1040" t="s">
        <v>30</v>
      </c>
      <c r="C1040">
        <v>135</v>
      </c>
      <c r="D1040">
        <v>5054</v>
      </c>
      <c r="E1040" s="2">
        <v>224.03</v>
      </c>
      <c r="F1040">
        <v>16</v>
      </c>
      <c r="G1040">
        <v>6</v>
      </c>
      <c r="H1040">
        <v>4.3999999999999997E-2</v>
      </c>
      <c r="I1040" s="3">
        <v>1765</v>
      </c>
      <c r="J1040" s="1">
        <v>45484</v>
      </c>
      <c r="K1040" t="s">
        <v>31</v>
      </c>
      <c r="L1040" t="s">
        <v>8</v>
      </c>
      <c r="M1040" t="s">
        <v>39</v>
      </c>
      <c r="N1040" s="1">
        <f t="shared" si="96"/>
        <v>45484</v>
      </c>
      <c r="O1040" s="4">
        <f t="shared" si="97"/>
        <v>2.6711515631183222E-2</v>
      </c>
      <c r="P1040">
        <f t="shared" si="98"/>
        <v>1.6594814814814816</v>
      </c>
      <c r="Q1040" s="2">
        <f t="shared" si="99"/>
        <v>14.001875</v>
      </c>
      <c r="R1040" s="2">
        <f t="shared" si="100"/>
        <v>37.338333333333331</v>
      </c>
      <c r="S1040" s="2">
        <f t="shared" si="101"/>
        <v>7.878409141632817</v>
      </c>
    </row>
    <row r="1041" spans="1:19" hidden="1">
      <c r="A1041" t="s">
        <v>1094</v>
      </c>
      <c r="B1041" t="s">
        <v>30</v>
      </c>
      <c r="C1041">
        <v>116</v>
      </c>
      <c r="D1041">
        <v>5757</v>
      </c>
      <c r="E1041" s="2">
        <v>218.69</v>
      </c>
      <c r="F1041">
        <v>10</v>
      </c>
      <c r="G1041">
        <v>7</v>
      </c>
      <c r="H1041">
        <v>4.4999999999999998E-2</v>
      </c>
      <c r="I1041" s="3">
        <v>1834</v>
      </c>
      <c r="J1041" s="1">
        <v>45619</v>
      </c>
      <c r="K1041" t="s">
        <v>31</v>
      </c>
      <c r="L1041" t="s">
        <v>8</v>
      </c>
      <c r="M1041" t="s">
        <v>41</v>
      </c>
      <c r="N1041" s="1">
        <f t="shared" si="96"/>
        <v>45619</v>
      </c>
      <c r="O1041" s="4">
        <f t="shared" si="97"/>
        <v>2.0149383359388571E-2</v>
      </c>
      <c r="P1041">
        <f t="shared" si="98"/>
        <v>1.8852586206896551</v>
      </c>
      <c r="Q1041" s="2">
        <f t="shared" si="99"/>
        <v>21.869</v>
      </c>
      <c r="R1041" s="2">
        <f t="shared" si="100"/>
        <v>31.241428571428571</v>
      </c>
      <c r="S1041" s="2">
        <f t="shared" si="101"/>
        <v>8.3863002423521884</v>
      </c>
    </row>
    <row r="1042" spans="1:19">
      <c r="A1042" t="s">
        <v>1095</v>
      </c>
      <c r="B1042" t="s">
        <v>30</v>
      </c>
      <c r="C1042">
        <v>139</v>
      </c>
      <c r="D1042">
        <v>4485</v>
      </c>
      <c r="E1042" s="2">
        <v>220.3</v>
      </c>
      <c r="F1042">
        <v>14</v>
      </c>
      <c r="G1042">
        <v>6</v>
      </c>
      <c r="H1042">
        <v>4.5999999999999999E-2</v>
      </c>
      <c r="I1042" s="3">
        <v>1801</v>
      </c>
      <c r="J1042" s="1">
        <v>45597</v>
      </c>
      <c r="K1042" t="s">
        <v>31</v>
      </c>
      <c r="L1042" t="s">
        <v>8</v>
      </c>
      <c r="M1042" t="s">
        <v>35</v>
      </c>
      <c r="N1042" s="1">
        <f t="shared" si="96"/>
        <v>45597</v>
      </c>
      <c r="O1042" s="4">
        <f t="shared" si="97"/>
        <v>3.0992196209587514E-2</v>
      </c>
      <c r="P1042">
        <f t="shared" si="98"/>
        <v>1.5848920863309353</v>
      </c>
      <c r="Q1042" s="2">
        <f t="shared" si="99"/>
        <v>15.735714285714286</v>
      </c>
      <c r="R1042" s="2">
        <f t="shared" si="100"/>
        <v>36.716666666666669</v>
      </c>
      <c r="S1042" s="2">
        <f t="shared" si="101"/>
        <v>8.1752156150703588</v>
      </c>
    </row>
    <row r="1043" spans="1:19" hidden="1">
      <c r="A1043" t="s">
        <v>1096</v>
      </c>
      <c r="B1043" t="s">
        <v>30</v>
      </c>
      <c r="C1043">
        <v>164</v>
      </c>
      <c r="D1043">
        <v>4053</v>
      </c>
      <c r="E1043" s="2">
        <v>245.26</v>
      </c>
      <c r="F1043">
        <v>28</v>
      </c>
      <c r="G1043">
        <v>7</v>
      </c>
      <c r="H1043">
        <v>4.2999999999999997E-2</v>
      </c>
      <c r="I1043" s="3">
        <v>1384</v>
      </c>
      <c r="J1043" s="1">
        <v>45597</v>
      </c>
      <c r="K1043" t="s">
        <v>31</v>
      </c>
      <c r="L1043" t="s">
        <v>9</v>
      </c>
      <c r="M1043" t="s">
        <v>32</v>
      </c>
      <c r="N1043" s="1">
        <f t="shared" si="96"/>
        <v>45597</v>
      </c>
      <c r="O1043" s="4">
        <f t="shared" si="97"/>
        <v>4.0463853935356529E-2</v>
      </c>
      <c r="P1043">
        <f t="shared" si="98"/>
        <v>1.4954878048780487</v>
      </c>
      <c r="Q1043" s="2">
        <f t="shared" si="99"/>
        <v>8.7592857142857135</v>
      </c>
      <c r="R1043" s="2">
        <f t="shared" si="100"/>
        <v>35.037142857142854</v>
      </c>
      <c r="S1043" s="2">
        <f t="shared" si="101"/>
        <v>5.6429911114735383</v>
      </c>
    </row>
    <row r="1044" spans="1:19" hidden="1">
      <c r="A1044" t="s">
        <v>1097</v>
      </c>
      <c r="B1044" t="s">
        <v>30</v>
      </c>
      <c r="C1044">
        <v>146</v>
      </c>
      <c r="D1044">
        <v>5733</v>
      </c>
      <c r="E1044" s="2">
        <v>225.48</v>
      </c>
      <c r="F1044">
        <v>26</v>
      </c>
      <c r="G1044">
        <v>3</v>
      </c>
      <c r="H1044">
        <v>3.5000000000000003E-2</v>
      </c>
      <c r="I1044" s="3">
        <v>1658</v>
      </c>
      <c r="J1044" s="1">
        <v>45606</v>
      </c>
      <c r="K1044" t="s">
        <v>31</v>
      </c>
      <c r="L1044" t="s">
        <v>7</v>
      </c>
      <c r="M1044" t="s">
        <v>41</v>
      </c>
      <c r="N1044" s="1">
        <f t="shared" si="96"/>
        <v>45606</v>
      </c>
      <c r="O1044" s="4">
        <f t="shared" si="97"/>
        <v>2.5466596895168322E-2</v>
      </c>
      <c r="P1044">
        <f t="shared" si="98"/>
        <v>1.5443835616438355</v>
      </c>
      <c r="Q1044" s="2">
        <f t="shared" si="99"/>
        <v>8.6723076923076921</v>
      </c>
      <c r="R1044" s="2">
        <f t="shared" si="100"/>
        <v>75.16</v>
      </c>
      <c r="S1044" s="2">
        <f t="shared" si="101"/>
        <v>7.3532020578321804</v>
      </c>
    </row>
    <row r="1045" spans="1:19" hidden="1">
      <c r="A1045" t="s">
        <v>1098</v>
      </c>
      <c r="B1045" t="s">
        <v>30</v>
      </c>
      <c r="C1045">
        <v>181</v>
      </c>
      <c r="D1045">
        <v>3225</v>
      </c>
      <c r="E1045" s="2">
        <v>190.25</v>
      </c>
      <c r="F1045">
        <v>22</v>
      </c>
      <c r="G1045">
        <v>5</v>
      </c>
      <c r="H1045">
        <v>2.8000000000000001E-2</v>
      </c>
      <c r="I1045" s="3">
        <v>1677</v>
      </c>
      <c r="J1045" s="1">
        <v>45576</v>
      </c>
      <c r="K1045" t="s">
        <v>31</v>
      </c>
      <c r="L1045" t="s">
        <v>8</v>
      </c>
      <c r="M1045" t="s">
        <v>32</v>
      </c>
      <c r="N1045" s="1">
        <f t="shared" si="96"/>
        <v>45576</v>
      </c>
      <c r="O1045" s="4">
        <f t="shared" si="97"/>
        <v>5.6124031007751936E-2</v>
      </c>
      <c r="P1045">
        <f t="shared" si="98"/>
        <v>1.0511049723756907</v>
      </c>
      <c r="Q1045" s="2">
        <f t="shared" si="99"/>
        <v>8.6477272727272734</v>
      </c>
      <c r="R1045" s="2">
        <f t="shared" si="100"/>
        <v>38.049999999999997</v>
      </c>
      <c r="S1045" s="2">
        <f t="shared" si="101"/>
        <v>8.814717477003942</v>
      </c>
    </row>
    <row r="1046" spans="1:19" hidden="1">
      <c r="A1046" t="s">
        <v>1099</v>
      </c>
      <c r="B1046" t="s">
        <v>30</v>
      </c>
      <c r="C1046">
        <v>156</v>
      </c>
      <c r="D1046">
        <v>4170</v>
      </c>
      <c r="E1046" s="2">
        <v>244.72</v>
      </c>
      <c r="F1046">
        <v>29</v>
      </c>
      <c r="G1046">
        <v>3</v>
      </c>
      <c r="H1046">
        <v>1.9E-2</v>
      </c>
      <c r="I1046" s="3">
        <v>1962</v>
      </c>
      <c r="J1046" s="1" t="s">
        <v>34</v>
      </c>
      <c r="K1046" t="s">
        <v>31</v>
      </c>
      <c r="L1046" t="s">
        <v>7</v>
      </c>
      <c r="M1046" t="s">
        <v>37</v>
      </c>
      <c r="N1046" s="1">
        <f t="shared" si="96"/>
        <v>45616</v>
      </c>
      <c r="O1046" s="4">
        <f t="shared" si="97"/>
        <v>3.7410071942446041E-2</v>
      </c>
      <c r="P1046">
        <f t="shared" si="98"/>
        <v>1.5687179487179488</v>
      </c>
      <c r="Q1046" s="2">
        <f t="shared" si="99"/>
        <v>8.4386206896551723</v>
      </c>
      <c r="R1046" s="2">
        <f t="shared" si="100"/>
        <v>81.573333333333338</v>
      </c>
      <c r="S1046" s="2">
        <f t="shared" si="101"/>
        <v>8.0173259235044139</v>
      </c>
    </row>
    <row r="1047" spans="1:19" hidden="1">
      <c r="A1047" t="s">
        <v>1100</v>
      </c>
      <c r="B1047" t="s">
        <v>30</v>
      </c>
      <c r="C1047">
        <v>182</v>
      </c>
      <c r="D1047">
        <v>4039</v>
      </c>
      <c r="E1047" s="2">
        <v>240.35</v>
      </c>
      <c r="F1047">
        <v>12</v>
      </c>
      <c r="G1047">
        <v>7</v>
      </c>
      <c r="H1047">
        <v>3.7999999999999999E-2</v>
      </c>
      <c r="I1047" s="3">
        <v>1214</v>
      </c>
      <c r="J1047" s="1">
        <v>45609</v>
      </c>
      <c r="K1047" t="s">
        <v>31</v>
      </c>
      <c r="L1047" t="s">
        <v>9</v>
      </c>
      <c r="M1047" t="s">
        <v>39</v>
      </c>
      <c r="N1047" s="1">
        <f t="shared" si="96"/>
        <v>45609</v>
      </c>
      <c r="O1047" s="4">
        <f t="shared" si="97"/>
        <v>4.5060658578856154E-2</v>
      </c>
      <c r="P1047">
        <f t="shared" si="98"/>
        <v>1.3206043956043956</v>
      </c>
      <c r="Q1047" s="2">
        <f t="shared" si="99"/>
        <v>20.029166666666665</v>
      </c>
      <c r="R1047" s="2">
        <f t="shared" si="100"/>
        <v>34.335714285714282</v>
      </c>
      <c r="S1047" s="2">
        <f t="shared" si="101"/>
        <v>5.050967339296859</v>
      </c>
    </row>
    <row r="1048" spans="1:19" hidden="1">
      <c r="A1048" t="s">
        <v>1101</v>
      </c>
      <c r="B1048" t="s">
        <v>30</v>
      </c>
      <c r="C1048">
        <v>137</v>
      </c>
      <c r="D1048">
        <v>3150</v>
      </c>
      <c r="E1048" s="2">
        <v>184.36</v>
      </c>
      <c r="F1048">
        <v>19</v>
      </c>
      <c r="G1048">
        <v>3</v>
      </c>
      <c r="H1048">
        <v>4.1000000000000002E-2</v>
      </c>
      <c r="I1048" s="3">
        <v>1218</v>
      </c>
      <c r="J1048" s="1" t="s">
        <v>86</v>
      </c>
      <c r="K1048" t="s">
        <v>31</v>
      </c>
      <c r="L1048" t="s">
        <v>9</v>
      </c>
      <c r="M1048" t="s">
        <v>37</v>
      </c>
      <c r="N1048" s="1">
        <f t="shared" si="96"/>
        <v>45625</v>
      </c>
      <c r="O1048" s="4">
        <f t="shared" si="97"/>
        <v>4.3492063492063492E-2</v>
      </c>
      <c r="P1048">
        <f t="shared" si="98"/>
        <v>1.3456934306569344</v>
      </c>
      <c r="Q1048" s="2">
        <f t="shared" si="99"/>
        <v>9.703157894736842</v>
      </c>
      <c r="R1048" s="2">
        <f t="shared" si="100"/>
        <v>61.45333333333334</v>
      </c>
      <c r="S1048" s="2">
        <f t="shared" si="101"/>
        <v>6.6066391842048162</v>
      </c>
    </row>
    <row r="1049" spans="1:19" hidden="1">
      <c r="A1049" t="s">
        <v>1102</v>
      </c>
      <c r="B1049" t="s">
        <v>30</v>
      </c>
      <c r="C1049">
        <v>93</v>
      </c>
      <c r="D1049">
        <v>4498</v>
      </c>
      <c r="E1049" s="2">
        <v>237.67</v>
      </c>
      <c r="F1049">
        <v>27</v>
      </c>
      <c r="G1049">
        <v>3</v>
      </c>
      <c r="H1049">
        <v>3.2000000000000001E-2</v>
      </c>
      <c r="I1049" s="3">
        <v>1102</v>
      </c>
      <c r="J1049" s="1">
        <v>45626</v>
      </c>
      <c r="K1049" t="s">
        <v>31</v>
      </c>
      <c r="L1049" t="s">
        <v>8</v>
      </c>
      <c r="M1049" t="s">
        <v>41</v>
      </c>
      <c r="N1049" s="1">
        <f t="shared" si="96"/>
        <v>45626</v>
      </c>
      <c r="O1049" s="4">
        <f t="shared" si="97"/>
        <v>2.0675855935971543E-2</v>
      </c>
      <c r="P1049">
        <f t="shared" si="98"/>
        <v>2.5555913978494624</v>
      </c>
      <c r="Q1049" s="2">
        <f t="shared" si="99"/>
        <v>8.8025925925925925</v>
      </c>
      <c r="R1049" s="2">
        <f t="shared" si="100"/>
        <v>79.223333333333329</v>
      </c>
      <c r="S1049" s="2">
        <f t="shared" si="101"/>
        <v>4.6366811124668663</v>
      </c>
    </row>
    <row r="1050" spans="1:19" hidden="1">
      <c r="A1050" t="s">
        <v>1103</v>
      </c>
      <c r="B1050" t="s">
        <v>30</v>
      </c>
      <c r="C1050">
        <v>136</v>
      </c>
      <c r="D1050">
        <v>4683</v>
      </c>
      <c r="E1050" s="2">
        <v>228.82</v>
      </c>
      <c r="F1050">
        <v>22</v>
      </c>
      <c r="G1050">
        <v>5</v>
      </c>
      <c r="H1050">
        <v>3.6999999999999998E-2</v>
      </c>
      <c r="I1050" s="3">
        <v>1493</v>
      </c>
      <c r="J1050" s="1" t="s">
        <v>348</v>
      </c>
      <c r="K1050" t="s">
        <v>31</v>
      </c>
      <c r="L1050" t="s">
        <v>7</v>
      </c>
      <c r="M1050" t="s">
        <v>32</v>
      </c>
      <c r="N1050" s="1">
        <f t="shared" si="96"/>
        <v>45615</v>
      </c>
      <c r="O1050" s="4">
        <f t="shared" si="97"/>
        <v>2.9041212897715139E-2</v>
      </c>
      <c r="P1050">
        <f t="shared" si="98"/>
        <v>1.6824999999999999</v>
      </c>
      <c r="Q1050" s="2">
        <f t="shared" si="99"/>
        <v>10.40090909090909</v>
      </c>
      <c r="R1050" s="2">
        <f t="shared" si="100"/>
        <v>45.763999999999996</v>
      </c>
      <c r="S1050" s="2">
        <f t="shared" si="101"/>
        <v>6.5247793025085219</v>
      </c>
    </row>
    <row r="1051" spans="1:19">
      <c r="A1051" t="s">
        <v>1104</v>
      </c>
      <c r="B1051" t="s">
        <v>30</v>
      </c>
      <c r="C1051">
        <v>194</v>
      </c>
      <c r="D1051">
        <v>5620</v>
      </c>
      <c r="E1051" s="2">
        <v>194.91</v>
      </c>
      <c r="F1051">
        <v>22</v>
      </c>
      <c r="G1051">
        <v>10</v>
      </c>
      <c r="H1051">
        <v>4.5999999999999999E-2</v>
      </c>
      <c r="I1051" s="3">
        <v>1607</v>
      </c>
      <c r="J1051" s="1">
        <v>45515</v>
      </c>
      <c r="K1051" t="s">
        <v>31</v>
      </c>
      <c r="L1051" t="s">
        <v>9</v>
      </c>
      <c r="M1051" t="s">
        <v>35</v>
      </c>
      <c r="N1051" s="1">
        <f t="shared" si="96"/>
        <v>45515</v>
      </c>
      <c r="O1051" s="4">
        <f t="shared" si="97"/>
        <v>3.4519572953736657E-2</v>
      </c>
      <c r="P1051">
        <f t="shared" si="98"/>
        <v>1.0046907216494845</v>
      </c>
      <c r="Q1051" s="2">
        <f t="shared" si="99"/>
        <v>8.8595454545454544</v>
      </c>
      <c r="R1051" s="2">
        <f t="shared" si="100"/>
        <v>19.491</v>
      </c>
      <c r="S1051" s="2">
        <f t="shared" si="101"/>
        <v>8.2448309476168493</v>
      </c>
    </row>
    <row r="1052" spans="1:19" hidden="1">
      <c r="A1052" t="s">
        <v>1105</v>
      </c>
      <c r="B1052" t="s">
        <v>30</v>
      </c>
      <c r="C1052">
        <v>139</v>
      </c>
      <c r="D1052">
        <v>4653</v>
      </c>
      <c r="E1052" s="2">
        <v>194.99</v>
      </c>
      <c r="F1052">
        <v>11</v>
      </c>
      <c r="G1052">
        <v>5</v>
      </c>
      <c r="H1052">
        <v>5.3999999999999999E-2</v>
      </c>
      <c r="I1052" s="3">
        <v>1928</v>
      </c>
      <c r="J1052" s="1">
        <v>45608</v>
      </c>
      <c r="K1052" t="s">
        <v>31</v>
      </c>
      <c r="L1052" t="s">
        <v>9</v>
      </c>
      <c r="M1052" t="s">
        <v>32</v>
      </c>
      <c r="N1052" s="1">
        <f t="shared" si="96"/>
        <v>45608</v>
      </c>
      <c r="O1052" s="4">
        <f t="shared" si="97"/>
        <v>2.9873200085966042E-2</v>
      </c>
      <c r="P1052">
        <f t="shared" si="98"/>
        <v>1.4028057553956834</v>
      </c>
      <c r="Q1052" s="2">
        <f t="shared" si="99"/>
        <v>17.726363636363637</v>
      </c>
      <c r="R1052" s="2">
        <f t="shared" si="100"/>
        <v>38.998000000000005</v>
      </c>
      <c r="S1052" s="2">
        <f t="shared" si="101"/>
        <v>9.8876865480281033</v>
      </c>
    </row>
    <row r="1053" spans="1:19" hidden="1">
      <c r="A1053" t="s">
        <v>1106</v>
      </c>
      <c r="B1053" t="s">
        <v>30</v>
      </c>
      <c r="C1053">
        <v>181</v>
      </c>
      <c r="D1053">
        <v>3063</v>
      </c>
      <c r="E1053" s="2">
        <v>191.03</v>
      </c>
      <c r="F1053">
        <v>15</v>
      </c>
      <c r="G1053">
        <v>4</v>
      </c>
      <c r="H1053">
        <v>2.1999999999999999E-2</v>
      </c>
      <c r="I1053" s="3">
        <v>1125</v>
      </c>
      <c r="J1053" s="1">
        <v>45617</v>
      </c>
      <c r="K1053" t="s">
        <v>31</v>
      </c>
      <c r="L1053" t="s">
        <v>7</v>
      </c>
      <c r="M1053" t="s">
        <v>39</v>
      </c>
      <c r="N1053" s="1">
        <f t="shared" si="96"/>
        <v>45617</v>
      </c>
      <c r="O1053" s="4">
        <f t="shared" si="97"/>
        <v>5.9092393078681034E-2</v>
      </c>
      <c r="P1053">
        <f t="shared" si="98"/>
        <v>1.055414364640884</v>
      </c>
      <c r="Q1053" s="2">
        <f t="shared" si="99"/>
        <v>12.735333333333333</v>
      </c>
      <c r="R1053" s="2">
        <f t="shared" si="100"/>
        <v>47.7575</v>
      </c>
      <c r="S1053" s="2">
        <f t="shared" si="101"/>
        <v>5.8891273621944196</v>
      </c>
    </row>
    <row r="1054" spans="1:19" hidden="1">
      <c r="A1054" t="s">
        <v>1107</v>
      </c>
      <c r="B1054" t="s">
        <v>30</v>
      </c>
      <c r="C1054">
        <v>156</v>
      </c>
      <c r="D1054">
        <v>3273</v>
      </c>
      <c r="E1054" s="2">
        <v>245.27</v>
      </c>
      <c r="F1054">
        <v>30</v>
      </c>
      <c r="G1054">
        <v>8</v>
      </c>
      <c r="H1054">
        <v>3.5000000000000003E-2</v>
      </c>
      <c r="I1054" s="3">
        <v>1505</v>
      </c>
      <c r="J1054" s="1">
        <v>45601</v>
      </c>
      <c r="K1054" t="s">
        <v>31</v>
      </c>
      <c r="L1054" t="s">
        <v>9</v>
      </c>
      <c r="M1054" t="s">
        <v>32</v>
      </c>
      <c r="N1054" s="1">
        <f t="shared" si="96"/>
        <v>45601</v>
      </c>
      <c r="O1054" s="4">
        <f t="shared" si="97"/>
        <v>4.7662694775435381E-2</v>
      </c>
      <c r="P1054">
        <f t="shared" si="98"/>
        <v>1.5722435897435898</v>
      </c>
      <c r="Q1054" s="2">
        <f t="shared" si="99"/>
        <v>8.1756666666666664</v>
      </c>
      <c r="R1054" s="2">
        <f t="shared" si="100"/>
        <v>30.658750000000001</v>
      </c>
      <c r="S1054" s="2">
        <f t="shared" si="101"/>
        <v>6.1360949158070692</v>
      </c>
    </row>
    <row r="1055" spans="1:19">
      <c r="A1055" t="s">
        <v>1108</v>
      </c>
      <c r="B1055" t="s">
        <v>30</v>
      </c>
      <c r="C1055">
        <v>128</v>
      </c>
      <c r="D1055">
        <v>4314</v>
      </c>
      <c r="E1055" s="2">
        <v>181.68</v>
      </c>
      <c r="F1055">
        <v>28</v>
      </c>
      <c r="G1055">
        <v>5</v>
      </c>
      <c r="H1055">
        <v>4.5999999999999999E-2</v>
      </c>
      <c r="I1055" s="3">
        <v>1456</v>
      </c>
      <c r="J1055" s="1">
        <v>45621</v>
      </c>
      <c r="K1055" t="s">
        <v>31</v>
      </c>
      <c r="L1055" t="s">
        <v>8</v>
      </c>
      <c r="M1055" t="s">
        <v>46</v>
      </c>
      <c r="N1055" s="1">
        <f t="shared" si="96"/>
        <v>45621</v>
      </c>
      <c r="O1055" s="4">
        <f t="shared" si="97"/>
        <v>2.9670839128419099E-2</v>
      </c>
      <c r="P1055">
        <f t="shared" si="98"/>
        <v>1.4193750000000001</v>
      </c>
      <c r="Q1055" s="2">
        <f t="shared" si="99"/>
        <v>6.4885714285714284</v>
      </c>
      <c r="R1055" s="2">
        <f t="shared" si="100"/>
        <v>36.335999999999999</v>
      </c>
      <c r="S1055" s="2">
        <f t="shared" si="101"/>
        <v>8.0140907089387934</v>
      </c>
    </row>
    <row r="1056" spans="1:19" hidden="1">
      <c r="A1056" t="s">
        <v>1109</v>
      </c>
      <c r="B1056" t="s">
        <v>30</v>
      </c>
      <c r="C1056">
        <v>133</v>
      </c>
      <c r="D1056">
        <v>5945</v>
      </c>
      <c r="E1056" s="2">
        <v>223.43</v>
      </c>
      <c r="F1056">
        <v>16</v>
      </c>
      <c r="G1056">
        <v>6</v>
      </c>
      <c r="H1056">
        <v>4.4999999999999998E-2</v>
      </c>
      <c r="I1056" s="3">
        <v>1329</v>
      </c>
      <c r="J1056" s="1">
        <v>45612</v>
      </c>
      <c r="K1056" t="s">
        <v>31</v>
      </c>
      <c r="L1056" t="s">
        <v>9</v>
      </c>
      <c r="M1056" t="s">
        <v>39</v>
      </c>
      <c r="N1056" s="1">
        <f t="shared" si="96"/>
        <v>45612</v>
      </c>
      <c r="O1056" s="4">
        <f t="shared" si="97"/>
        <v>2.2371740958788897E-2</v>
      </c>
      <c r="P1056">
        <f t="shared" si="98"/>
        <v>1.6799248120300752</v>
      </c>
      <c r="Q1056" s="2">
        <f t="shared" si="99"/>
        <v>13.964375</v>
      </c>
      <c r="R1056" s="2">
        <f t="shared" si="100"/>
        <v>37.238333333333337</v>
      </c>
      <c r="S1056" s="2">
        <f t="shared" si="101"/>
        <v>5.9481716868817971</v>
      </c>
    </row>
    <row r="1057" spans="1:19" hidden="1">
      <c r="A1057" t="s">
        <v>1110</v>
      </c>
      <c r="B1057" t="s">
        <v>30</v>
      </c>
      <c r="C1057">
        <v>118</v>
      </c>
      <c r="D1057">
        <v>4794</v>
      </c>
      <c r="E1057" s="2">
        <v>233.49</v>
      </c>
      <c r="F1057">
        <v>20</v>
      </c>
      <c r="G1057">
        <v>3</v>
      </c>
      <c r="H1057">
        <v>2.5000000000000001E-2</v>
      </c>
      <c r="I1057" s="3">
        <v>1707</v>
      </c>
      <c r="J1057" s="1" t="s">
        <v>115</v>
      </c>
      <c r="K1057" t="s">
        <v>31</v>
      </c>
      <c r="L1057" t="s">
        <v>8</v>
      </c>
      <c r="M1057" t="s">
        <v>35</v>
      </c>
      <c r="N1057" s="1">
        <f t="shared" si="96"/>
        <v>45623</v>
      </c>
      <c r="O1057" s="4">
        <f t="shared" si="97"/>
        <v>2.4614100959532748E-2</v>
      </c>
      <c r="P1057">
        <f t="shared" si="98"/>
        <v>1.9787288135593222</v>
      </c>
      <c r="Q1057" s="2">
        <f t="shared" si="99"/>
        <v>11.6745</v>
      </c>
      <c r="R1057" s="2">
        <f t="shared" si="100"/>
        <v>77.83</v>
      </c>
      <c r="S1057" s="2">
        <f t="shared" si="101"/>
        <v>7.3108056019529739</v>
      </c>
    </row>
    <row r="1058" spans="1:19">
      <c r="A1058" t="s">
        <v>1111</v>
      </c>
      <c r="B1058" t="s">
        <v>30</v>
      </c>
      <c r="C1058">
        <v>191</v>
      </c>
      <c r="D1058">
        <v>5227</v>
      </c>
      <c r="E1058" s="2">
        <v>204.87</v>
      </c>
      <c r="F1058">
        <v>26</v>
      </c>
      <c r="G1058">
        <v>6</v>
      </c>
      <c r="H1058">
        <v>4.5999999999999999E-2</v>
      </c>
      <c r="I1058" s="3">
        <v>1605</v>
      </c>
      <c r="J1058" s="1">
        <v>45616</v>
      </c>
      <c r="K1058" t="s">
        <v>31</v>
      </c>
      <c r="L1058" t="s">
        <v>8</v>
      </c>
      <c r="M1058" t="s">
        <v>35</v>
      </c>
      <c r="N1058" s="1">
        <f t="shared" si="96"/>
        <v>45616</v>
      </c>
      <c r="O1058" s="4">
        <f t="shared" si="97"/>
        <v>3.654103692366558E-2</v>
      </c>
      <c r="P1058">
        <f t="shared" si="98"/>
        <v>1.0726178010471203</v>
      </c>
      <c r="Q1058" s="2">
        <f t="shared" si="99"/>
        <v>7.8796153846153851</v>
      </c>
      <c r="R1058" s="2">
        <f t="shared" si="100"/>
        <v>34.145000000000003</v>
      </c>
      <c r="S1058" s="2">
        <f t="shared" si="101"/>
        <v>7.834236344999268</v>
      </c>
    </row>
    <row r="1059" spans="1:19" hidden="1">
      <c r="A1059" t="s">
        <v>1112</v>
      </c>
      <c r="B1059" t="s">
        <v>30</v>
      </c>
      <c r="C1059">
        <v>172</v>
      </c>
      <c r="D1059">
        <v>4850</v>
      </c>
      <c r="E1059" s="2">
        <v>242.33</v>
      </c>
      <c r="F1059">
        <v>27</v>
      </c>
      <c r="G1059">
        <v>4</v>
      </c>
      <c r="H1059">
        <v>2.3E-2</v>
      </c>
      <c r="I1059" s="3">
        <v>1391</v>
      </c>
      <c r="J1059" s="1">
        <v>45617</v>
      </c>
      <c r="K1059" t="s">
        <v>31</v>
      </c>
      <c r="L1059" t="s">
        <v>9</v>
      </c>
      <c r="M1059" t="s">
        <v>37</v>
      </c>
      <c r="N1059" s="1">
        <f t="shared" si="96"/>
        <v>45617</v>
      </c>
      <c r="O1059" s="4">
        <f t="shared" si="97"/>
        <v>3.5463917525773193E-2</v>
      </c>
      <c r="P1059">
        <f t="shared" si="98"/>
        <v>1.4088953488372093</v>
      </c>
      <c r="Q1059" s="2">
        <f t="shared" si="99"/>
        <v>8.975185185185186</v>
      </c>
      <c r="R1059" s="2">
        <f t="shared" si="100"/>
        <v>60.582500000000003</v>
      </c>
      <c r="S1059" s="2">
        <f t="shared" si="101"/>
        <v>5.7401064663888084</v>
      </c>
    </row>
    <row r="1060" spans="1:19" hidden="1">
      <c r="A1060" t="s">
        <v>1113</v>
      </c>
      <c r="B1060" t="s">
        <v>30</v>
      </c>
      <c r="C1060">
        <v>143</v>
      </c>
      <c r="D1060">
        <v>5314</v>
      </c>
      <c r="E1060" s="2">
        <v>222.14</v>
      </c>
      <c r="F1060">
        <v>21</v>
      </c>
      <c r="G1060">
        <v>9</v>
      </c>
      <c r="H1060">
        <v>6.3E-2</v>
      </c>
      <c r="I1060" s="3">
        <v>1505</v>
      </c>
      <c r="J1060" s="1" t="s">
        <v>73</v>
      </c>
      <c r="K1060" t="s">
        <v>31</v>
      </c>
      <c r="L1060" t="s">
        <v>9</v>
      </c>
      <c r="M1060" t="s">
        <v>32</v>
      </c>
      <c r="N1060" s="1">
        <f t="shared" si="96"/>
        <v>45618</v>
      </c>
      <c r="O1060" s="4">
        <f t="shared" si="97"/>
        <v>2.6910048927361686E-2</v>
      </c>
      <c r="P1060">
        <f t="shared" si="98"/>
        <v>1.5534265734265733</v>
      </c>
      <c r="Q1060" s="2">
        <f t="shared" si="99"/>
        <v>10.578095238095237</v>
      </c>
      <c r="R1060" s="2">
        <f t="shared" si="100"/>
        <v>24.682222222222222</v>
      </c>
      <c r="S1060" s="2">
        <f t="shared" si="101"/>
        <v>6.7750067524984248</v>
      </c>
    </row>
    <row r="1061" spans="1:19" hidden="1">
      <c r="A1061" t="s">
        <v>1114</v>
      </c>
      <c r="B1061" t="s">
        <v>30</v>
      </c>
      <c r="C1061">
        <v>110</v>
      </c>
      <c r="D1061">
        <v>4394</v>
      </c>
      <c r="E1061" s="2">
        <v>194.23</v>
      </c>
      <c r="F1061">
        <v>28</v>
      </c>
      <c r="G1061">
        <v>3</v>
      </c>
      <c r="H1061">
        <v>2.7E-2</v>
      </c>
      <c r="I1061" s="3">
        <v>1394</v>
      </c>
      <c r="J1061" s="1">
        <v>45621</v>
      </c>
      <c r="K1061" t="s">
        <v>31</v>
      </c>
      <c r="L1061" t="s">
        <v>9</v>
      </c>
      <c r="M1061" t="s">
        <v>46</v>
      </c>
      <c r="N1061" s="1">
        <f t="shared" si="96"/>
        <v>45621</v>
      </c>
      <c r="O1061" s="4">
        <f t="shared" si="97"/>
        <v>2.5034137460172964E-2</v>
      </c>
      <c r="P1061">
        <f t="shared" si="98"/>
        <v>1.7657272727272726</v>
      </c>
      <c r="Q1061" s="2">
        <f t="shared" si="99"/>
        <v>6.9367857142857137</v>
      </c>
      <c r="R1061" s="2">
        <f t="shared" si="100"/>
        <v>64.743333333333325</v>
      </c>
      <c r="S1061" s="2">
        <f t="shared" si="101"/>
        <v>7.177058126962879</v>
      </c>
    </row>
    <row r="1062" spans="1:19" hidden="1">
      <c r="A1062" t="s">
        <v>1115</v>
      </c>
      <c r="B1062" t="s">
        <v>30</v>
      </c>
      <c r="C1062">
        <v>119</v>
      </c>
      <c r="D1062">
        <v>5820</v>
      </c>
      <c r="E1062" s="2">
        <v>196.42</v>
      </c>
      <c r="F1062">
        <v>11</v>
      </c>
      <c r="G1062">
        <v>10</v>
      </c>
      <c r="H1062">
        <v>8.4000000000000005E-2</v>
      </c>
      <c r="I1062" s="3">
        <v>1707</v>
      </c>
      <c r="J1062" s="1" t="s">
        <v>73</v>
      </c>
      <c r="K1062" t="s">
        <v>31</v>
      </c>
      <c r="L1062" t="s">
        <v>9</v>
      </c>
      <c r="M1062" t="s">
        <v>32</v>
      </c>
      <c r="N1062" s="1">
        <f t="shared" si="96"/>
        <v>45618</v>
      </c>
      <c r="O1062" s="4">
        <f t="shared" si="97"/>
        <v>2.0446735395189004E-2</v>
      </c>
      <c r="P1062">
        <f t="shared" si="98"/>
        <v>1.6505882352941175</v>
      </c>
      <c r="Q1062" s="2">
        <f t="shared" si="99"/>
        <v>17.856363636363636</v>
      </c>
      <c r="R1062" s="2">
        <f t="shared" si="100"/>
        <v>19.641999999999999</v>
      </c>
      <c r="S1062" s="2">
        <f t="shared" si="101"/>
        <v>8.6905610426636812</v>
      </c>
    </row>
    <row r="1063" spans="1:19" hidden="1">
      <c r="A1063" t="s">
        <v>1116</v>
      </c>
      <c r="B1063" t="s">
        <v>30</v>
      </c>
      <c r="C1063">
        <v>178</v>
      </c>
      <c r="D1063">
        <v>5328</v>
      </c>
      <c r="E1063" s="2">
        <v>201.9</v>
      </c>
      <c r="F1063">
        <v>20</v>
      </c>
      <c r="G1063">
        <v>9</v>
      </c>
      <c r="H1063">
        <v>5.0999999999999997E-2</v>
      </c>
      <c r="I1063" s="3">
        <v>1452</v>
      </c>
      <c r="J1063" s="1" t="s">
        <v>94</v>
      </c>
      <c r="K1063" t="s">
        <v>31</v>
      </c>
      <c r="L1063" t="s">
        <v>8</v>
      </c>
      <c r="M1063" t="s">
        <v>35</v>
      </c>
      <c r="N1063" s="1">
        <f t="shared" si="96"/>
        <v>45617</v>
      </c>
      <c r="O1063" s="4">
        <f t="shared" si="97"/>
        <v>3.3408408408408412E-2</v>
      </c>
      <c r="P1063">
        <f t="shared" si="98"/>
        <v>1.1342696629213485</v>
      </c>
      <c r="Q1063" s="2">
        <f t="shared" si="99"/>
        <v>10.095000000000001</v>
      </c>
      <c r="R1063" s="2">
        <f t="shared" si="100"/>
        <v>22.433333333333334</v>
      </c>
      <c r="S1063" s="2">
        <f t="shared" si="101"/>
        <v>7.1916790490341755</v>
      </c>
    </row>
    <row r="1064" spans="1:19">
      <c r="A1064" t="s">
        <v>1117</v>
      </c>
      <c r="B1064" t="s">
        <v>30</v>
      </c>
      <c r="C1064">
        <v>139</v>
      </c>
      <c r="D1064">
        <v>3557</v>
      </c>
      <c r="E1064" s="2">
        <v>190.84</v>
      </c>
      <c r="F1064">
        <v>17</v>
      </c>
      <c r="G1064">
        <v>4</v>
      </c>
      <c r="H1064">
        <v>4.5999999999999999E-2</v>
      </c>
      <c r="I1064" s="3">
        <v>1925</v>
      </c>
      <c r="J1064" s="1" t="s">
        <v>357</v>
      </c>
      <c r="K1064" t="s">
        <v>31</v>
      </c>
      <c r="L1064" t="s">
        <v>7</v>
      </c>
      <c r="M1064" t="s">
        <v>37</v>
      </c>
      <c r="N1064" s="1">
        <f t="shared" si="96"/>
        <v>45624</v>
      </c>
      <c r="O1064" s="4">
        <f t="shared" si="97"/>
        <v>3.9077874613438292E-2</v>
      </c>
      <c r="P1064">
        <f t="shared" si="98"/>
        <v>1.3729496402877699</v>
      </c>
      <c r="Q1064" s="2">
        <f t="shared" si="99"/>
        <v>11.225882352941177</v>
      </c>
      <c r="R1064" s="2">
        <f t="shared" si="100"/>
        <v>47.71</v>
      </c>
      <c r="S1064" s="2">
        <f t="shared" si="101"/>
        <v>10.086983860825823</v>
      </c>
    </row>
    <row r="1065" spans="1:19">
      <c r="A1065" t="s">
        <v>1118</v>
      </c>
      <c r="B1065" t="s">
        <v>30</v>
      </c>
      <c r="C1065">
        <v>95</v>
      </c>
      <c r="D1065">
        <v>4050</v>
      </c>
      <c r="E1065" s="2">
        <v>234.79</v>
      </c>
      <c r="F1065">
        <v>20</v>
      </c>
      <c r="G1065">
        <v>5</v>
      </c>
      <c r="H1065">
        <v>4.5999999999999999E-2</v>
      </c>
      <c r="I1065" s="3">
        <v>1783</v>
      </c>
      <c r="J1065" s="1" t="s">
        <v>105</v>
      </c>
      <c r="K1065" t="s">
        <v>31</v>
      </c>
      <c r="L1065" t="s">
        <v>8</v>
      </c>
      <c r="M1065" t="s">
        <v>37</v>
      </c>
      <c r="N1065" s="1">
        <f t="shared" si="96"/>
        <v>45614</v>
      </c>
      <c r="O1065" s="4">
        <f t="shared" si="97"/>
        <v>2.3456790123456792E-2</v>
      </c>
      <c r="P1065">
        <f t="shared" si="98"/>
        <v>2.471473684210526</v>
      </c>
      <c r="Q1065" s="2">
        <f t="shared" si="99"/>
        <v>11.7395</v>
      </c>
      <c r="R1065" s="2">
        <f t="shared" si="100"/>
        <v>46.957999999999998</v>
      </c>
      <c r="S1065" s="2">
        <f t="shared" si="101"/>
        <v>7.5940201882533334</v>
      </c>
    </row>
    <row r="1066" spans="1:19">
      <c r="A1066" t="s">
        <v>1119</v>
      </c>
      <c r="B1066" t="s">
        <v>30</v>
      </c>
      <c r="C1066">
        <v>198</v>
      </c>
      <c r="D1066">
        <v>3575</v>
      </c>
      <c r="E1066" s="2">
        <v>224.07</v>
      </c>
      <c r="F1066">
        <v>13</v>
      </c>
      <c r="G1066">
        <v>3</v>
      </c>
      <c r="H1066">
        <v>4.5999999999999999E-2</v>
      </c>
      <c r="I1066" s="3">
        <v>1070</v>
      </c>
      <c r="J1066" s="1">
        <v>45605</v>
      </c>
      <c r="K1066" t="s">
        <v>31</v>
      </c>
      <c r="L1066" t="s">
        <v>7</v>
      </c>
      <c r="M1066" t="s">
        <v>37</v>
      </c>
      <c r="N1066" s="1">
        <f t="shared" si="96"/>
        <v>45605</v>
      </c>
      <c r="O1066" s="4">
        <f t="shared" si="97"/>
        <v>5.5384615384615386E-2</v>
      </c>
      <c r="P1066">
        <f t="shared" si="98"/>
        <v>1.1316666666666666</v>
      </c>
      <c r="Q1066" s="2">
        <f t="shared" si="99"/>
        <v>17.236153846153847</v>
      </c>
      <c r="R1066" s="2">
        <f t="shared" si="100"/>
        <v>74.69</v>
      </c>
      <c r="S1066" s="2">
        <f t="shared" si="101"/>
        <v>4.7752934350872493</v>
      </c>
    </row>
    <row r="1067" spans="1:19" hidden="1">
      <c r="A1067" t="s">
        <v>1120</v>
      </c>
      <c r="B1067" t="s">
        <v>30</v>
      </c>
      <c r="C1067">
        <v>134</v>
      </c>
      <c r="D1067">
        <v>5570</v>
      </c>
      <c r="E1067" s="2">
        <v>233.77</v>
      </c>
      <c r="F1067">
        <v>15</v>
      </c>
      <c r="G1067">
        <v>4</v>
      </c>
      <c r="H1067">
        <v>0.03</v>
      </c>
      <c r="I1067" s="3">
        <v>1101</v>
      </c>
      <c r="J1067" s="1">
        <v>45623</v>
      </c>
      <c r="K1067" t="s">
        <v>31</v>
      </c>
      <c r="L1067" t="s">
        <v>8</v>
      </c>
      <c r="M1067" t="s">
        <v>35</v>
      </c>
      <c r="N1067" s="1">
        <f t="shared" si="96"/>
        <v>45623</v>
      </c>
      <c r="O1067" s="4">
        <f t="shared" si="97"/>
        <v>2.4057450628366249E-2</v>
      </c>
      <c r="P1067">
        <f t="shared" si="98"/>
        <v>1.7445522388059702</v>
      </c>
      <c r="Q1067" s="2">
        <f t="shared" si="99"/>
        <v>15.584666666666667</v>
      </c>
      <c r="R1067" s="2">
        <f t="shared" si="100"/>
        <v>58.442500000000003</v>
      </c>
      <c r="S1067" s="2">
        <f t="shared" si="101"/>
        <v>4.7097574539076872</v>
      </c>
    </row>
    <row r="1068" spans="1:19">
      <c r="A1068" t="s">
        <v>1121</v>
      </c>
      <c r="B1068" t="s">
        <v>30</v>
      </c>
      <c r="C1068">
        <v>83</v>
      </c>
      <c r="D1068">
        <v>4883</v>
      </c>
      <c r="E1068" s="2">
        <v>228.3</v>
      </c>
      <c r="F1068">
        <v>29</v>
      </c>
      <c r="G1068">
        <v>10</v>
      </c>
      <c r="H1068">
        <v>4.5999999999999999E-2</v>
      </c>
      <c r="I1068" s="3">
        <v>1456</v>
      </c>
      <c r="J1068" s="1">
        <v>45603</v>
      </c>
      <c r="K1068" t="s">
        <v>31</v>
      </c>
      <c r="L1068" t="s">
        <v>8</v>
      </c>
      <c r="M1068" t="s">
        <v>32</v>
      </c>
      <c r="N1068" s="1">
        <f t="shared" si="96"/>
        <v>45603</v>
      </c>
      <c r="O1068" s="4">
        <f t="shared" si="97"/>
        <v>1.6997747286504199E-2</v>
      </c>
      <c r="P1068">
        <f t="shared" si="98"/>
        <v>2.7506024096385544</v>
      </c>
      <c r="Q1068" s="2">
        <f t="shared" si="99"/>
        <v>7.8724137931034486</v>
      </c>
      <c r="R1068" s="2">
        <f t="shared" si="100"/>
        <v>22.830000000000002</v>
      </c>
      <c r="S1068" s="2">
        <f t="shared" si="101"/>
        <v>6.3775733683749447</v>
      </c>
    </row>
    <row r="1069" spans="1:19" hidden="1">
      <c r="A1069" t="s">
        <v>1122</v>
      </c>
      <c r="B1069" t="s">
        <v>30</v>
      </c>
      <c r="C1069">
        <v>187</v>
      </c>
      <c r="D1069">
        <v>4753</v>
      </c>
      <c r="E1069" s="2">
        <v>236.03</v>
      </c>
      <c r="F1069">
        <v>13</v>
      </c>
      <c r="G1069">
        <v>3</v>
      </c>
      <c r="H1069">
        <v>5.3999999999999999E-2</v>
      </c>
      <c r="I1069" s="3">
        <v>1906</v>
      </c>
      <c r="J1069" s="1">
        <v>45614</v>
      </c>
      <c r="K1069" t="s">
        <v>31</v>
      </c>
      <c r="L1069" t="s">
        <v>7</v>
      </c>
      <c r="M1069" t="s">
        <v>37</v>
      </c>
      <c r="N1069" s="1">
        <f t="shared" si="96"/>
        <v>45614</v>
      </c>
      <c r="O1069" s="4">
        <f t="shared" si="97"/>
        <v>3.9343572480538609E-2</v>
      </c>
      <c r="P1069">
        <f t="shared" si="98"/>
        <v>1.262192513368984</v>
      </c>
      <c r="Q1069" s="2">
        <f t="shared" si="99"/>
        <v>18.156153846153845</v>
      </c>
      <c r="R1069" s="2">
        <f t="shared" si="100"/>
        <v>78.676666666666662</v>
      </c>
      <c r="S1069" s="2">
        <f t="shared" si="101"/>
        <v>8.0752446722874218</v>
      </c>
    </row>
    <row r="1070" spans="1:19" hidden="1">
      <c r="A1070" t="s">
        <v>1123</v>
      </c>
      <c r="B1070" t="s">
        <v>30</v>
      </c>
      <c r="C1070">
        <v>81</v>
      </c>
      <c r="D1070">
        <v>5653</v>
      </c>
      <c r="E1070" s="2">
        <v>245.33</v>
      </c>
      <c r="F1070">
        <v>23</v>
      </c>
      <c r="G1070">
        <v>8</v>
      </c>
      <c r="H1070">
        <v>9.9000000000000005E-2</v>
      </c>
      <c r="I1070" s="3">
        <v>1248</v>
      </c>
      <c r="J1070" s="1">
        <v>45622</v>
      </c>
      <c r="K1070" t="s">
        <v>31</v>
      </c>
      <c r="L1070" t="s">
        <v>8</v>
      </c>
      <c r="M1070" t="s">
        <v>37</v>
      </c>
      <c r="N1070" s="1">
        <f t="shared" si="96"/>
        <v>45622</v>
      </c>
      <c r="O1070" s="4">
        <f t="shared" si="97"/>
        <v>1.4328675039801874E-2</v>
      </c>
      <c r="P1070">
        <f t="shared" si="98"/>
        <v>3.0287654320987656</v>
      </c>
      <c r="Q1070" s="2">
        <f t="shared" si="99"/>
        <v>10.666521739130435</v>
      </c>
      <c r="R1070" s="2">
        <f t="shared" si="100"/>
        <v>30.666250000000002</v>
      </c>
      <c r="S1070" s="2">
        <f t="shared" si="101"/>
        <v>5.0870256389353115</v>
      </c>
    </row>
    <row r="1071" spans="1:19" hidden="1">
      <c r="A1071" t="s">
        <v>1124</v>
      </c>
      <c r="B1071" t="s">
        <v>30</v>
      </c>
      <c r="C1071">
        <v>144</v>
      </c>
      <c r="D1071">
        <v>5750</v>
      </c>
      <c r="E1071" s="2">
        <v>184.37</v>
      </c>
      <c r="F1071">
        <v>19</v>
      </c>
      <c r="G1071">
        <v>8</v>
      </c>
      <c r="H1071">
        <v>5.6000000000000001E-2</v>
      </c>
      <c r="I1071" s="3">
        <v>1098</v>
      </c>
      <c r="J1071" s="1">
        <v>45622</v>
      </c>
      <c r="K1071" t="s">
        <v>31</v>
      </c>
      <c r="L1071" t="s">
        <v>7</v>
      </c>
      <c r="M1071" t="s">
        <v>32</v>
      </c>
      <c r="N1071" s="1">
        <f t="shared" si="96"/>
        <v>45622</v>
      </c>
      <c r="O1071" s="4">
        <f t="shared" si="97"/>
        <v>2.5043478260869566E-2</v>
      </c>
      <c r="P1071">
        <f t="shared" si="98"/>
        <v>1.2803472222222223</v>
      </c>
      <c r="Q1071" s="2">
        <f t="shared" si="99"/>
        <v>9.7036842105263155</v>
      </c>
      <c r="R1071" s="2">
        <f t="shared" si="100"/>
        <v>23.046250000000001</v>
      </c>
      <c r="S1071" s="2">
        <f t="shared" si="101"/>
        <v>5.9554157400878669</v>
      </c>
    </row>
    <row r="1072" spans="1:19" hidden="1">
      <c r="A1072" t="s">
        <v>1125</v>
      </c>
      <c r="B1072" t="s">
        <v>30</v>
      </c>
      <c r="C1072">
        <v>161</v>
      </c>
      <c r="D1072">
        <v>5766</v>
      </c>
      <c r="E1072" s="2">
        <v>221.93</v>
      </c>
      <c r="F1072">
        <v>10</v>
      </c>
      <c r="G1072">
        <v>8</v>
      </c>
      <c r="H1072">
        <v>0.05</v>
      </c>
      <c r="I1072" s="3">
        <v>1830</v>
      </c>
      <c r="J1072" s="1">
        <v>45609</v>
      </c>
      <c r="K1072" t="s">
        <v>31</v>
      </c>
      <c r="L1072" t="s">
        <v>9</v>
      </c>
      <c r="M1072" t="s">
        <v>41</v>
      </c>
      <c r="N1072" s="1">
        <f t="shared" si="96"/>
        <v>45609</v>
      </c>
      <c r="O1072" s="4">
        <f t="shared" si="97"/>
        <v>2.7922303156434271E-2</v>
      </c>
      <c r="P1072">
        <f t="shared" si="98"/>
        <v>1.3784472049689442</v>
      </c>
      <c r="Q1072" s="2">
        <f t="shared" si="99"/>
        <v>22.193000000000001</v>
      </c>
      <c r="R1072" s="2">
        <f t="shared" si="100"/>
        <v>27.741250000000001</v>
      </c>
      <c r="S1072" s="2">
        <f t="shared" si="101"/>
        <v>8.2458432839183526</v>
      </c>
    </row>
    <row r="1073" spans="1:19">
      <c r="A1073" t="s">
        <v>1126</v>
      </c>
      <c r="B1073" t="s">
        <v>30</v>
      </c>
      <c r="C1073">
        <v>90</v>
      </c>
      <c r="D1073">
        <v>4424</v>
      </c>
      <c r="E1073" s="2">
        <v>219.77</v>
      </c>
      <c r="F1073">
        <v>10</v>
      </c>
      <c r="G1073">
        <v>4</v>
      </c>
      <c r="H1073">
        <v>4.5999999999999999E-2</v>
      </c>
      <c r="I1073" s="3">
        <v>1396</v>
      </c>
      <c r="J1073" s="1">
        <v>45515</v>
      </c>
      <c r="K1073" t="s">
        <v>31</v>
      </c>
      <c r="L1073" t="s">
        <v>7</v>
      </c>
      <c r="M1073" t="s">
        <v>37</v>
      </c>
      <c r="N1073" s="1">
        <f t="shared" si="96"/>
        <v>45515</v>
      </c>
      <c r="O1073" s="4">
        <f t="shared" si="97"/>
        <v>2.0343580470162749E-2</v>
      </c>
      <c r="P1073">
        <f t="shared" si="98"/>
        <v>2.4418888888888892</v>
      </c>
      <c r="Q1073" s="2">
        <f t="shared" si="99"/>
        <v>21.977</v>
      </c>
      <c r="R1073" s="2">
        <f t="shared" si="100"/>
        <v>54.942500000000003</v>
      </c>
      <c r="S1073" s="2">
        <f t="shared" si="101"/>
        <v>6.3520953724348184</v>
      </c>
    </row>
    <row r="1074" spans="1:19" hidden="1">
      <c r="A1074" t="s">
        <v>1127</v>
      </c>
      <c r="B1074" t="s">
        <v>30</v>
      </c>
      <c r="C1074">
        <v>128</v>
      </c>
      <c r="D1074">
        <v>5043</v>
      </c>
      <c r="E1074" s="2">
        <v>231.72</v>
      </c>
      <c r="F1074">
        <v>26</v>
      </c>
      <c r="G1074">
        <v>8</v>
      </c>
      <c r="H1074">
        <v>6.2E-2</v>
      </c>
      <c r="I1074" s="3">
        <v>1508</v>
      </c>
      <c r="J1074" s="1">
        <v>45622</v>
      </c>
      <c r="K1074" t="s">
        <v>31</v>
      </c>
      <c r="L1074" t="s">
        <v>9</v>
      </c>
      <c r="M1074" t="s">
        <v>46</v>
      </c>
      <c r="N1074" s="1">
        <f t="shared" si="96"/>
        <v>45622</v>
      </c>
      <c r="O1074" s="4">
        <f t="shared" si="97"/>
        <v>2.5381717231806464E-2</v>
      </c>
      <c r="P1074">
        <f t="shared" si="98"/>
        <v>1.8103125</v>
      </c>
      <c r="Q1074" s="2">
        <f t="shared" si="99"/>
        <v>8.9123076923076923</v>
      </c>
      <c r="R1074" s="2">
        <f t="shared" si="100"/>
        <v>28.965</v>
      </c>
      <c r="S1074" s="2">
        <f t="shared" si="101"/>
        <v>6.5078543069221473</v>
      </c>
    </row>
    <row r="1075" spans="1:19" hidden="1">
      <c r="A1075" t="s">
        <v>1128</v>
      </c>
      <c r="B1075" t="s">
        <v>30</v>
      </c>
      <c r="C1075">
        <v>195</v>
      </c>
      <c r="D1075">
        <v>4529</v>
      </c>
      <c r="E1075" s="2">
        <v>200.36</v>
      </c>
      <c r="F1075">
        <v>25</v>
      </c>
      <c r="G1075">
        <v>7</v>
      </c>
      <c r="H1075">
        <v>3.4000000000000002E-2</v>
      </c>
      <c r="I1075" s="3">
        <v>1343</v>
      </c>
      <c r="J1075" s="1">
        <v>45626</v>
      </c>
      <c r="K1075" t="s">
        <v>31</v>
      </c>
      <c r="L1075" t="s">
        <v>9</v>
      </c>
      <c r="M1075" t="s">
        <v>39</v>
      </c>
      <c r="N1075" s="1">
        <f t="shared" si="96"/>
        <v>45626</v>
      </c>
      <c r="O1075" s="4">
        <f t="shared" si="97"/>
        <v>4.3055862221240894E-2</v>
      </c>
      <c r="P1075">
        <f t="shared" si="98"/>
        <v>1.0274871794871796</v>
      </c>
      <c r="Q1075" s="2">
        <f t="shared" si="99"/>
        <v>8.0144000000000002</v>
      </c>
      <c r="R1075" s="2">
        <f t="shared" si="100"/>
        <v>28.622857142857146</v>
      </c>
      <c r="S1075" s="2">
        <f t="shared" si="101"/>
        <v>6.7029347175084846</v>
      </c>
    </row>
    <row r="1076" spans="1:19" hidden="1">
      <c r="A1076" t="s">
        <v>1129</v>
      </c>
      <c r="B1076" t="s">
        <v>30</v>
      </c>
      <c r="C1076">
        <v>160</v>
      </c>
      <c r="D1076">
        <v>5751</v>
      </c>
      <c r="E1076" s="2">
        <v>215.57</v>
      </c>
      <c r="F1076">
        <v>28</v>
      </c>
      <c r="G1076">
        <v>4</v>
      </c>
      <c r="H1076">
        <v>0.04</v>
      </c>
      <c r="I1076" s="3">
        <v>1802</v>
      </c>
      <c r="J1076" s="1">
        <v>45618</v>
      </c>
      <c r="K1076" t="s">
        <v>31</v>
      </c>
      <c r="L1076" t="s">
        <v>8</v>
      </c>
      <c r="M1076" t="s">
        <v>32</v>
      </c>
      <c r="N1076" s="1">
        <f t="shared" si="96"/>
        <v>45618</v>
      </c>
      <c r="O1076" s="4">
        <f t="shared" si="97"/>
        <v>2.7821248478525473E-2</v>
      </c>
      <c r="P1076">
        <f t="shared" si="98"/>
        <v>1.3473124999999999</v>
      </c>
      <c r="Q1076" s="2">
        <f t="shared" si="99"/>
        <v>7.6989285714285716</v>
      </c>
      <c r="R1076" s="2">
        <f t="shared" si="100"/>
        <v>53.892499999999998</v>
      </c>
      <c r="S1076" s="2">
        <f t="shared" si="101"/>
        <v>8.3592336596001307</v>
      </c>
    </row>
    <row r="1077" spans="1:19" hidden="1">
      <c r="A1077" t="s">
        <v>1130</v>
      </c>
      <c r="B1077" t="s">
        <v>30</v>
      </c>
      <c r="C1077">
        <v>176</v>
      </c>
      <c r="D1077">
        <v>4518</v>
      </c>
      <c r="E1077" s="2">
        <v>237.95</v>
      </c>
      <c r="F1077">
        <v>17</v>
      </c>
      <c r="G1077">
        <v>10</v>
      </c>
      <c r="H1077">
        <v>5.7000000000000002E-2</v>
      </c>
      <c r="I1077" s="3">
        <v>1933</v>
      </c>
      <c r="J1077" s="1">
        <v>45607</v>
      </c>
      <c r="K1077" t="s">
        <v>31</v>
      </c>
      <c r="L1077" t="s">
        <v>7</v>
      </c>
      <c r="M1077" t="s">
        <v>46</v>
      </c>
      <c r="N1077" s="1">
        <f t="shared" si="96"/>
        <v>45607</v>
      </c>
      <c r="O1077" s="4">
        <f t="shared" si="97"/>
        <v>3.8955289951305885E-2</v>
      </c>
      <c r="P1077">
        <f t="shared" si="98"/>
        <v>1.3519886363636362</v>
      </c>
      <c r="Q1077" s="2">
        <f t="shared" si="99"/>
        <v>13.997058823529411</v>
      </c>
      <c r="R1077" s="2">
        <f t="shared" si="100"/>
        <v>23.794999999999998</v>
      </c>
      <c r="S1077" s="2">
        <f t="shared" si="101"/>
        <v>8.1235553687749533</v>
      </c>
    </row>
    <row r="1078" spans="1:19" hidden="1">
      <c r="A1078" t="s">
        <v>1131</v>
      </c>
      <c r="B1078" t="s">
        <v>30</v>
      </c>
      <c r="C1078">
        <v>157</v>
      </c>
      <c r="D1078">
        <v>5201</v>
      </c>
      <c r="E1078" s="2">
        <v>228.72</v>
      </c>
      <c r="F1078">
        <v>14</v>
      </c>
      <c r="G1078">
        <v>8</v>
      </c>
      <c r="H1078">
        <v>5.0999999999999997E-2</v>
      </c>
      <c r="I1078" s="3">
        <v>1458</v>
      </c>
      <c r="J1078" s="1">
        <v>45605</v>
      </c>
      <c r="K1078" t="s">
        <v>31</v>
      </c>
      <c r="L1078" t="s">
        <v>8</v>
      </c>
      <c r="M1078" t="s">
        <v>37</v>
      </c>
      <c r="N1078" s="1">
        <f t="shared" si="96"/>
        <v>45605</v>
      </c>
      <c r="O1078" s="4">
        <f t="shared" si="97"/>
        <v>3.0186502595654682E-2</v>
      </c>
      <c r="P1078">
        <f t="shared" si="98"/>
        <v>1.4568152866242039</v>
      </c>
      <c r="Q1078" s="2">
        <f t="shared" si="99"/>
        <v>16.337142857142858</v>
      </c>
      <c r="R1078" s="2">
        <f t="shared" si="100"/>
        <v>28.59</v>
      </c>
      <c r="S1078" s="2">
        <f t="shared" si="101"/>
        <v>6.3746065057712489</v>
      </c>
    </row>
    <row r="1079" spans="1:19" hidden="1">
      <c r="A1079" t="s">
        <v>1132</v>
      </c>
      <c r="B1079" t="s">
        <v>30</v>
      </c>
      <c r="C1079">
        <v>104</v>
      </c>
      <c r="D1079">
        <v>4735</v>
      </c>
      <c r="E1079" s="2">
        <v>233.95</v>
      </c>
      <c r="F1079">
        <v>19</v>
      </c>
      <c r="G1079">
        <v>6</v>
      </c>
      <c r="H1079">
        <v>5.8000000000000003E-2</v>
      </c>
      <c r="I1079" s="3">
        <v>1493</v>
      </c>
      <c r="J1079" s="1">
        <v>45619</v>
      </c>
      <c r="K1079" t="s">
        <v>31</v>
      </c>
      <c r="L1079" t="s">
        <v>8</v>
      </c>
      <c r="M1079" t="s">
        <v>32</v>
      </c>
      <c r="N1079" s="1">
        <f t="shared" si="96"/>
        <v>45619</v>
      </c>
      <c r="O1079" s="4">
        <f t="shared" si="97"/>
        <v>2.1964097148891235E-2</v>
      </c>
      <c r="P1079">
        <f t="shared" si="98"/>
        <v>2.2495192307692307</v>
      </c>
      <c r="Q1079" s="2">
        <f t="shared" si="99"/>
        <v>12.313157894736841</v>
      </c>
      <c r="R1079" s="2">
        <f t="shared" si="100"/>
        <v>38.991666666666667</v>
      </c>
      <c r="S1079" s="2">
        <f t="shared" si="101"/>
        <v>6.3817054926266303</v>
      </c>
    </row>
    <row r="1080" spans="1:19">
      <c r="A1080" t="s">
        <v>1133</v>
      </c>
      <c r="B1080" t="s">
        <v>30</v>
      </c>
      <c r="C1080">
        <v>117</v>
      </c>
      <c r="D1080">
        <v>3014</v>
      </c>
      <c r="E1080" s="2">
        <v>242.24</v>
      </c>
      <c r="F1080">
        <v>12</v>
      </c>
      <c r="G1080">
        <v>7</v>
      </c>
      <c r="H1080">
        <v>4.5999999999999999E-2</v>
      </c>
      <c r="I1080" s="3">
        <v>1432</v>
      </c>
      <c r="J1080" s="1" t="s">
        <v>86</v>
      </c>
      <c r="K1080" t="s">
        <v>31</v>
      </c>
      <c r="L1080" t="s">
        <v>8</v>
      </c>
      <c r="M1080" t="s">
        <v>32</v>
      </c>
      <c r="N1080" s="1">
        <f t="shared" si="96"/>
        <v>45625</v>
      </c>
      <c r="O1080" s="4">
        <f t="shared" si="97"/>
        <v>3.8818845388188451E-2</v>
      </c>
      <c r="P1080">
        <f t="shared" si="98"/>
        <v>2.0704273504273507</v>
      </c>
      <c r="Q1080" s="2">
        <f t="shared" si="99"/>
        <v>20.186666666666667</v>
      </c>
      <c r="R1080" s="2">
        <f t="shared" si="100"/>
        <v>34.605714285714285</v>
      </c>
      <c r="S1080" s="2">
        <f t="shared" si="101"/>
        <v>5.9114927344782036</v>
      </c>
    </row>
    <row r="1081" spans="1:19" hidden="1">
      <c r="A1081" t="s">
        <v>1134</v>
      </c>
      <c r="B1081" t="s">
        <v>30</v>
      </c>
      <c r="C1081">
        <v>138</v>
      </c>
      <c r="D1081">
        <v>5506</v>
      </c>
      <c r="E1081" s="2">
        <v>192.89</v>
      </c>
      <c r="F1081">
        <v>27</v>
      </c>
      <c r="G1081">
        <v>6</v>
      </c>
      <c r="H1081">
        <v>4.2999999999999997E-2</v>
      </c>
      <c r="I1081" s="3">
        <v>1261</v>
      </c>
      <c r="J1081" s="1">
        <v>45598</v>
      </c>
      <c r="K1081" t="s">
        <v>31</v>
      </c>
      <c r="L1081" t="s">
        <v>9</v>
      </c>
      <c r="M1081" t="s">
        <v>32</v>
      </c>
      <c r="N1081" s="1">
        <f t="shared" si="96"/>
        <v>45598</v>
      </c>
      <c r="O1081" s="4">
        <f t="shared" si="97"/>
        <v>2.5063567017798764E-2</v>
      </c>
      <c r="P1081">
        <f t="shared" si="98"/>
        <v>1.3977536231884058</v>
      </c>
      <c r="Q1081" s="2">
        <f t="shared" si="99"/>
        <v>7.1440740740740738</v>
      </c>
      <c r="R1081" s="2">
        <f t="shared" si="100"/>
        <v>32.148333333333333</v>
      </c>
      <c r="S1081" s="2">
        <f t="shared" si="101"/>
        <v>6.5374047384519676</v>
      </c>
    </row>
    <row r="1082" spans="1:19" hidden="1">
      <c r="A1082" t="s">
        <v>1135</v>
      </c>
      <c r="B1082" t="s">
        <v>30</v>
      </c>
      <c r="C1082">
        <v>84</v>
      </c>
      <c r="D1082">
        <v>3758</v>
      </c>
      <c r="E1082" s="2">
        <v>232.56</v>
      </c>
      <c r="F1082">
        <v>26</v>
      </c>
      <c r="G1082">
        <v>5</v>
      </c>
      <c r="H1082">
        <v>0.06</v>
      </c>
      <c r="I1082" s="3">
        <v>1384</v>
      </c>
      <c r="J1082" s="1">
        <v>45454</v>
      </c>
      <c r="K1082" t="s">
        <v>31</v>
      </c>
      <c r="L1082" t="s">
        <v>7</v>
      </c>
      <c r="M1082" t="s">
        <v>35</v>
      </c>
      <c r="N1082" s="1">
        <f t="shared" si="96"/>
        <v>45454</v>
      </c>
      <c r="O1082" s="4">
        <f t="shared" si="97"/>
        <v>2.2352315061202766E-2</v>
      </c>
      <c r="P1082">
        <f t="shared" si="98"/>
        <v>2.7685714285714287</v>
      </c>
      <c r="Q1082" s="2">
        <f t="shared" si="99"/>
        <v>8.9446153846153855</v>
      </c>
      <c r="R1082" s="2">
        <f t="shared" si="100"/>
        <v>46.512</v>
      </c>
      <c r="S1082" s="2">
        <f t="shared" si="101"/>
        <v>5.9511523907808739</v>
      </c>
    </row>
    <row r="1083" spans="1:19" hidden="1">
      <c r="A1083" t="s">
        <v>1136</v>
      </c>
      <c r="B1083" t="s">
        <v>30</v>
      </c>
      <c r="C1083">
        <v>102</v>
      </c>
      <c r="D1083">
        <v>4460</v>
      </c>
      <c r="E1083" s="2">
        <v>182.23</v>
      </c>
      <c r="F1083">
        <v>15</v>
      </c>
      <c r="G1083">
        <v>6</v>
      </c>
      <c r="H1083">
        <v>5.8999999999999997E-2</v>
      </c>
      <c r="I1083" s="3">
        <v>1849</v>
      </c>
      <c r="J1083" s="1" t="s">
        <v>50</v>
      </c>
      <c r="K1083" t="s">
        <v>31</v>
      </c>
      <c r="L1083" t="s">
        <v>9</v>
      </c>
      <c r="M1083" t="s">
        <v>37</v>
      </c>
      <c r="N1083" s="1">
        <f t="shared" si="96"/>
        <v>45610</v>
      </c>
      <c r="O1083" s="4">
        <f t="shared" si="97"/>
        <v>2.2869955156950672E-2</v>
      </c>
      <c r="P1083">
        <f t="shared" si="98"/>
        <v>1.7865686274509802</v>
      </c>
      <c r="Q1083" s="2">
        <f t="shared" si="99"/>
        <v>12.148666666666665</v>
      </c>
      <c r="R1083" s="2">
        <f t="shared" si="100"/>
        <v>30.371666666666666</v>
      </c>
      <c r="S1083" s="2">
        <f t="shared" si="101"/>
        <v>10.146518136421006</v>
      </c>
    </row>
    <row r="1084" spans="1:19" hidden="1">
      <c r="A1084" t="s">
        <v>1137</v>
      </c>
      <c r="B1084" t="s">
        <v>30</v>
      </c>
      <c r="C1084">
        <v>122</v>
      </c>
      <c r="D1084">
        <v>5518</v>
      </c>
      <c r="E1084" s="2">
        <v>202</v>
      </c>
      <c r="F1084">
        <v>27</v>
      </c>
      <c r="G1084">
        <v>3</v>
      </c>
      <c r="H1084">
        <v>2.5000000000000001E-2</v>
      </c>
      <c r="I1084" s="3">
        <v>1884</v>
      </c>
      <c r="J1084" s="1">
        <v>45607</v>
      </c>
      <c r="K1084" t="s">
        <v>31</v>
      </c>
      <c r="L1084" t="s">
        <v>9</v>
      </c>
      <c r="M1084" t="s">
        <v>46</v>
      </c>
      <c r="N1084" s="1">
        <f t="shared" si="96"/>
        <v>45607</v>
      </c>
      <c r="O1084" s="4">
        <f t="shared" si="97"/>
        <v>2.2109459949256977E-2</v>
      </c>
      <c r="P1084">
        <f t="shared" si="98"/>
        <v>1.6557377049180328</v>
      </c>
      <c r="Q1084" s="2">
        <f t="shared" si="99"/>
        <v>7.4814814814814818</v>
      </c>
      <c r="R1084" s="2">
        <f t="shared" si="100"/>
        <v>67.333333333333329</v>
      </c>
      <c r="S1084" s="2">
        <f t="shared" si="101"/>
        <v>9.3267326732673261</v>
      </c>
    </row>
    <row r="1085" spans="1:19" hidden="1">
      <c r="A1085" t="s">
        <v>1138</v>
      </c>
      <c r="B1085" t="s">
        <v>30</v>
      </c>
      <c r="C1085">
        <v>198</v>
      </c>
      <c r="D1085">
        <v>5542</v>
      </c>
      <c r="E1085" s="2">
        <v>234.62</v>
      </c>
      <c r="F1085">
        <v>10</v>
      </c>
      <c r="G1085">
        <v>10</v>
      </c>
      <c r="H1085">
        <v>5.0999999999999997E-2</v>
      </c>
      <c r="I1085" s="3">
        <v>1605</v>
      </c>
      <c r="J1085" s="1">
        <v>45623</v>
      </c>
      <c r="K1085" t="s">
        <v>31</v>
      </c>
      <c r="L1085" t="s">
        <v>9</v>
      </c>
      <c r="M1085" t="s">
        <v>41</v>
      </c>
      <c r="N1085" s="1">
        <f t="shared" si="96"/>
        <v>45623</v>
      </c>
      <c r="O1085" s="4">
        <f t="shared" si="97"/>
        <v>3.5727174305304941E-2</v>
      </c>
      <c r="P1085">
        <f t="shared" si="98"/>
        <v>1.184949494949495</v>
      </c>
      <c r="Q1085" s="2">
        <f t="shared" si="99"/>
        <v>23.462</v>
      </c>
      <c r="R1085" s="2">
        <f t="shared" si="100"/>
        <v>23.462</v>
      </c>
      <c r="S1085" s="2">
        <f t="shared" si="101"/>
        <v>6.8408490324780491</v>
      </c>
    </row>
    <row r="1086" spans="1:19">
      <c r="A1086" t="s">
        <v>1139</v>
      </c>
      <c r="B1086" t="s">
        <v>30</v>
      </c>
      <c r="C1086">
        <v>152</v>
      </c>
      <c r="D1086">
        <v>5678</v>
      </c>
      <c r="E1086" s="2">
        <v>204.41</v>
      </c>
      <c r="F1086">
        <v>22</v>
      </c>
      <c r="G1086">
        <v>4</v>
      </c>
      <c r="H1086">
        <v>4.5999999999999999E-2</v>
      </c>
      <c r="I1086" s="3">
        <v>1794</v>
      </c>
      <c r="J1086" s="1" t="s">
        <v>34</v>
      </c>
      <c r="K1086" t="s">
        <v>31</v>
      </c>
      <c r="L1086" t="s">
        <v>7</v>
      </c>
      <c r="M1086" t="s">
        <v>41</v>
      </c>
      <c r="N1086" s="1">
        <f t="shared" si="96"/>
        <v>45616</v>
      </c>
      <c r="O1086" s="4">
        <f t="shared" si="97"/>
        <v>2.6769989432898909E-2</v>
      </c>
      <c r="P1086">
        <f t="shared" si="98"/>
        <v>1.3448026315789474</v>
      </c>
      <c r="Q1086" s="2">
        <f t="shared" si="99"/>
        <v>9.291363636363636</v>
      </c>
      <c r="R1086" s="2">
        <f t="shared" si="100"/>
        <v>51.102499999999999</v>
      </c>
      <c r="S1086" s="2">
        <f t="shared" si="101"/>
        <v>8.7764786458588127</v>
      </c>
    </row>
    <row r="1087" spans="1:19" hidden="1">
      <c r="A1087" t="s">
        <v>1140</v>
      </c>
      <c r="B1087" t="s">
        <v>30</v>
      </c>
      <c r="C1087">
        <v>147</v>
      </c>
      <c r="D1087">
        <v>4608</v>
      </c>
      <c r="E1087" s="2">
        <v>180.04</v>
      </c>
      <c r="F1087">
        <v>20</v>
      </c>
      <c r="G1087">
        <v>6</v>
      </c>
      <c r="H1087">
        <v>4.1000000000000002E-2</v>
      </c>
      <c r="I1087" s="3">
        <v>1351</v>
      </c>
      <c r="J1087" s="1" t="s">
        <v>94</v>
      </c>
      <c r="K1087" t="s">
        <v>31</v>
      </c>
      <c r="L1087" t="s">
        <v>7</v>
      </c>
      <c r="M1087" t="s">
        <v>37</v>
      </c>
      <c r="N1087" s="1">
        <f t="shared" si="96"/>
        <v>45617</v>
      </c>
      <c r="O1087" s="4">
        <f t="shared" si="97"/>
        <v>3.1901041666666664E-2</v>
      </c>
      <c r="P1087">
        <f t="shared" si="98"/>
        <v>1.2247619047619047</v>
      </c>
      <c r="Q1087" s="2">
        <f t="shared" si="99"/>
        <v>9.0019999999999989</v>
      </c>
      <c r="R1087" s="2">
        <f t="shared" si="100"/>
        <v>30.006666666666664</v>
      </c>
      <c r="S1087" s="2">
        <f t="shared" si="101"/>
        <v>7.5038880248833593</v>
      </c>
    </row>
    <row r="1088" spans="1:19" hidden="1">
      <c r="A1088" t="s">
        <v>1141</v>
      </c>
      <c r="B1088" t="s">
        <v>30</v>
      </c>
      <c r="C1088">
        <v>108</v>
      </c>
      <c r="D1088">
        <v>5448</v>
      </c>
      <c r="E1088" s="2">
        <v>230.17</v>
      </c>
      <c r="F1088">
        <v>12</v>
      </c>
      <c r="G1088">
        <v>10</v>
      </c>
      <c r="H1088">
        <v>5.1999999999999998E-2</v>
      </c>
      <c r="I1088" s="3">
        <v>1039</v>
      </c>
      <c r="J1088" s="1">
        <v>45615</v>
      </c>
      <c r="K1088" t="s">
        <v>31</v>
      </c>
      <c r="L1088" t="s">
        <v>7</v>
      </c>
      <c r="M1088" t="s">
        <v>35</v>
      </c>
      <c r="N1088" s="1">
        <f t="shared" si="96"/>
        <v>45615</v>
      </c>
      <c r="O1088" s="4">
        <f t="shared" si="97"/>
        <v>1.9823788546255508E-2</v>
      </c>
      <c r="P1088">
        <f t="shared" si="98"/>
        <v>2.1312037037037035</v>
      </c>
      <c r="Q1088" s="2">
        <f t="shared" si="99"/>
        <v>19.180833333333332</v>
      </c>
      <c r="R1088" s="2">
        <f t="shared" si="100"/>
        <v>23.016999999999999</v>
      </c>
      <c r="S1088" s="2">
        <f t="shared" si="101"/>
        <v>4.5140548290394058</v>
      </c>
    </row>
    <row r="1089" spans="1:19" hidden="1">
      <c r="A1089" t="s">
        <v>1142</v>
      </c>
      <c r="B1089" t="s">
        <v>30</v>
      </c>
      <c r="C1089">
        <v>137</v>
      </c>
      <c r="D1089">
        <v>5261</v>
      </c>
      <c r="E1089" s="2">
        <v>196.48</v>
      </c>
      <c r="F1089">
        <v>23</v>
      </c>
      <c r="G1089">
        <v>5</v>
      </c>
      <c r="H1089">
        <v>3.5999999999999997E-2</v>
      </c>
      <c r="I1089" s="3">
        <v>1227</v>
      </c>
      <c r="J1089" s="1">
        <v>45622</v>
      </c>
      <c r="K1089" t="s">
        <v>31</v>
      </c>
      <c r="L1089" t="s">
        <v>9</v>
      </c>
      <c r="M1089" t="s">
        <v>39</v>
      </c>
      <c r="N1089" s="1">
        <f t="shared" si="96"/>
        <v>45622</v>
      </c>
      <c r="O1089" s="4">
        <f t="shared" si="97"/>
        <v>2.604067667743775E-2</v>
      </c>
      <c r="P1089">
        <f t="shared" si="98"/>
        <v>1.4341605839416058</v>
      </c>
      <c r="Q1089" s="2">
        <f t="shared" si="99"/>
        <v>8.5426086956521736</v>
      </c>
      <c r="R1089" s="2">
        <f t="shared" si="100"/>
        <v>39.295999999999999</v>
      </c>
      <c r="S1089" s="2">
        <f t="shared" si="101"/>
        <v>6.2449104234527688</v>
      </c>
    </row>
    <row r="1090" spans="1:19" hidden="1">
      <c r="A1090" t="s">
        <v>1143</v>
      </c>
      <c r="B1090" t="s">
        <v>30</v>
      </c>
      <c r="C1090">
        <v>131</v>
      </c>
      <c r="D1090">
        <v>4518.5</v>
      </c>
      <c r="E1090" s="2">
        <v>209.38</v>
      </c>
      <c r="F1090">
        <v>16</v>
      </c>
      <c r="G1090">
        <v>9</v>
      </c>
      <c r="H1090">
        <v>6.9000000000000006E-2</v>
      </c>
      <c r="I1090" s="3">
        <v>1645</v>
      </c>
      <c r="J1090" s="1">
        <v>45608</v>
      </c>
      <c r="K1090" t="s">
        <v>31</v>
      </c>
      <c r="L1090" t="s">
        <v>8</v>
      </c>
      <c r="M1090" t="s">
        <v>37</v>
      </c>
      <c r="N1090" s="1">
        <f t="shared" ref="N1090:N1153" si="102">IF(A1090="","",IF(ISNUMBER(J1090),J1090,IF(MID(J1090,5,1)="-",DATE(LEFT(J1090,4),MID(J1090,6,2),RIGHT(J1090,2)),IF(MID(J1090,5,1)="/",DATE(LEFT(J1090,4),MID(J1090,6,2),RIGHT(J1090,2)),DATE(RIGHT(J1090,4),MID(J1090,4,2),LEFT(J1090,2))))))</f>
        <v>45608</v>
      </c>
      <c r="O1090" s="4">
        <f t="shared" ref="O1090:O1153" si="103">IFERROR(C1090/D1090,0)</f>
        <v>2.8991922098041384E-2</v>
      </c>
      <c r="P1090">
        <f t="shared" ref="P1090:P1153" si="104">IFERROR(E1090/C1090,0)</f>
        <v>1.5983206106870229</v>
      </c>
      <c r="Q1090" s="2">
        <f t="shared" ref="Q1090:Q1153" si="105">IFERROR(E1090/F1090,0)</f>
        <v>13.08625</v>
      </c>
      <c r="R1090" s="2">
        <f t="shared" ref="R1090:R1153" si="106">IFERROR(E1090/G1090,0)</f>
        <v>23.264444444444443</v>
      </c>
      <c r="S1090" s="2">
        <f t="shared" ref="S1090:S1153" si="107">IFERROR(I1090/E1090,0)</f>
        <v>7.8565287993122555</v>
      </c>
    </row>
    <row r="1091" spans="1:19" hidden="1">
      <c r="A1091" t="s">
        <v>1144</v>
      </c>
      <c r="B1091" t="s">
        <v>30</v>
      </c>
      <c r="C1091">
        <v>80</v>
      </c>
      <c r="D1091">
        <v>3760</v>
      </c>
      <c r="E1091" s="2">
        <v>236.82</v>
      </c>
      <c r="F1091">
        <v>13</v>
      </c>
      <c r="G1091">
        <v>4</v>
      </c>
      <c r="H1091">
        <v>0.05</v>
      </c>
      <c r="I1091" s="3">
        <v>1927</v>
      </c>
      <c r="J1091" s="1">
        <v>45617</v>
      </c>
      <c r="K1091" t="s">
        <v>31</v>
      </c>
      <c r="L1091" t="s">
        <v>7</v>
      </c>
      <c r="M1091" t="s">
        <v>32</v>
      </c>
      <c r="N1091" s="1">
        <f t="shared" si="102"/>
        <v>45617</v>
      </c>
      <c r="O1091" s="4">
        <f t="shared" si="103"/>
        <v>2.1276595744680851E-2</v>
      </c>
      <c r="P1091">
        <f t="shared" si="104"/>
        <v>2.9602499999999998</v>
      </c>
      <c r="Q1091" s="2">
        <f t="shared" si="105"/>
        <v>18.216923076923077</v>
      </c>
      <c r="R1091" s="2">
        <f t="shared" si="106"/>
        <v>59.204999999999998</v>
      </c>
      <c r="S1091" s="2">
        <f t="shared" si="107"/>
        <v>8.1369816738451153</v>
      </c>
    </row>
    <row r="1092" spans="1:19" hidden="1">
      <c r="A1092" t="s">
        <v>1145</v>
      </c>
      <c r="B1092" t="s">
        <v>30</v>
      </c>
      <c r="C1092">
        <v>114</v>
      </c>
      <c r="D1092">
        <v>4157</v>
      </c>
      <c r="E1092" s="2">
        <v>248.56</v>
      </c>
      <c r="F1092">
        <v>10</v>
      </c>
      <c r="G1092">
        <v>7</v>
      </c>
      <c r="H1092">
        <v>6.0999999999999999E-2</v>
      </c>
      <c r="I1092" s="3">
        <v>1671</v>
      </c>
      <c r="J1092" s="1">
        <v>45606</v>
      </c>
      <c r="K1092" t="s">
        <v>31</v>
      </c>
      <c r="L1092" t="s">
        <v>7</v>
      </c>
      <c r="M1092" t="s">
        <v>46</v>
      </c>
      <c r="N1092" s="1">
        <f t="shared" si="102"/>
        <v>45606</v>
      </c>
      <c r="O1092" s="4">
        <f t="shared" si="103"/>
        <v>2.7423622804907385E-2</v>
      </c>
      <c r="P1092">
        <f t="shared" si="104"/>
        <v>2.1803508771929825</v>
      </c>
      <c r="Q1092" s="2">
        <f t="shared" si="105"/>
        <v>24.856000000000002</v>
      </c>
      <c r="R1092" s="2">
        <f t="shared" si="106"/>
        <v>35.508571428571429</v>
      </c>
      <c r="S1092" s="2">
        <f t="shared" si="107"/>
        <v>6.72272288381075</v>
      </c>
    </row>
    <row r="1093" spans="1:19" hidden="1">
      <c r="A1093" t="s">
        <v>1146</v>
      </c>
      <c r="B1093" t="s">
        <v>30</v>
      </c>
      <c r="C1093">
        <v>123</v>
      </c>
      <c r="D1093">
        <v>4580</v>
      </c>
      <c r="E1093" s="2">
        <v>223</v>
      </c>
      <c r="F1093">
        <v>15</v>
      </c>
      <c r="G1093">
        <v>7</v>
      </c>
      <c r="H1093">
        <v>5.7000000000000002E-2</v>
      </c>
      <c r="I1093" s="3">
        <v>1614</v>
      </c>
      <c r="J1093" s="1" t="s">
        <v>105</v>
      </c>
      <c r="K1093" t="s">
        <v>31</v>
      </c>
      <c r="L1093" t="s">
        <v>8</v>
      </c>
      <c r="M1093" t="s">
        <v>46</v>
      </c>
      <c r="N1093" s="1">
        <f t="shared" si="102"/>
        <v>45614</v>
      </c>
      <c r="O1093" s="4">
        <f t="shared" si="103"/>
        <v>2.6855895196506552E-2</v>
      </c>
      <c r="P1093">
        <f t="shared" si="104"/>
        <v>1.8130081300813008</v>
      </c>
      <c r="Q1093" s="2">
        <f t="shared" si="105"/>
        <v>14.866666666666667</v>
      </c>
      <c r="R1093" s="2">
        <f t="shared" si="106"/>
        <v>31.857142857142858</v>
      </c>
      <c r="S1093" s="2">
        <f t="shared" si="107"/>
        <v>7.2376681614349776</v>
      </c>
    </row>
    <row r="1094" spans="1:19" hidden="1">
      <c r="A1094" t="s">
        <v>1147</v>
      </c>
      <c r="B1094" t="s">
        <v>30</v>
      </c>
      <c r="C1094">
        <v>168</v>
      </c>
      <c r="D1094">
        <v>4068</v>
      </c>
      <c r="E1094" s="2">
        <v>233.54</v>
      </c>
      <c r="F1094">
        <v>23</v>
      </c>
      <c r="G1094">
        <v>5</v>
      </c>
      <c r="H1094">
        <v>0.03</v>
      </c>
      <c r="I1094" s="3">
        <v>1636</v>
      </c>
      <c r="J1094" s="1">
        <v>45623</v>
      </c>
      <c r="K1094" t="s">
        <v>31</v>
      </c>
      <c r="L1094" t="s">
        <v>8</v>
      </c>
      <c r="M1094" t="s">
        <v>46</v>
      </c>
      <c r="N1094" s="1">
        <f t="shared" si="102"/>
        <v>45623</v>
      </c>
      <c r="O1094" s="4">
        <f t="shared" si="103"/>
        <v>4.1297935103244837E-2</v>
      </c>
      <c r="P1094">
        <f t="shared" si="104"/>
        <v>1.3901190476190475</v>
      </c>
      <c r="Q1094" s="2">
        <f t="shared" si="105"/>
        <v>10.15391304347826</v>
      </c>
      <c r="R1094" s="2">
        <f t="shared" si="106"/>
        <v>46.707999999999998</v>
      </c>
      <c r="S1094" s="2">
        <f t="shared" si="107"/>
        <v>7.0052239445062945</v>
      </c>
    </row>
    <row r="1095" spans="1:19" hidden="1">
      <c r="A1095" t="s">
        <v>1148</v>
      </c>
      <c r="B1095" t="s">
        <v>30</v>
      </c>
      <c r="C1095">
        <v>180</v>
      </c>
      <c r="D1095">
        <v>3072</v>
      </c>
      <c r="E1095" s="2">
        <v>218.47</v>
      </c>
      <c r="F1095">
        <v>28</v>
      </c>
      <c r="G1095">
        <v>9</v>
      </c>
      <c r="H1095">
        <v>0.05</v>
      </c>
      <c r="I1095" s="3">
        <v>1200</v>
      </c>
      <c r="J1095" s="1">
        <v>45454</v>
      </c>
      <c r="K1095" t="s">
        <v>31</v>
      </c>
      <c r="L1095" t="s">
        <v>8</v>
      </c>
      <c r="M1095" t="s">
        <v>32</v>
      </c>
      <c r="N1095" s="1">
        <f t="shared" si="102"/>
        <v>45454</v>
      </c>
      <c r="O1095" s="4">
        <f t="shared" si="103"/>
        <v>5.859375E-2</v>
      </c>
      <c r="P1095">
        <f t="shared" si="104"/>
        <v>1.2137222222222221</v>
      </c>
      <c r="Q1095" s="2">
        <f t="shared" si="105"/>
        <v>7.8025000000000002</v>
      </c>
      <c r="R1095" s="2">
        <f t="shared" si="106"/>
        <v>24.274444444444445</v>
      </c>
      <c r="S1095" s="2">
        <f t="shared" si="107"/>
        <v>5.4927449993134072</v>
      </c>
    </row>
    <row r="1096" spans="1:19" hidden="1">
      <c r="A1096" t="s">
        <v>1149</v>
      </c>
      <c r="B1096" t="s">
        <v>30</v>
      </c>
      <c r="C1096">
        <v>117</v>
      </c>
      <c r="D1096">
        <v>5379</v>
      </c>
      <c r="E1096" s="2">
        <v>240.68</v>
      </c>
      <c r="F1096">
        <v>18</v>
      </c>
      <c r="G1096">
        <v>3</v>
      </c>
      <c r="H1096">
        <v>3.7999999999999999E-2</v>
      </c>
      <c r="I1096" s="3">
        <v>1361</v>
      </c>
      <c r="J1096" s="1">
        <v>45602</v>
      </c>
      <c r="K1096" t="s">
        <v>31</v>
      </c>
      <c r="L1096" t="s">
        <v>9</v>
      </c>
      <c r="M1096" t="s">
        <v>46</v>
      </c>
      <c r="N1096" s="1">
        <f t="shared" si="102"/>
        <v>45602</v>
      </c>
      <c r="O1096" s="4">
        <f t="shared" si="103"/>
        <v>2.1751254880089235E-2</v>
      </c>
      <c r="P1096">
        <f t="shared" si="104"/>
        <v>2.0570940170940171</v>
      </c>
      <c r="Q1096" s="2">
        <f t="shared" si="105"/>
        <v>13.371111111111112</v>
      </c>
      <c r="R1096" s="2">
        <f t="shared" si="106"/>
        <v>80.226666666666674</v>
      </c>
      <c r="S1096" s="2">
        <f t="shared" si="107"/>
        <v>5.6548113677912584</v>
      </c>
    </row>
    <row r="1097" spans="1:19" hidden="1">
      <c r="A1097" t="s">
        <v>1150</v>
      </c>
      <c r="B1097" t="s">
        <v>30</v>
      </c>
      <c r="C1097">
        <v>103</v>
      </c>
      <c r="D1097">
        <v>4885</v>
      </c>
      <c r="E1097" s="2">
        <v>221.05</v>
      </c>
      <c r="F1097">
        <v>21</v>
      </c>
      <c r="G1097">
        <v>10</v>
      </c>
      <c r="H1097">
        <v>9.7000000000000003E-2</v>
      </c>
      <c r="I1097" s="3">
        <v>1505</v>
      </c>
      <c r="J1097" s="1">
        <v>45621</v>
      </c>
      <c r="K1097" t="s">
        <v>31</v>
      </c>
      <c r="L1097" t="s">
        <v>8</v>
      </c>
      <c r="M1097" t="s">
        <v>41</v>
      </c>
      <c r="N1097" s="1">
        <f t="shared" si="102"/>
        <v>45621</v>
      </c>
      <c r="O1097" s="4">
        <f t="shared" si="103"/>
        <v>2.1084953940634595E-2</v>
      </c>
      <c r="P1097">
        <f t="shared" si="104"/>
        <v>2.1461165048543691</v>
      </c>
      <c r="Q1097" s="2">
        <f t="shared" si="105"/>
        <v>10.526190476190477</v>
      </c>
      <c r="R1097" s="2">
        <f t="shared" si="106"/>
        <v>22.105</v>
      </c>
      <c r="S1097" s="2">
        <f t="shared" si="107"/>
        <v>6.8084143858855457</v>
      </c>
    </row>
    <row r="1098" spans="1:19" hidden="1">
      <c r="A1098" t="s">
        <v>1151</v>
      </c>
      <c r="B1098" t="s">
        <v>30</v>
      </c>
      <c r="C1098">
        <v>140</v>
      </c>
      <c r="D1098">
        <v>5859</v>
      </c>
      <c r="E1098" s="2">
        <v>211.08</v>
      </c>
      <c r="F1098">
        <v>26</v>
      </c>
      <c r="G1098">
        <v>9</v>
      </c>
      <c r="H1098">
        <v>6.4000000000000001E-2</v>
      </c>
      <c r="I1098" s="3">
        <v>1276</v>
      </c>
      <c r="J1098" s="1">
        <v>45611</v>
      </c>
      <c r="K1098" t="s">
        <v>31</v>
      </c>
      <c r="L1098" t="s">
        <v>7</v>
      </c>
      <c r="M1098" t="s">
        <v>39</v>
      </c>
      <c r="N1098" s="1">
        <f t="shared" si="102"/>
        <v>45611</v>
      </c>
      <c r="O1098" s="4">
        <f t="shared" si="103"/>
        <v>2.3894862604540025E-2</v>
      </c>
      <c r="P1098">
        <f t="shared" si="104"/>
        <v>1.5077142857142858</v>
      </c>
      <c r="Q1098" s="2">
        <f t="shared" si="105"/>
        <v>8.1184615384615384</v>
      </c>
      <c r="R1098" s="2">
        <f t="shared" si="106"/>
        <v>23.453333333333333</v>
      </c>
      <c r="S1098" s="2">
        <f t="shared" si="107"/>
        <v>6.0451013833617582</v>
      </c>
    </row>
    <row r="1099" spans="1:19">
      <c r="A1099" t="s">
        <v>1152</v>
      </c>
      <c r="B1099" t="s">
        <v>30</v>
      </c>
      <c r="C1099">
        <v>158</v>
      </c>
      <c r="D1099">
        <v>4574</v>
      </c>
      <c r="E1099" s="2">
        <v>198.9</v>
      </c>
      <c r="F1099">
        <v>21</v>
      </c>
      <c r="G1099">
        <v>8</v>
      </c>
      <c r="H1099">
        <v>4.5999999999999999E-2</v>
      </c>
      <c r="I1099" s="3">
        <v>1706</v>
      </c>
      <c r="J1099" s="1">
        <v>45393</v>
      </c>
      <c r="K1099" t="s">
        <v>31</v>
      </c>
      <c r="L1099" t="s">
        <v>7</v>
      </c>
      <c r="M1099" t="s">
        <v>32</v>
      </c>
      <c r="N1099" s="1">
        <f t="shared" si="102"/>
        <v>45393</v>
      </c>
      <c r="O1099" s="4">
        <f t="shared" si="103"/>
        <v>3.4543069523393088E-2</v>
      </c>
      <c r="P1099">
        <f t="shared" si="104"/>
        <v>1.2588607594936709</v>
      </c>
      <c r="Q1099" s="2">
        <f t="shared" si="105"/>
        <v>9.4714285714285715</v>
      </c>
      <c r="R1099" s="2">
        <f t="shared" si="106"/>
        <v>24.862500000000001</v>
      </c>
      <c r="S1099" s="2">
        <f t="shared" si="107"/>
        <v>8.5771744595274004</v>
      </c>
    </row>
    <row r="1100" spans="1:19" hidden="1">
      <c r="A1100" t="s">
        <v>1153</v>
      </c>
      <c r="B1100" t="s">
        <v>30</v>
      </c>
      <c r="C1100">
        <v>162</v>
      </c>
      <c r="D1100">
        <v>5911</v>
      </c>
      <c r="E1100" s="2">
        <v>232.03</v>
      </c>
      <c r="F1100">
        <v>12</v>
      </c>
      <c r="G1100">
        <v>7</v>
      </c>
      <c r="H1100">
        <v>4.2999999999999997E-2</v>
      </c>
      <c r="I1100" s="3">
        <v>1613</v>
      </c>
      <c r="J1100" s="1">
        <v>45546</v>
      </c>
      <c r="K1100" t="s">
        <v>31</v>
      </c>
      <c r="L1100" t="s">
        <v>9</v>
      </c>
      <c r="M1100" t="s">
        <v>37</v>
      </c>
      <c r="N1100" s="1">
        <f t="shared" si="102"/>
        <v>45546</v>
      </c>
      <c r="O1100" s="4">
        <f t="shared" si="103"/>
        <v>2.7406530197936051E-2</v>
      </c>
      <c r="P1100">
        <f t="shared" si="104"/>
        <v>1.432283950617284</v>
      </c>
      <c r="Q1100" s="2">
        <f t="shared" si="105"/>
        <v>19.335833333333333</v>
      </c>
      <c r="R1100" s="2">
        <f t="shared" si="106"/>
        <v>33.14714285714286</v>
      </c>
      <c r="S1100" s="2">
        <f t="shared" si="107"/>
        <v>6.9516872818170068</v>
      </c>
    </row>
    <row r="1101" spans="1:19" hidden="1">
      <c r="A1101" t="s">
        <v>1154</v>
      </c>
      <c r="B1101" t="s">
        <v>30</v>
      </c>
      <c r="C1101">
        <v>122</v>
      </c>
      <c r="D1101">
        <v>3440</v>
      </c>
      <c r="E1101" s="2">
        <v>206.78</v>
      </c>
      <c r="F1101">
        <v>20</v>
      </c>
      <c r="G1101">
        <v>3</v>
      </c>
      <c r="H1101">
        <v>2.5000000000000001E-2</v>
      </c>
      <c r="I1101" s="3">
        <v>1222</v>
      </c>
      <c r="J1101" s="1">
        <v>45620</v>
      </c>
      <c r="K1101" t="s">
        <v>31</v>
      </c>
      <c r="L1101" t="s">
        <v>9</v>
      </c>
      <c r="M1101" t="s">
        <v>41</v>
      </c>
      <c r="N1101" s="1">
        <f t="shared" si="102"/>
        <v>45620</v>
      </c>
      <c r="O1101" s="4">
        <f t="shared" si="103"/>
        <v>3.5465116279069765E-2</v>
      </c>
      <c r="P1101">
        <f t="shared" si="104"/>
        <v>1.6949180327868854</v>
      </c>
      <c r="Q1101" s="2">
        <f t="shared" si="105"/>
        <v>10.339</v>
      </c>
      <c r="R1101" s="2">
        <f t="shared" si="106"/>
        <v>68.926666666666662</v>
      </c>
      <c r="S1101" s="2">
        <f t="shared" si="107"/>
        <v>5.9096624431763223</v>
      </c>
    </row>
    <row r="1102" spans="1:19" hidden="1">
      <c r="A1102" t="s">
        <v>1155</v>
      </c>
      <c r="B1102" t="s">
        <v>30</v>
      </c>
      <c r="C1102">
        <v>89</v>
      </c>
      <c r="D1102">
        <v>4319</v>
      </c>
      <c r="E1102" s="2">
        <v>198.79</v>
      </c>
      <c r="F1102">
        <v>23</v>
      </c>
      <c r="G1102">
        <v>10</v>
      </c>
      <c r="H1102">
        <v>0.112</v>
      </c>
      <c r="I1102" s="3">
        <v>1980</v>
      </c>
      <c r="J1102" s="1" t="s">
        <v>43</v>
      </c>
      <c r="K1102" t="s">
        <v>31</v>
      </c>
      <c r="L1102" t="s">
        <v>8</v>
      </c>
      <c r="M1102" t="s">
        <v>32</v>
      </c>
      <c r="N1102" s="1">
        <f t="shared" si="102"/>
        <v>45612</v>
      </c>
      <c r="O1102" s="4">
        <f t="shared" si="103"/>
        <v>2.0606621903218339E-2</v>
      </c>
      <c r="P1102">
        <f t="shared" si="104"/>
        <v>2.2335955056179775</v>
      </c>
      <c r="Q1102" s="2">
        <f t="shared" si="105"/>
        <v>8.6430434782608696</v>
      </c>
      <c r="R1102" s="2">
        <f t="shared" si="106"/>
        <v>19.878999999999998</v>
      </c>
      <c r="S1102" s="2">
        <f t="shared" si="107"/>
        <v>9.9602595704009254</v>
      </c>
    </row>
    <row r="1103" spans="1:19" hidden="1">
      <c r="A1103" t="s">
        <v>1156</v>
      </c>
      <c r="B1103" t="s">
        <v>30</v>
      </c>
      <c r="C1103">
        <v>119</v>
      </c>
      <c r="D1103">
        <v>3956</v>
      </c>
      <c r="E1103" s="2">
        <v>188.53</v>
      </c>
      <c r="F1103">
        <v>20</v>
      </c>
      <c r="G1103">
        <v>5</v>
      </c>
      <c r="H1103">
        <v>4.3999999999999997E-2</v>
      </c>
      <c r="I1103" s="3">
        <v>1311</v>
      </c>
      <c r="J1103" s="1" t="s">
        <v>89</v>
      </c>
      <c r="K1103" t="s">
        <v>31</v>
      </c>
      <c r="L1103" t="s">
        <v>9</v>
      </c>
      <c r="M1103" t="s">
        <v>39</v>
      </c>
      <c r="N1103" s="1">
        <f t="shared" si="102"/>
        <v>45611</v>
      </c>
      <c r="O1103" s="4">
        <f t="shared" si="103"/>
        <v>3.0080889787664308E-2</v>
      </c>
      <c r="P1103">
        <f t="shared" si="104"/>
        <v>1.5842857142857143</v>
      </c>
      <c r="Q1103" s="2">
        <f t="shared" si="105"/>
        <v>9.4265000000000008</v>
      </c>
      <c r="R1103" s="2">
        <f t="shared" si="106"/>
        <v>37.706000000000003</v>
      </c>
      <c r="S1103" s="2">
        <f t="shared" si="107"/>
        <v>6.9538004561608231</v>
      </c>
    </row>
    <row r="1104" spans="1:19" hidden="1">
      <c r="A1104" t="s">
        <v>1157</v>
      </c>
      <c r="B1104" t="s">
        <v>30</v>
      </c>
      <c r="C1104">
        <v>155</v>
      </c>
      <c r="D1104">
        <v>4220</v>
      </c>
      <c r="E1104" s="2">
        <v>200.81</v>
      </c>
      <c r="F1104">
        <v>20</v>
      </c>
      <c r="G1104">
        <v>3</v>
      </c>
      <c r="H1104">
        <v>1.9E-2</v>
      </c>
      <c r="I1104" s="3">
        <v>1199</v>
      </c>
      <c r="J1104" s="1" t="s">
        <v>64</v>
      </c>
      <c r="K1104" t="s">
        <v>31</v>
      </c>
      <c r="L1104" t="s">
        <v>8</v>
      </c>
      <c r="M1104" t="s">
        <v>35</v>
      </c>
      <c r="N1104" s="1">
        <f t="shared" si="102"/>
        <v>45626</v>
      </c>
      <c r="O1104" s="4">
        <f t="shared" si="103"/>
        <v>3.6729857819905211E-2</v>
      </c>
      <c r="P1104">
        <f t="shared" si="104"/>
        <v>1.2955483870967741</v>
      </c>
      <c r="Q1104" s="2">
        <f t="shared" si="105"/>
        <v>10.0405</v>
      </c>
      <c r="R1104" s="2">
        <f t="shared" si="106"/>
        <v>66.936666666666667</v>
      </c>
      <c r="S1104" s="2">
        <f t="shared" si="107"/>
        <v>5.9708181863453014</v>
      </c>
    </row>
    <row r="1105" spans="1:19">
      <c r="A1105" t="s">
        <v>1158</v>
      </c>
      <c r="B1105" t="s">
        <v>30</v>
      </c>
      <c r="C1105">
        <v>139</v>
      </c>
      <c r="D1105">
        <v>3692</v>
      </c>
      <c r="E1105" s="2">
        <v>243.6</v>
      </c>
      <c r="F1105">
        <v>30</v>
      </c>
      <c r="G1105">
        <v>4</v>
      </c>
      <c r="H1105">
        <v>4.5999999999999999E-2</v>
      </c>
      <c r="I1105" s="3">
        <v>1954</v>
      </c>
      <c r="J1105" s="1">
        <v>45597</v>
      </c>
      <c r="K1105" t="s">
        <v>31</v>
      </c>
      <c r="L1105" t="s">
        <v>8</v>
      </c>
      <c r="M1105" t="s">
        <v>46</v>
      </c>
      <c r="N1105" s="1">
        <f t="shared" si="102"/>
        <v>45597</v>
      </c>
      <c r="O1105" s="4">
        <f t="shared" si="103"/>
        <v>3.7648970747562294E-2</v>
      </c>
      <c r="P1105">
        <f t="shared" si="104"/>
        <v>1.7525179856115107</v>
      </c>
      <c r="Q1105" s="2">
        <f t="shared" si="105"/>
        <v>8.1199999999999992</v>
      </c>
      <c r="R1105" s="2">
        <f t="shared" si="106"/>
        <v>60.9</v>
      </c>
      <c r="S1105" s="2">
        <f t="shared" si="107"/>
        <v>8.0213464696223316</v>
      </c>
    </row>
    <row r="1106" spans="1:19" hidden="1">
      <c r="A1106" t="s">
        <v>1159</v>
      </c>
      <c r="B1106" t="s">
        <v>30</v>
      </c>
      <c r="C1106">
        <v>179</v>
      </c>
      <c r="D1106">
        <v>4188</v>
      </c>
      <c r="E1106" s="2">
        <v>231.23</v>
      </c>
      <c r="F1106">
        <v>25</v>
      </c>
      <c r="G1106">
        <v>9</v>
      </c>
      <c r="H1106">
        <v>0.05</v>
      </c>
      <c r="I1106" s="3">
        <v>1936</v>
      </c>
      <c r="J1106" s="1" t="s">
        <v>348</v>
      </c>
      <c r="K1106" t="s">
        <v>31</v>
      </c>
      <c r="L1106" t="s">
        <v>8</v>
      </c>
      <c r="M1106" t="s">
        <v>41</v>
      </c>
      <c r="N1106" s="1">
        <f t="shared" si="102"/>
        <v>45615</v>
      </c>
      <c r="O1106" s="4">
        <f t="shared" si="103"/>
        <v>4.2741165234001913E-2</v>
      </c>
      <c r="P1106">
        <f t="shared" si="104"/>
        <v>1.2917877094972066</v>
      </c>
      <c r="Q1106" s="2">
        <f t="shared" si="105"/>
        <v>9.2492000000000001</v>
      </c>
      <c r="R1106" s="2">
        <f t="shared" si="106"/>
        <v>25.69222222222222</v>
      </c>
      <c r="S1106" s="2">
        <f t="shared" si="107"/>
        <v>8.3726160100333011</v>
      </c>
    </row>
    <row r="1107" spans="1:19">
      <c r="A1107" t="s">
        <v>1160</v>
      </c>
      <c r="B1107" t="s">
        <v>30</v>
      </c>
      <c r="C1107">
        <v>194</v>
      </c>
      <c r="D1107">
        <v>4518.5</v>
      </c>
      <c r="E1107" s="2">
        <v>217.93</v>
      </c>
      <c r="F1107">
        <v>29</v>
      </c>
      <c r="G1107">
        <v>7</v>
      </c>
      <c r="H1107">
        <v>4.5999999999999999E-2</v>
      </c>
      <c r="I1107" s="3">
        <v>1457</v>
      </c>
      <c r="J1107" s="1">
        <v>45621</v>
      </c>
      <c r="K1107" t="s">
        <v>31</v>
      </c>
      <c r="L1107" t="s">
        <v>8</v>
      </c>
      <c r="M1107" t="s">
        <v>35</v>
      </c>
      <c r="N1107" s="1">
        <f t="shared" si="102"/>
        <v>45621</v>
      </c>
      <c r="O1107" s="4">
        <f t="shared" si="103"/>
        <v>4.2934602190992585E-2</v>
      </c>
      <c r="P1107">
        <f t="shared" si="104"/>
        <v>1.1233505154639176</v>
      </c>
      <c r="Q1107" s="2">
        <f t="shared" si="105"/>
        <v>7.5148275862068967</v>
      </c>
      <c r="R1107" s="2">
        <f t="shared" si="106"/>
        <v>31.132857142857144</v>
      </c>
      <c r="S1107" s="2">
        <f t="shared" si="107"/>
        <v>6.6856330014224747</v>
      </c>
    </row>
    <row r="1108" spans="1:19" hidden="1">
      <c r="A1108" t="s">
        <v>1161</v>
      </c>
      <c r="B1108" t="s">
        <v>30</v>
      </c>
      <c r="C1108">
        <v>101</v>
      </c>
      <c r="D1108">
        <v>3401</v>
      </c>
      <c r="E1108" s="2">
        <v>194.12</v>
      </c>
      <c r="F1108">
        <v>27</v>
      </c>
      <c r="G1108">
        <v>3</v>
      </c>
      <c r="H1108">
        <v>0.03</v>
      </c>
      <c r="I1108" s="3">
        <v>1721</v>
      </c>
      <c r="J1108" s="1">
        <v>45607</v>
      </c>
      <c r="K1108" t="s">
        <v>31</v>
      </c>
      <c r="L1108" t="s">
        <v>8</v>
      </c>
      <c r="M1108" t="s">
        <v>32</v>
      </c>
      <c r="N1108" s="1">
        <f t="shared" si="102"/>
        <v>45607</v>
      </c>
      <c r="O1108" s="4">
        <f t="shared" si="103"/>
        <v>2.9697147897677155E-2</v>
      </c>
      <c r="P1108">
        <f t="shared" si="104"/>
        <v>1.9219801980198021</v>
      </c>
      <c r="Q1108" s="2">
        <f t="shared" si="105"/>
        <v>7.1896296296296294</v>
      </c>
      <c r="R1108" s="2">
        <f t="shared" si="106"/>
        <v>64.706666666666663</v>
      </c>
      <c r="S1108" s="2">
        <f t="shared" si="107"/>
        <v>8.8656501133319594</v>
      </c>
    </row>
    <row r="1109" spans="1:19" hidden="1">
      <c r="A1109" t="s">
        <v>1162</v>
      </c>
      <c r="B1109" t="s">
        <v>30</v>
      </c>
      <c r="C1109">
        <v>110</v>
      </c>
      <c r="D1109">
        <v>3382</v>
      </c>
      <c r="E1109" s="2">
        <v>249.88</v>
      </c>
      <c r="F1109">
        <v>17</v>
      </c>
      <c r="G1109">
        <v>6</v>
      </c>
      <c r="H1109">
        <v>4.3999999999999997E-2</v>
      </c>
      <c r="I1109" s="3">
        <v>1327</v>
      </c>
      <c r="J1109" s="1">
        <v>45618</v>
      </c>
      <c r="K1109" t="s">
        <v>31</v>
      </c>
      <c r="L1109" t="s">
        <v>8</v>
      </c>
      <c r="M1109" t="s">
        <v>32</v>
      </c>
      <c r="N1109" s="1">
        <f t="shared" si="102"/>
        <v>45618</v>
      </c>
      <c r="O1109" s="4">
        <f t="shared" si="103"/>
        <v>3.2525133057362508E-2</v>
      </c>
      <c r="P1109">
        <f t="shared" si="104"/>
        <v>2.2716363636363637</v>
      </c>
      <c r="Q1109" s="2">
        <f t="shared" si="105"/>
        <v>14.698823529411765</v>
      </c>
      <c r="R1109" s="2">
        <f t="shared" si="106"/>
        <v>41.646666666666668</v>
      </c>
      <c r="S1109" s="2">
        <f t="shared" si="107"/>
        <v>5.3105490635505044</v>
      </c>
    </row>
    <row r="1110" spans="1:19" hidden="1">
      <c r="A1110" t="s">
        <v>1163</v>
      </c>
      <c r="B1110" t="s">
        <v>30</v>
      </c>
      <c r="C1110">
        <v>179</v>
      </c>
      <c r="D1110">
        <v>5366</v>
      </c>
      <c r="E1110" s="2">
        <v>204.5</v>
      </c>
      <c r="F1110">
        <v>20</v>
      </c>
      <c r="G1110">
        <v>9</v>
      </c>
      <c r="H1110">
        <v>0.05</v>
      </c>
      <c r="I1110" s="3">
        <v>1510</v>
      </c>
      <c r="J1110" s="1" t="s">
        <v>73</v>
      </c>
      <c r="K1110" t="s">
        <v>31</v>
      </c>
      <c r="L1110" t="s">
        <v>9</v>
      </c>
      <c r="M1110" t="s">
        <v>37</v>
      </c>
      <c r="N1110" s="1">
        <f t="shared" si="102"/>
        <v>45618</v>
      </c>
      <c r="O1110" s="4">
        <f t="shared" si="103"/>
        <v>3.3358181140514351E-2</v>
      </c>
      <c r="P1110">
        <f t="shared" si="104"/>
        <v>1.1424581005586592</v>
      </c>
      <c r="Q1110" s="2">
        <f t="shared" si="105"/>
        <v>10.225</v>
      </c>
      <c r="R1110" s="2">
        <f t="shared" si="106"/>
        <v>22.722222222222221</v>
      </c>
      <c r="S1110" s="2">
        <f t="shared" si="107"/>
        <v>7.3838630806845966</v>
      </c>
    </row>
    <row r="1111" spans="1:19" hidden="1">
      <c r="A1111" t="s">
        <v>1164</v>
      </c>
      <c r="B1111" t="s">
        <v>30</v>
      </c>
      <c r="C1111">
        <v>193</v>
      </c>
      <c r="D1111">
        <v>4611</v>
      </c>
      <c r="E1111" s="2">
        <v>197.28</v>
      </c>
      <c r="F1111">
        <v>27</v>
      </c>
      <c r="G1111">
        <v>10</v>
      </c>
      <c r="H1111">
        <v>3.4000000000000002E-2</v>
      </c>
      <c r="I1111" s="3">
        <v>1701</v>
      </c>
      <c r="J1111" s="1" t="s">
        <v>86</v>
      </c>
      <c r="K1111" t="s">
        <v>31</v>
      </c>
      <c r="L1111" t="s">
        <v>8</v>
      </c>
      <c r="M1111" t="s">
        <v>35</v>
      </c>
      <c r="N1111" s="1">
        <f t="shared" si="102"/>
        <v>45625</v>
      </c>
      <c r="O1111" s="4">
        <f t="shared" si="103"/>
        <v>4.1856430275428326E-2</v>
      </c>
      <c r="P1111">
        <f t="shared" si="104"/>
        <v>1.0221761658031088</v>
      </c>
      <c r="Q1111" s="2">
        <f t="shared" si="105"/>
        <v>7.3066666666666666</v>
      </c>
      <c r="R1111" s="2">
        <f t="shared" si="106"/>
        <v>19.728000000000002</v>
      </c>
      <c r="S1111" s="2">
        <f t="shared" si="107"/>
        <v>8.6222627737226283</v>
      </c>
    </row>
    <row r="1112" spans="1:19" hidden="1">
      <c r="A1112" t="s">
        <v>1165</v>
      </c>
      <c r="B1112" t="s">
        <v>30</v>
      </c>
      <c r="C1112">
        <v>188</v>
      </c>
      <c r="D1112">
        <v>4447</v>
      </c>
      <c r="E1112" s="2">
        <v>234.18</v>
      </c>
      <c r="F1112">
        <v>14</v>
      </c>
      <c r="G1112">
        <v>8</v>
      </c>
      <c r="H1112">
        <v>4.4999999999999998E-2</v>
      </c>
      <c r="I1112" s="3">
        <v>1449</v>
      </c>
      <c r="J1112" s="1">
        <v>45613</v>
      </c>
      <c r="K1112" t="s">
        <v>31</v>
      </c>
      <c r="L1112" t="s">
        <v>8</v>
      </c>
      <c r="M1112" t="s">
        <v>46</v>
      </c>
      <c r="N1112" s="1">
        <f t="shared" si="102"/>
        <v>45613</v>
      </c>
      <c r="O1112" s="4">
        <f t="shared" si="103"/>
        <v>4.2275691477400491E-2</v>
      </c>
      <c r="P1112">
        <f t="shared" si="104"/>
        <v>1.2456382978723404</v>
      </c>
      <c r="Q1112" s="2">
        <f t="shared" si="105"/>
        <v>16.727142857142859</v>
      </c>
      <c r="R1112" s="2">
        <f t="shared" si="106"/>
        <v>29.272500000000001</v>
      </c>
      <c r="S1112" s="2">
        <f t="shared" si="107"/>
        <v>6.1875480399692542</v>
      </c>
    </row>
    <row r="1113" spans="1:19">
      <c r="A1113" t="s">
        <v>1166</v>
      </c>
      <c r="B1113" t="s">
        <v>30</v>
      </c>
      <c r="C1113">
        <v>139</v>
      </c>
      <c r="D1113">
        <v>4075</v>
      </c>
      <c r="E1113" s="2">
        <v>211.41</v>
      </c>
      <c r="F1113">
        <v>11</v>
      </c>
      <c r="G1113">
        <v>7</v>
      </c>
      <c r="H1113">
        <v>4.5999999999999999E-2</v>
      </c>
      <c r="I1113" s="3">
        <v>1764</v>
      </c>
      <c r="J1113" s="1">
        <v>45604</v>
      </c>
      <c r="K1113" t="s">
        <v>31</v>
      </c>
      <c r="L1113" t="s">
        <v>9</v>
      </c>
      <c r="M1113" t="s">
        <v>37</v>
      </c>
      <c r="N1113" s="1">
        <f t="shared" si="102"/>
        <v>45604</v>
      </c>
      <c r="O1113" s="4">
        <f t="shared" si="103"/>
        <v>3.4110429447852759E-2</v>
      </c>
      <c r="P1113">
        <f t="shared" si="104"/>
        <v>1.520935251798561</v>
      </c>
      <c r="Q1113" s="2">
        <f t="shared" si="105"/>
        <v>19.219090909090909</v>
      </c>
      <c r="R1113" s="2">
        <f t="shared" si="106"/>
        <v>30.201428571428572</v>
      </c>
      <c r="S1113" s="2">
        <f t="shared" si="107"/>
        <v>8.3439761600681148</v>
      </c>
    </row>
    <row r="1114" spans="1:19" hidden="1">
      <c r="A1114" t="s">
        <v>1167</v>
      </c>
      <c r="B1114" t="s">
        <v>30</v>
      </c>
      <c r="C1114">
        <v>177</v>
      </c>
      <c r="D1114">
        <v>4230</v>
      </c>
      <c r="E1114" s="2">
        <v>213.46</v>
      </c>
      <c r="F1114">
        <v>15</v>
      </c>
      <c r="G1114">
        <v>4</v>
      </c>
      <c r="H1114">
        <v>2.3E-2</v>
      </c>
      <c r="I1114" s="3">
        <v>1389</v>
      </c>
      <c r="J1114" s="1">
        <v>45602</v>
      </c>
      <c r="K1114" t="s">
        <v>31</v>
      </c>
      <c r="L1114" t="s">
        <v>7</v>
      </c>
      <c r="M1114" t="s">
        <v>46</v>
      </c>
      <c r="N1114" s="1">
        <f t="shared" si="102"/>
        <v>45602</v>
      </c>
      <c r="O1114" s="4">
        <f t="shared" si="103"/>
        <v>4.1843971631205672E-2</v>
      </c>
      <c r="P1114">
        <f t="shared" si="104"/>
        <v>1.2059887005649719</v>
      </c>
      <c r="Q1114" s="2">
        <f t="shared" si="105"/>
        <v>14.230666666666668</v>
      </c>
      <c r="R1114" s="2">
        <f t="shared" si="106"/>
        <v>53.365000000000002</v>
      </c>
      <c r="S1114" s="2">
        <f t="shared" si="107"/>
        <v>6.5070739248571154</v>
      </c>
    </row>
    <row r="1115" spans="1:19" hidden="1">
      <c r="A1115" t="s">
        <v>1168</v>
      </c>
      <c r="B1115" t="s">
        <v>30</v>
      </c>
      <c r="C1115">
        <v>152</v>
      </c>
      <c r="D1115">
        <v>3729</v>
      </c>
      <c r="E1115" s="2">
        <v>214.23</v>
      </c>
      <c r="F1115">
        <v>22</v>
      </c>
      <c r="G1115">
        <v>7</v>
      </c>
      <c r="H1115">
        <v>4.7E-2</v>
      </c>
      <c r="I1115" s="3">
        <v>2000</v>
      </c>
      <c r="J1115" s="1" t="s">
        <v>34</v>
      </c>
      <c r="K1115" t="s">
        <v>31</v>
      </c>
      <c r="L1115" t="s">
        <v>9</v>
      </c>
      <c r="M1115" t="s">
        <v>46</v>
      </c>
      <c r="N1115" s="1">
        <f t="shared" si="102"/>
        <v>45616</v>
      </c>
      <c r="O1115" s="4">
        <f t="shared" si="103"/>
        <v>4.0761598283722181E-2</v>
      </c>
      <c r="P1115">
        <f t="shared" si="104"/>
        <v>1.409407894736842</v>
      </c>
      <c r="Q1115" s="2">
        <f t="shared" si="105"/>
        <v>9.7377272727272715</v>
      </c>
      <c r="R1115" s="2">
        <f t="shared" si="106"/>
        <v>30.604285714285712</v>
      </c>
      <c r="S1115" s="2">
        <f t="shared" si="107"/>
        <v>9.3357606310974184</v>
      </c>
    </row>
    <row r="1116" spans="1:19" hidden="1">
      <c r="A1116" t="s">
        <v>1169</v>
      </c>
      <c r="B1116" t="s">
        <v>30</v>
      </c>
      <c r="C1116">
        <v>168</v>
      </c>
      <c r="D1116">
        <v>4710</v>
      </c>
      <c r="E1116" s="2">
        <v>214.49</v>
      </c>
      <c r="F1116">
        <v>15</v>
      </c>
      <c r="G1116">
        <v>9</v>
      </c>
      <c r="H1116">
        <v>5.3999999999999999E-2</v>
      </c>
      <c r="I1116" s="3">
        <v>1466</v>
      </c>
      <c r="J1116" s="1" t="s">
        <v>167</v>
      </c>
      <c r="K1116" t="s">
        <v>31</v>
      </c>
      <c r="L1116" t="s">
        <v>8</v>
      </c>
      <c r="M1116" t="s">
        <v>39</v>
      </c>
      <c r="N1116" s="1">
        <f t="shared" si="102"/>
        <v>45620</v>
      </c>
      <c r="O1116" s="4">
        <f t="shared" si="103"/>
        <v>3.5668789808917196E-2</v>
      </c>
      <c r="P1116">
        <f t="shared" si="104"/>
        <v>1.2767261904761906</v>
      </c>
      <c r="Q1116" s="2">
        <f t="shared" si="105"/>
        <v>14.299333333333333</v>
      </c>
      <c r="R1116" s="2">
        <f t="shared" si="106"/>
        <v>23.832222222222224</v>
      </c>
      <c r="S1116" s="2">
        <f t="shared" si="107"/>
        <v>6.834817474008112</v>
      </c>
    </row>
    <row r="1117" spans="1:19" hidden="1">
      <c r="A1117" t="s">
        <v>1170</v>
      </c>
      <c r="B1117" t="s">
        <v>30</v>
      </c>
      <c r="C1117">
        <v>171</v>
      </c>
      <c r="D1117">
        <v>5332</v>
      </c>
      <c r="E1117" s="2">
        <v>229.69</v>
      </c>
      <c r="F1117">
        <v>11</v>
      </c>
      <c r="G1117">
        <v>3</v>
      </c>
      <c r="H1117">
        <v>1.7999999999999999E-2</v>
      </c>
      <c r="I1117" s="3">
        <v>1685</v>
      </c>
      <c r="J1117" s="1">
        <v>45362</v>
      </c>
      <c r="K1117" t="s">
        <v>31</v>
      </c>
      <c r="L1117" t="s">
        <v>8</v>
      </c>
      <c r="M1117" t="s">
        <v>35</v>
      </c>
      <c r="N1117" s="1">
        <f t="shared" si="102"/>
        <v>45362</v>
      </c>
      <c r="O1117" s="4">
        <f t="shared" si="103"/>
        <v>3.2070517629407352E-2</v>
      </c>
      <c r="P1117">
        <f t="shared" si="104"/>
        <v>1.3432163742690058</v>
      </c>
      <c r="Q1117" s="2">
        <f t="shared" si="105"/>
        <v>20.880909090909089</v>
      </c>
      <c r="R1117" s="2">
        <f t="shared" si="106"/>
        <v>76.563333333333333</v>
      </c>
      <c r="S1117" s="2">
        <f t="shared" si="107"/>
        <v>7.3359745744264009</v>
      </c>
    </row>
    <row r="1118" spans="1:19">
      <c r="A1118" t="s">
        <v>1171</v>
      </c>
      <c r="B1118" t="s">
        <v>30</v>
      </c>
      <c r="C1118">
        <v>150</v>
      </c>
      <c r="D1118">
        <v>3833</v>
      </c>
      <c r="E1118" s="2">
        <v>202.55</v>
      </c>
      <c r="F1118">
        <v>29</v>
      </c>
      <c r="G1118">
        <v>10</v>
      </c>
      <c r="H1118">
        <v>4.5999999999999999E-2</v>
      </c>
      <c r="I1118" s="3">
        <v>1509</v>
      </c>
      <c r="J1118" s="1">
        <v>45576</v>
      </c>
      <c r="K1118" t="s">
        <v>31</v>
      </c>
      <c r="L1118" t="s">
        <v>9</v>
      </c>
      <c r="M1118" t="s">
        <v>32</v>
      </c>
      <c r="N1118" s="1">
        <f t="shared" si="102"/>
        <v>45576</v>
      </c>
      <c r="O1118" s="4">
        <f t="shared" si="103"/>
        <v>3.913383772501957E-2</v>
      </c>
      <c r="P1118">
        <f t="shared" si="104"/>
        <v>1.3503333333333334</v>
      </c>
      <c r="Q1118" s="2">
        <f t="shared" si="105"/>
        <v>6.9844827586206897</v>
      </c>
      <c r="R1118" s="2">
        <f t="shared" si="106"/>
        <v>20.255000000000003</v>
      </c>
      <c r="S1118" s="2">
        <f t="shared" si="107"/>
        <v>7.4500123426314486</v>
      </c>
    </row>
    <row r="1119" spans="1:19">
      <c r="A1119" t="s">
        <v>1172</v>
      </c>
      <c r="B1119" t="s">
        <v>30</v>
      </c>
      <c r="C1119">
        <v>139</v>
      </c>
      <c r="D1119">
        <v>4833</v>
      </c>
      <c r="E1119" s="2">
        <v>193.96</v>
      </c>
      <c r="F1119">
        <v>23</v>
      </c>
      <c r="G1119">
        <v>9</v>
      </c>
      <c r="H1119">
        <v>4.5999999999999999E-2</v>
      </c>
      <c r="I1119" s="3">
        <v>1987</v>
      </c>
      <c r="J1119" s="1">
        <v>45612</v>
      </c>
      <c r="K1119" t="s">
        <v>31</v>
      </c>
      <c r="L1119" t="s">
        <v>8</v>
      </c>
      <c r="M1119" t="s">
        <v>41</v>
      </c>
      <c r="N1119" s="1">
        <f t="shared" si="102"/>
        <v>45612</v>
      </c>
      <c r="O1119" s="4">
        <f t="shared" si="103"/>
        <v>2.8760604179598592E-2</v>
      </c>
      <c r="P1119">
        <f t="shared" si="104"/>
        <v>1.3953956834532375</v>
      </c>
      <c r="Q1119" s="2">
        <f t="shared" si="105"/>
        <v>8.4330434782608705</v>
      </c>
      <c r="R1119" s="2">
        <f t="shared" si="106"/>
        <v>21.551111111111112</v>
      </c>
      <c r="S1119" s="2">
        <f t="shared" si="107"/>
        <v>10.244380284594762</v>
      </c>
    </row>
    <row r="1120" spans="1:19">
      <c r="A1120" t="s">
        <v>1173</v>
      </c>
      <c r="B1120" t="s">
        <v>30</v>
      </c>
      <c r="C1120">
        <v>174</v>
      </c>
      <c r="D1120">
        <v>4720</v>
      </c>
      <c r="E1120" s="2">
        <v>215.57</v>
      </c>
      <c r="F1120">
        <v>25</v>
      </c>
      <c r="G1120">
        <v>10</v>
      </c>
      <c r="H1120">
        <v>4.5999999999999999E-2</v>
      </c>
      <c r="I1120" s="3">
        <v>1209</v>
      </c>
      <c r="J1120" s="1" t="s">
        <v>94</v>
      </c>
      <c r="K1120" t="s">
        <v>31</v>
      </c>
      <c r="L1120" t="s">
        <v>9</v>
      </c>
      <c r="M1120" t="s">
        <v>46</v>
      </c>
      <c r="N1120" s="1">
        <f t="shared" si="102"/>
        <v>45617</v>
      </c>
      <c r="O1120" s="4">
        <f t="shared" si="103"/>
        <v>3.6864406779661019E-2</v>
      </c>
      <c r="P1120">
        <f t="shared" si="104"/>
        <v>1.2389080459770114</v>
      </c>
      <c r="Q1120" s="2">
        <f t="shared" si="105"/>
        <v>8.6227999999999998</v>
      </c>
      <c r="R1120" s="2">
        <f t="shared" si="106"/>
        <v>21.556999999999999</v>
      </c>
      <c r="S1120" s="2">
        <f t="shared" si="107"/>
        <v>5.6083870668460358</v>
      </c>
    </row>
    <row r="1121" spans="1:19">
      <c r="A1121" t="s">
        <v>1174</v>
      </c>
      <c r="B1121" t="s">
        <v>30</v>
      </c>
      <c r="C1121">
        <v>127</v>
      </c>
      <c r="D1121">
        <v>3131</v>
      </c>
      <c r="E1121" s="2">
        <v>227.93</v>
      </c>
      <c r="F1121">
        <v>24</v>
      </c>
      <c r="G1121">
        <v>7</v>
      </c>
      <c r="H1121">
        <v>4.5999999999999999E-2</v>
      </c>
      <c r="I1121" s="3">
        <v>1571</v>
      </c>
      <c r="J1121" s="1" t="s">
        <v>50</v>
      </c>
      <c r="K1121" t="s">
        <v>31</v>
      </c>
      <c r="L1121" t="s">
        <v>7</v>
      </c>
      <c r="M1121" t="s">
        <v>39</v>
      </c>
      <c r="N1121" s="1">
        <f t="shared" si="102"/>
        <v>45610</v>
      </c>
      <c r="O1121" s="4">
        <f t="shared" si="103"/>
        <v>4.0562120728201853E-2</v>
      </c>
      <c r="P1121">
        <f t="shared" si="104"/>
        <v>1.7947244094488191</v>
      </c>
      <c r="Q1121" s="2">
        <f t="shared" si="105"/>
        <v>9.4970833333333342</v>
      </c>
      <c r="R1121" s="2">
        <f t="shared" si="106"/>
        <v>32.561428571428571</v>
      </c>
      <c r="S1121" s="2">
        <f t="shared" si="107"/>
        <v>6.8924669854779976</v>
      </c>
    </row>
    <row r="1122" spans="1:19" hidden="1">
      <c r="A1122" t="s">
        <v>1175</v>
      </c>
      <c r="B1122" t="s">
        <v>30</v>
      </c>
      <c r="C1122">
        <v>148</v>
      </c>
      <c r="D1122">
        <v>5147</v>
      </c>
      <c r="E1122" s="2">
        <v>244.42</v>
      </c>
      <c r="F1122">
        <v>18</v>
      </c>
      <c r="G1122">
        <v>4</v>
      </c>
      <c r="H1122">
        <v>4.4999999999999998E-2</v>
      </c>
      <c r="I1122" s="3">
        <v>1348</v>
      </c>
      <c r="J1122" s="1" t="s">
        <v>64</v>
      </c>
      <c r="K1122" t="s">
        <v>31</v>
      </c>
      <c r="L1122" t="s">
        <v>7</v>
      </c>
      <c r="M1122" t="s">
        <v>37</v>
      </c>
      <c r="N1122" s="1">
        <f t="shared" si="102"/>
        <v>45626</v>
      </c>
      <c r="O1122" s="4">
        <f t="shared" si="103"/>
        <v>2.8754614338449582E-2</v>
      </c>
      <c r="P1122">
        <f t="shared" si="104"/>
        <v>1.6514864864864864</v>
      </c>
      <c r="Q1122" s="2">
        <f t="shared" si="105"/>
        <v>13.578888888888889</v>
      </c>
      <c r="R1122" s="2">
        <f t="shared" si="106"/>
        <v>61.104999999999997</v>
      </c>
      <c r="S1122" s="2">
        <f t="shared" si="107"/>
        <v>5.515096964241879</v>
      </c>
    </row>
    <row r="1123" spans="1:19" hidden="1">
      <c r="A1123" t="s">
        <v>1176</v>
      </c>
      <c r="B1123" t="s">
        <v>30</v>
      </c>
      <c r="C1123">
        <v>112</v>
      </c>
      <c r="D1123">
        <v>5288</v>
      </c>
      <c r="E1123" s="2">
        <v>246.27</v>
      </c>
      <c r="F1123">
        <v>26</v>
      </c>
      <c r="G1123">
        <v>10</v>
      </c>
      <c r="H1123">
        <v>8.8999999999999996E-2</v>
      </c>
      <c r="I1123" s="3">
        <v>1505</v>
      </c>
      <c r="J1123" s="1">
        <v>45606</v>
      </c>
      <c r="K1123" t="s">
        <v>31</v>
      </c>
      <c r="L1123" t="s">
        <v>8</v>
      </c>
      <c r="M1123" t="s">
        <v>39</v>
      </c>
      <c r="N1123" s="1">
        <f t="shared" si="102"/>
        <v>45606</v>
      </c>
      <c r="O1123" s="4">
        <f t="shared" si="103"/>
        <v>2.118003025718608E-2</v>
      </c>
      <c r="P1123">
        <f t="shared" si="104"/>
        <v>2.198839285714286</v>
      </c>
      <c r="Q1123" s="2">
        <f t="shared" si="105"/>
        <v>9.471923076923078</v>
      </c>
      <c r="R1123" s="2">
        <f t="shared" si="106"/>
        <v>24.627000000000002</v>
      </c>
      <c r="S1123" s="2">
        <f t="shared" si="107"/>
        <v>6.1111787875096439</v>
      </c>
    </row>
    <row r="1124" spans="1:19">
      <c r="A1124" t="s">
        <v>1177</v>
      </c>
      <c r="B1124" t="s">
        <v>30</v>
      </c>
      <c r="C1124">
        <v>184</v>
      </c>
      <c r="D1124">
        <v>3908</v>
      </c>
      <c r="E1124" s="2">
        <v>240.68</v>
      </c>
      <c r="F1124">
        <v>15</v>
      </c>
      <c r="G1124">
        <v>7</v>
      </c>
      <c r="H1124">
        <v>4.5999999999999999E-2</v>
      </c>
      <c r="I1124" s="3">
        <v>1332</v>
      </c>
      <c r="J1124" s="1">
        <v>45619</v>
      </c>
      <c r="K1124" t="s">
        <v>31</v>
      </c>
      <c r="L1124" t="s">
        <v>9</v>
      </c>
      <c r="M1124" t="s">
        <v>46</v>
      </c>
      <c r="N1124" s="1">
        <f t="shared" si="102"/>
        <v>45619</v>
      </c>
      <c r="O1124" s="4">
        <f t="shared" si="103"/>
        <v>4.7082906857727737E-2</v>
      </c>
      <c r="P1124">
        <f t="shared" si="104"/>
        <v>1.3080434782608696</v>
      </c>
      <c r="Q1124" s="2">
        <f t="shared" si="105"/>
        <v>16.045333333333335</v>
      </c>
      <c r="R1124" s="2">
        <f t="shared" si="106"/>
        <v>34.382857142857141</v>
      </c>
      <c r="S1124" s="2">
        <f t="shared" si="107"/>
        <v>5.5343194282865218</v>
      </c>
    </row>
    <row r="1125" spans="1:19" hidden="1">
      <c r="A1125" t="s">
        <v>1178</v>
      </c>
      <c r="B1125" t="s">
        <v>30</v>
      </c>
      <c r="C1125">
        <v>116</v>
      </c>
      <c r="D1125">
        <v>3380</v>
      </c>
      <c r="E1125" s="2">
        <v>196.75</v>
      </c>
      <c r="F1125">
        <v>23</v>
      </c>
      <c r="G1125">
        <v>9</v>
      </c>
      <c r="H1125">
        <v>3.3000000000000002E-2</v>
      </c>
      <c r="I1125" s="3">
        <v>1434</v>
      </c>
      <c r="J1125" s="1">
        <v>45602</v>
      </c>
      <c r="K1125" t="s">
        <v>31</v>
      </c>
      <c r="L1125" t="s">
        <v>8</v>
      </c>
      <c r="M1125" t="s">
        <v>46</v>
      </c>
      <c r="N1125" s="1">
        <f t="shared" si="102"/>
        <v>45602</v>
      </c>
      <c r="O1125" s="4">
        <f t="shared" si="103"/>
        <v>3.4319526627218933E-2</v>
      </c>
      <c r="P1125">
        <f t="shared" si="104"/>
        <v>1.6961206896551724</v>
      </c>
      <c r="Q1125" s="2">
        <f t="shared" si="105"/>
        <v>8.554347826086957</v>
      </c>
      <c r="R1125" s="2">
        <f t="shared" si="106"/>
        <v>21.861111111111111</v>
      </c>
      <c r="S1125" s="2">
        <f t="shared" si="107"/>
        <v>7.2884371029224901</v>
      </c>
    </row>
    <row r="1126" spans="1:19" hidden="1">
      <c r="A1126" t="s">
        <v>1179</v>
      </c>
      <c r="B1126" t="s">
        <v>30</v>
      </c>
      <c r="C1126">
        <v>152</v>
      </c>
      <c r="D1126">
        <v>3948</v>
      </c>
      <c r="E1126" s="2">
        <v>189.73</v>
      </c>
      <c r="F1126">
        <v>17</v>
      </c>
      <c r="G1126">
        <v>5</v>
      </c>
      <c r="H1126">
        <v>5.2999999999999999E-2</v>
      </c>
      <c r="I1126" s="3">
        <v>1851</v>
      </c>
      <c r="J1126" s="1">
        <v>45622</v>
      </c>
      <c r="K1126" t="s">
        <v>31</v>
      </c>
      <c r="L1126" t="s">
        <v>8</v>
      </c>
      <c r="M1126" t="s">
        <v>46</v>
      </c>
      <c r="N1126" s="1">
        <f t="shared" si="102"/>
        <v>45622</v>
      </c>
      <c r="O1126" s="4">
        <f t="shared" si="103"/>
        <v>3.8500506585612972E-2</v>
      </c>
      <c r="P1126">
        <f t="shared" si="104"/>
        <v>1.2482236842105263</v>
      </c>
      <c r="Q1126" s="2">
        <f t="shared" si="105"/>
        <v>11.160588235294117</v>
      </c>
      <c r="R1126" s="2">
        <f t="shared" si="106"/>
        <v>37.945999999999998</v>
      </c>
      <c r="S1126" s="2">
        <f t="shared" si="107"/>
        <v>9.7559690085911566</v>
      </c>
    </row>
    <row r="1127" spans="1:19" hidden="1">
      <c r="A1127" t="s">
        <v>1180</v>
      </c>
      <c r="B1127" t="s">
        <v>30</v>
      </c>
      <c r="C1127">
        <v>197</v>
      </c>
      <c r="D1127">
        <v>3741</v>
      </c>
      <c r="E1127" s="2">
        <v>210.33</v>
      </c>
      <c r="F1127">
        <v>24</v>
      </c>
      <c r="G1127">
        <v>9</v>
      </c>
      <c r="H1127">
        <v>4.5999999999999999E-2</v>
      </c>
      <c r="I1127" s="3">
        <v>1883</v>
      </c>
      <c r="J1127" s="1" t="s">
        <v>100</v>
      </c>
      <c r="K1127" t="s">
        <v>31</v>
      </c>
      <c r="L1127" t="s">
        <v>7</v>
      </c>
      <c r="M1127" t="s">
        <v>35</v>
      </c>
      <c r="N1127" s="1">
        <f t="shared" si="102"/>
        <v>45622</v>
      </c>
      <c r="O1127" s="4">
        <f t="shared" si="103"/>
        <v>5.2659716653301256E-2</v>
      </c>
      <c r="P1127">
        <f t="shared" si="104"/>
        <v>1.0676649746192894</v>
      </c>
      <c r="Q1127" s="2">
        <f t="shared" si="105"/>
        <v>8.7637499999999999</v>
      </c>
      <c r="R1127" s="2">
        <f t="shared" si="106"/>
        <v>23.37</v>
      </c>
      <c r="S1127" s="2">
        <f t="shared" si="107"/>
        <v>8.9525982979128038</v>
      </c>
    </row>
    <row r="1128" spans="1:19" hidden="1">
      <c r="A1128" t="s">
        <v>1181</v>
      </c>
      <c r="B1128" t="s">
        <v>30</v>
      </c>
      <c r="C1128">
        <v>115</v>
      </c>
      <c r="D1128">
        <v>5836</v>
      </c>
      <c r="E1128" s="2">
        <v>233.52</v>
      </c>
      <c r="F1128">
        <v>21</v>
      </c>
      <c r="G1128">
        <v>6</v>
      </c>
      <c r="H1128">
        <v>5.1999999999999998E-2</v>
      </c>
      <c r="I1128" s="3">
        <v>1301</v>
      </c>
      <c r="J1128" s="1">
        <v>45604</v>
      </c>
      <c r="K1128" t="s">
        <v>31</v>
      </c>
      <c r="L1128" t="s">
        <v>8</v>
      </c>
      <c r="M1128" t="s">
        <v>32</v>
      </c>
      <c r="N1128" s="1">
        <f t="shared" si="102"/>
        <v>45604</v>
      </c>
      <c r="O1128" s="4">
        <f t="shared" si="103"/>
        <v>1.9705277587388624E-2</v>
      </c>
      <c r="P1128">
        <f t="shared" si="104"/>
        <v>2.0306086956521741</v>
      </c>
      <c r="Q1128" s="2">
        <f t="shared" si="105"/>
        <v>11.120000000000001</v>
      </c>
      <c r="R1128" s="2">
        <f t="shared" si="106"/>
        <v>38.92</v>
      </c>
      <c r="S1128" s="2">
        <f t="shared" si="107"/>
        <v>5.5712572798903732</v>
      </c>
    </row>
    <row r="1129" spans="1:19" hidden="1">
      <c r="A1129" t="s">
        <v>1182</v>
      </c>
      <c r="B1129" t="s">
        <v>30</v>
      </c>
      <c r="C1129">
        <v>192</v>
      </c>
      <c r="D1129">
        <v>3381</v>
      </c>
      <c r="E1129" s="2">
        <v>219.26</v>
      </c>
      <c r="F1129">
        <v>28</v>
      </c>
      <c r="G1129">
        <v>7</v>
      </c>
      <c r="H1129">
        <v>3.5999999999999997E-2</v>
      </c>
      <c r="I1129" s="3">
        <v>1377</v>
      </c>
      <c r="J1129" s="1">
        <v>45611</v>
      </c>
      <c r="K1129" t="s">
        <v>31</v>
      </c>
      <c r="L1129" t="s">
        <v>8</v>
      </c>
      <c r="M1129" t="s">
        <v>41</v>
      </c>
      <c r="N1129" s="1">
        <f t="shared" si="102"/>
        <v>45611</v>
      </c>
      <c r="O1129" s="4">
        <f t="shared" si="103"/>
        <v>5.6787932564330082E-2</v>
      </c>
      <c r="P1129">
        <f t="shared" si="104"/>
        <v>1.1419791666666665</v>
      </c>
      <c r="Q1129" s="2">
        <f t="shared" si="105"/>
        <v>7.8307142857142855</v>
      </c>
      <c r="R1129" s="2">
        <f t="shared" si="106"/>
        <v>31.322857142857142</v>
      </c>
      <c r="S1129" s="2">
        <f t="shared" si="107"/>
        <v>6.2802152695430085</v>
      </c>
    </row>
    <row r="1130" spans="1:19" hidden="1">
      <c r="A1130" t="s">
        <v>1183</v>
      </c>
      <c r="B1130" t="s">
        <v>30</v>
      </c>
      <c r="C1130">
        <v>88</v>
      </c>
      <c r="D1130">
        <v>5781</v>
      </c>
      <c r="E1130" s="2">
        <v>246.82</v>
      </c>
      <c r="F1130">
        <v>21</v>
      </c>
      <c r="G1130">
        <v>6</v>
      </c>
      <c r="H1130">
        <v>5.7000000000000002E-2</v>
      </c>
      <c r="I1130" s="3">
        <v>1020</v>
      </c>
      <c r="J1130" s="1">
        <v>45621</v>
      </c>
      <c r="K1130" t="s">
        <v>31</v>
      </c>
      <c r="L1130" t="s">
        <v>9</v>
      </c>
      <c r="M1130" t="s">
        <v>37</v>
      </c>
      <c r="N1130" s="1">
        <f t="shared" si="102"/>
        <v>45621</v>
      </c>
      <c r="O1130" s="4">
        <f t="shared" si="103"/>
        <v>1.5222279882373293E-2</v>
      </c>
      <c r="P1130">
        <f t="shared" si="104"/>
        <v>2.8047727272727272</v>
      </c>
      <c r="Q1130" s="2">
        <f t="shared" si="105"/>
        <v>11.753333333333334</v>
      </c>
      <c r="R1130" s="2">
        <f t="shared" si="106"/>
        <v>41.136666666666663</v>
      </c>
      <c r="S1130" s="2">
        <f t="shared" si="107"/>
        <v>4.1325662426059475</v>
      </c>
    </row>
    <row r="1131" spans="1:19" hidden="1">
      <c r="A1131" t="s">
        <v>1184</v>
      </c>
      <c r="B1131" t="s">
        <v>30</v>
      </c>
      <c r="C1131">
        <v>134</v>
      </c>
      <c r="D1131">
        <v>4707</v>
      </c>
      <c r="E1131" s="2">
        <v>239.9</v>
      </c>
      <c r="F1131">
        <v>29</v>
      </c>
      <c r="G1131">
        <v>8</v>
      </c>
      <c r="H1131">
        <v>0.06</v>
      </c>
      <c r="I1131" s="3">
        <v>1383</v>
      </c>
      <c r="J1131" s="1">
        <v>45620</v>
      </c>
      <c r="K1131" t="s">
        <v>31</v>
      </c>
      <c r="L1131" t="s">
        <v>8</v>
      </c>
      <c r="M1131" t="s">
        <v>32</v>
      </c>
      <c r="N1131" s="1">
        <f t="shared" si="102"/>
        <v>45620</v>
      </c>
      <c r="O1131" s="4">
        <f t="shared" si="103"/>
        <v>2.8468238793286596E-2</v>
      </c>
      <c r="P1131">
        <f t="shared" si="104"/>
        <v>1.7902985074626867</v>
      </c>
      <c r="Q1131" s="2">
        <f t="shared" si="105"/>
        <v>8.272413793103448</v>
      </c>
      <c r="R1131" s="2">
        <f t="shared" si="106"/>
        <v>29.987500000000001</v>
      </c>
      <c r="S1131" s="2">
        <f t="shared" si="107"/>
        <v>5.7649020425177158</v>
      </c>
    </row>
    <row r="1132" spans="1:19" hidden="1">
      <c r="A1132" t="s">
        <v>1185</v>
      </c>
      <c r="B1132" t="s">
        <v>30</v>
      </c>
      <c r="C1132">
        <v>160</v>
      </c>
      <c r="D1132">
        <v>5611</v>
      </c>
      <c r="E1132" s="2">
        <v>216.65</v>
      </c>
      <c r="F1132">
        <v>21</v>
      </c>
      <c r="G1132">
        <v>10</v>
      </c>
      <c r="H1132">
        <v>4.7E-2</v>
      </c>
      <c r="I1132" s="3">
        <v>1714</v>
      </c>
      <c r="J1132" s="1" t="s">
        <v>64</v>
      </c>
      <c r="K1132" t="s">
        <v>31</v>
      </c>
      <c r="L1132" t="s">
        <v>9</v>
      </c>
      <c r="M1132" t="s">
        <v>32</v>
      </c>
      <c r="N1132" s="1">
        <f t="shared" si="102"/>
        <v>45626</v>
      </c>
      <c r="O1132" s="4">
        <f t="shared" si="103"/>
        <v>2.8515416146854392E-2</v>
      </c>
      <c r="P1132">
        <f t="shared" si="104"/>
        <v>1.3540624999999999</v>
      </c>
      <c r="Q1132" s="2">
        <f t="shared" si="105"/>
        <v>10.316666666666666</v>
      </c>
      <c r="R1132" s="2">
        <f t="shared" si="106"/>
        <v>21.664999999999999</v>
      </c>
      <c r="S1132" s="2">
        <f t="shared" si="107"/>
        <v>7.9113777982921762</v>
      </c>
    </row>
    <row r="1133" spans="1:19" hidden="1">
      <c r="A1133" t="s">
        <v>1186</v>
      </c>
      <c r="B1133" t="s">
        <v>30</v>
      </c>
      <c r="C1133">
        <v>195</v>
      </c>
      <c r="D1133">
        <v>3174</v>
      </c>
      <c r="E1133" s="2">
        <v>218.06</v>
      </c>
      <c r="F1133">
        <v>12</v>
      </c>
      <c r="G1133">
        <v>7</v>
      </c>
      <c r="H1133">
        <v>3.5999999999999997E-2</v>
      </c>
      <c r="I1133" s="3">
        <v>1476</v>
      </c>
      <c r="J1133" s="1" t="s">
        <v>206</v>
      </c>
      <c r="K1133" t="s">
        <v>31</v>
      </c>
      <c r="L1133" t="s">
        <v>8</v>
      </c>
      <c r="M1133" t="s">
        <v>41</v>
      </c>
      <c r="N1133" s="1">
        <f t="shared" si="102"/>
        <v>45621</v>
      </c>
      <c r="O1133" s="4">
        <f t="shared" si="103"/>
        <v>6.1436672967863891E-2</v>
      </c>
      <c r="P1133">
        <f t="shared" si="104"/>
        <v>1.1182564102564103</v>
      </c>
      <c r="Q1133" s="2">
        <f t="shared" si="105"/>
        <v>18.171666666666667</v>
      </c>
      <c r="R1133" s="2">
        <f t="shared" si="106"/>
        <v>31.151428571428571</v>
      </c>
      <c r="S1133" s="2">
        <f t="shared" si="107"/>
        <v>6.7687792350729152</v>
      </c>
    </row>
    <row r="1134" spans="1:19" hidden="1">
      <c r="A1134" t="s">
        <v>1187</v>
      </c>
      <c r="B1134" t="s">
        <v>30</v>
      </c>
      <c r="C1134">
        <v>142</v>
      </c>
      <c r="D1134">
        <v>5076</v>
      </c>
      <c r="E1134" s="2">
        <v>190.49</v>
      </c>
      <c r="F1134">
        <v>22</v>
      </c>
      <c r="G1134">
        <v>7</v>
      </c>
      <c r="H1134">
        <v>4.9000000000000002E-2</v>
      </c>
      <c r="I1134" s="3">
        <v>1509</v>
      </c>
      <c r="J1134" s="1">
        <v>45616</v>
      </c>
      <c r="K1134" t="s">
        <v>31</v>
      </c>
      <c r="L1134" t="s">
        <v>8</v>
      </c>
      <c r="M1134" t="s">
        <v>32</v>
      </c>
      <c r="N1134" s="1">
        <f t="shared" si="102"/>
        <v>45616</v>
      </c>
      <c r="O1134" s="4">
        <f t="shared" si="103"/>
        <v>2.7974783293932229E-2</v>
      </c>
      <c r="P1134">
        <f t="shared" si="104"/>
        <v>1.3414788732394367</v>
      </c>
      <c r="Q1134" s="2">
        <f t="shared" si="105"/>
        <v>8.6586363636363632</v>
      </c>
      <c r="R1134" s="2">
        <f t="shared" si="106"/>
        <v>27.212857142857143</v>
      </c>
      <c r="S1134" s="2">
        <f t="shared" si="107"/>
        <v>7.9216756785133073</v>
      </c>
    </row>
    <row r="1135" spans="1:19">
      <c r="A1135" t="s">
        <v>1188</v>
      </c>
      <c r="B1135" t="s">
        <v>30</v>
      </c>
      <c r="C1135">
        <v>81</v>
      </c>
      <c r="D1135">
        <v>5942</v>
      </c>
      <c r="E1135" s="2">
        <v>236.07</v>
      </c>
      <c r="F1135">
        <v>15</v>
      </c>
      <c r="G1135">
        <v>7</v>
      </c>
      <c r="H1135">
        <v>4.5999999999999999E-2</v>
      </c>
      <c r="I1135" s="3">
        <v>1288</v>
      </c>
      <c r="J1135" s="1">
        <v>45637</v>
      </c>
      <c r="K1135" t="s">
        <v>31</v>
      </c>
      <c r="L1135" t="s">
        <v>7</v>
      </c>
      <c r="M1135" t="s">
        <v>41</v>
      </c>
      <c r="N1135" s="1">
        <f t="shared" si="102"/>
        <v>45637</v>
      </c>
      <c r="O1135" s="4">
        <f t="shared" si="103"/>
        <v>1.3631773813530798E-2</v>
      </c>
      <c r="P1135">
        <f t="shared" si="104"/>
        <v>2.9144444444444444</v>
      </c>
      <c r="Q1135" s="2">
        <f t="shared" si="105"/>
        <v>15.738</v>
      </c>
      <c r="R1135" s="2">
        <f t="shared" si="106"/>
        <v>33.724285714285713</v>
      </c>
      <c r="S1135" s="2">
        <f t="shared" si="107"/>
        <v>5.4560088109459057</v>
      </c>
    </row>
    <row r="1136" spans="1:19">
      <c r="A1136" t="s">
        <v>1189</v>
      </c>
      <c r="B1136" t="s">
        <v>30</v>
      </c>
      <c r="C1136">
        <v>139</v>
      </c>
      <c r="D1136">
        <v>4234</v>
      </c>
      <c r="E1136" s="2">
        <v>201.93</v>
      </c>
      <c r="F1136">
        <v>16</v>
      </c>
      <c r="G1136">
        <v>4</v>
      </c>
      <c r="H1136">
        <v>4.5999999999999999E-2</v>
      </c>
      <c r="I1136" s="3">
        <v>1462</v>
      </c>
      <c r="J1136" s="1">
        <v>45621</v>
      </c>
      <c r="K1136" t="s">
        <v>31</v>
      </c>
      <c r="L1136" t="s">
        <v>8</v>
      </c>
      <c r="M1136" t="s">
        <v>46</v>
      </c>
      <c r="N1136" s="1">
        <f t="shared" si="102"/>
        <v>45621</v>
      </c>
      <c r="O1136" s="4">
        <f t="shared" si="103"/>
        <v>3.2829475673122346E-2</v>
      </c>
      <c r="P1136">
        <f t="shared" si="104"/>
        <v>1.4527338129496403</v>
      </c>
      <c r="Q1136" s="2">
        <f t="shared" si="105"/>
        <v>12.620625</v>
      </c>
      <c r="R1136" s="2">
        <f t="shared" si="106"/>
        <v>50.482500000000002</v>
      </c>
      <c r="S1136" s="2">
        <f t="shared" si="107"/>
        <v>7.2401327192591491</v>
      </c>
    </row>
    <row r="1137" spans="1:19" hidden="1">
      <c r="A1137" t="s">
        <v>1190</v>
      </c>
      <c r="B1137" t="s">
        <v>30</v>
      </c>
      <c r="C1137">
        <v>115</v>
      </c>
      <c r="D1137">
        <v>3963</v>
      </c>
      <c r="E1137" s="2">
        <v>225.32</v>
      </c>
      <c r="F1137">
        <v>22</v>
      </c>
      <c r="G1137">
        <v>9</v>
      </c>
      <c r="H1137">
        <v>7.8E-2</v>
      </c>
      <c r="I1137" s="3">
        <v>1622</v>
      </c>
      <c r="J1137" s="1">
        <v>45302</v>
      </c>
      <c r="K1137" t="s">
        <v>31</v>
      </c>
      <c r="L1137" t="s">
        <v>7</v>
      </c>
      <c r="M1137" t="s">
        <v>37</v>
      </c>
      <c r="N1137" s="1">
        <f t="shared" si="102"/>
        <v>45302</v>
      </c>
      <c r="O1137" s="4">
        <f t="shared" si="103"/>
        <v>2.90184203885945E-2</v>
      </c>
      <c r="P1137">
        <f t="shared" si="104"/>
        <v>1.959304347826087</v>
      </c>
      <c r="Q1137" s="2">
        <f t="shared" si="105"/>
        <v>10.241818181818182</v>
      </c>
      <c r="R1137" s="2">
        <f t="shared" si="106"/>
        <v>25.035555555555554</v>
      </c>
      <c r="S1137" s="2">
        <f t="shared" si="107"/>
        <v>7.198650807740103</v>
      </c>
    </row>
    <row r="1138" spans="1:19" hidden="1">
      <c r="A1138" t="s">
        <v>1191</v>
      </c>
      <c r="B1138" t="s">
        <v>30</v>
      </c>
      <c r="C1138">
        <v>172</v>
      </c>
      <c r="D1138">
        <v>4349</v>
      </c>
      <c r="E1138" s="2">
        <v>243.53</v>
      </c>
      <c r="F1138">
        <v>28</v>
      </c>
      <c r="G1138">
        <v>5</v>
      </c>
      <c r="H1138">
        <v>4.9000000000000002E-2</v>
      </c>
      <c r="I1138" s="3">
        <v>1195</v>
      </c>
      <c r="J1138" s="1">
        <v>45609</v>
      </c>
      <c r="K1138" t="s">
        <v>31</v>
      </c>
      <c r="L1138" t="s">
        <v>9</v>
      </c>
      <c r="M1138" t="s">
        <v>41</v>
      </c>
      <c r="N1138" s="1">
        <f t="shared" si="102"/>
        <v>45609</v>
      </c>
      <c r="O1138" s="4">
        <f t="shared" si="103"/>
        <v>3.9549321683145552E-2</v>
      </c>
      <c r="P1138">
        <f t="shared" si="104"/>
        <v>1.4158720930232558</v>
      </c>
      <c r="Q1138" s="2">
        <f t="shared" si="105"/>
        <v>8.6974999999999998</v>
      </c>
      <c r="R1138" s="2">
        <f t="shared" si="106"/>
        <v>48.706000000000003</v>
      </c>
      <c r="S1138" s="2">
        <f t="shared" si="107"/>
        <v>4.9069929782778301</v>
      </c>
    </row>
    <row r="1139" spans="1:19">
      <c r="A1139" t="s">
        <v>1192</v>
      </c>
      <c r="B1139" t="s">
        <v>30</v>
      </c>
      <c r="C1139">
        <v>91</v>
      </c>
      <c r="D1139">
        <v>5294</v>
      </c>
      <c r="E1139" s="2">
        <v>245.21</v>
      </c>
      <c r="F1139">
        <v>21</v>
      </c>
      <c r="G1139">
        <v>7</v>
      </c>
      <c r="H1139">
        <v>4.5999999999999999E-2</v>
      </c>
      <c r="I1139" s="3">
        <v>1227</v>
      </c>
      <c r="J1139" s="1">
        <v>45622</v>
      </c>
      <c r="K1139" t="s">
        <v>31</v>
      </c>
      <c r="L1139" t="s">
        <v>7</v>
      </c>
      <c r="M1139" t="s">
        <v>41</v>
      </c>
      <c r="N1139" s="1">
        <f t="shared" si="102"/>
        <v>45622</v>
      </c>
      <c r="O1139" s="4">
        <f t="shared" si="103"/>
        <v>1.7189270872686058E-2</v>
      </c>
      <c r="P1139">
        <f t="shared" si="104"/>
        <v>2.6946153846153846</v>
      </c>
      <c r="Q1139" s="2">
        <f t="shared" si="105"/>
        <v>11.676666666666668</v>
      </c>
      <c r="R1139" s="2">
        <f t="shared" si="106"/>
        <v>35.03</v>
      </c>
      <c r="S1139" s="2">
        <f t="shared" si="107"/>
        <v>5.003874230251621</v>
      </c>
    </row>
    <row r="1140" spans="1:19" hidden="1">
      <c r="A1140" t="s">
        <v>1193</v>
      </c>
      <c r="B1140" t="s">
        <v>30</v>
      </c>
      <c r="C1140">
        <v>166</v>
      </c>
      <c r="D1140">
        <v>5381</v>
      </c>
      <c r="E1140" s="2">
        <v>246.52</v>
      </c>
      <c r="F1140">
        <v>21</v>
      </c>
      <c r="G1140">
        <v>7</v>
      </c>
      <c r="H1140">
        <v>4.2000000000000003E-2</v>
      </c>
      <c r="I1140" s="3">
        <v>1579</v>
      </c>
      <c r="J1140" s="1">
        <v>45605</v>
      </c>
      <c r="K1140" t="s">
        <v>31</v>
      </c>
      <c r="L1140" t="s">
        <v>7</v>
      </c>
      <c r="M1140" t="s">
        <v>39</v>
      </c>
      <c r="N1140" s="1">
        <f t="shared" si="102"/>
        <v>45605</v>
      </c>
      <c r="O1140" s="4">
        <f t="shared" si="103"/>
        <v>3.0849284519606023E-2</v>
      </c>
      <c r="P1140">
        <f t="shared" si="104"/>
        <v>1.4850602409638556</v>
      </c>
      <c r="Q1140" s="2">
        <f t="shared" si="105"/>
        <v>11.73904761904762</v>
      </c>
      <c r="R1140" s="2">
        <f t="shared" si="106"/>
        <v>35.217142857142861</v>
      </c>
      <c r="S1140" s="2">
        <f t="shared" si="107"/>
        <v>6.405159824760668</v>
      </c>
    </row>
    <row r="1141" spans="1:19" hidden="1">
      <c r="A1141" t="s">
        <v>1194</v>
      </c>
      <c r="B1141" t="s">
        <v>30</v>
      </c>
      <c r="C1141">
        <v>155</v>
      </c>
      <c r="D1141">
        <v>3052</v>
      </c>
      <c r="E1141" s="2">
        <v>199.46</v>
      </c>
      <c r="F1141">
        <v>13</v>
      </c>
      <c r="G1141">
        <v>6</v>
      </c>
      <c r="H1141">
        <v>4.5999999999999999E-2</v>
      </c>
      <c r="I1141" s="3">
        <v>1362</v>
      </c>
      <c r="J1141" s="1">
        <v>45597</v>
      </c>
      <c r="K1141" t="s">
        <v>31</v>
      </c>
      <c r="L1141" t="s">
        <v>8</v>
      </c>
      <c r="M1141" t="s">
        <v>39</v>
      </c>
      <c r="N1141" s="1">
        <f t="shared" si="102"/>
        <v>45597</v>
      </c>
      <c r="O1141" s="4">
        <f t="shared" si="103"/>
        <v>5.0786369593709045E-2</v>
      </c>
      <c r="P1141">
        <f t="shared" si="104"/>
        <v>1.2868387096774194</v>
      </c>
      <c r="Q1141" s="2">
        <f t="shared" si="105"/>
        <v>15.343076923076923</v>
      </c>
      <c r="R1141" s="2">
        <f t="shared" si="106"/>
        <v>33.243333333333332</v>
      </c>
      <c r="S1141" s="2">
        <f t="shared" si="107"/>
        <v>6.8284367793041207</v>
      </c>
    </row>
    <row r="1142" spans="1:19" hidden="1">
      <c r="A1142" t="s">
        <v>1195</v>
      </c>
      <c r="B1142" t="s">
        <v>30</v>
      </c>
      <c r="C1142">
        <v>127</v>
      </c>
      <c r="D1142">
        <v>4634</v>
      </c>
      <c r="E1142" s="2">
        <v>218.04</v>
      </c>
      <c r="F1142">
        <v>26</v>
      </c>
      <c r="G1142">
        <v>7</v>
      </c>
      <c r="H1142">
        <v>5.5E-2</v>
      </c>
      <c r="I1142" s="3">
        <v>1410</v>
      </c>
      <c r="J1142" s="1">
        <v>45598</v>
      </c>
      <c r="K1142" t="s">
        <v>31</v>
      </c>
      <c r="L1142" t="s">
        <v>9</v>
      </c>
      <c r="M1142" t="s">
        <v>32</v>
      </c>
      <c r="N1142" s="1">
        <f t="shared" si="102"/>
        <v>45598</v>
      </c>
      <c r="O1142" s="4">
        <f t="shared" si="103"/>
        <v>2.740612861458783E-2</v>
      </c>
      <c r="P1142">
        <f t="shared" si="104"/>
        <v>1.7168503937007873</v>
      </c>
      <c r="Q1142" s="2">
        <f t="shared" si="105"/>
        <v>8.3861538461538458</v>
      </c>
      <c r="R1142" s="2">
        <f t="shared" si="106"/>
        <v>31.148571428571426</v>
      </c>
      <c r="S1142" s="2">
        <f t="shared" si="107"/>
        <v>6.466703357182169</v>
      </c>
    </row>
    <row r="1143" spans="1:19" hidden="1">
      <c r="A1143" t="s">
        <v>1196</v>
      </c>
      <c r="B1143" t="s">
        <v>30</v>
      </c>
      <c r="C1143">
        <v>94</v>
      </c>
      <c r="D1143">
        <v>5564</v>
      </c>
      <c r="E1143" s="2">
        <v>203.88</v>
      </c>
      <c r="F1143">
        <v>22</v>
      </c>
      <c r="G1143">
        <v>6</v>
      </c>
      <c r="H1143">
        <v>6.4000000000000001E-2</v>
      </c>
      <c r="I1143" s="3">
        <v>1505</v>
      </c>
      <c r="J1143" s="1">
        <v>45610</v>
      </c>
      <c r="K1143" t="s">
        <v>31</v>
      </c>
      <c r="L1143" t="s">
        <v>7</v>
      </c>
      <c r="M1143" t="s">
        <v>39</v>
      </c>
      <c r="N1143" s="1">
        <f t="shared" si="102"/>
        <v>45610</v>
      </c>
      <c r="O1143" s="4">
        <f t="shared" si="103"/>
        <v>1.689432063263839E-2</v>
      </c>
      <c r="P1143">
        <f t="shared" si="104"/>
        <v>2.1689361702127661</v>
      </c>
      <c r="Q1143" s="2">
        <f t="shared" si="105"/>
        <v>9.2672727272727276</v>
      </c>
      <c r="R1143" s="2">
        <f t="shared" si="106"/>
        <v>33.979999999999997</v>
      </c>
      <c r="S1143" s="2">
        <f t="shared" si="107"/>
        <v>7.3817932116931528</v>
      </c>
    </row>
    <row r="1144" spans="1:19" hidden="1">
      <c r="A1144" t="s">
        <v>1197</v>
      </c>
      <c r="B1144" t="s">
        <v>30</v>
      </c>
      <c r="C1144">
        <v>90</v>
      </c>
      <c r="D1144">
        <v>5196</v>
      </c>
      <c r="E1144" s="2">
        <v>192.83</v>
      </c>
      <c r="F1144">
        <v>21</v>
      </c>
      <c r="G1144">
        <v>8</v>
      </c>
      <c r="H1144">
        <v>8.8999999999999996E-2</v>
      </c>
      <c r="I1144" s="3">
        <v>1783</v>
      </c>
      <c r="J1144" s="1">
        <v>45603</v>
      </c>
      <c r="K1144" t="s">
        <v>31</v>
      </c>
      <c r="L1144" t="s">
        <v>7</v>
      </c>
      <c r="M1144" t="s">
        <v>35</v>
      </c>
      <c r="N1144" s="1">
        <f t="shared" si="102"/>
        <v>45603</v>
      </c>
      <c r="O1144" s="4">
        <f t="shared" si="103"/>
        <v>1.7321016166281754E-2</v>
      </c>
      <c r="P1144">
        <f t="shared" si="104"/>
        <v>2.1425555555555555</v>
      </c>
      <c r="Q1144" s="2">
        <f t="shared" si="105"/>
        <v>9.182380952380953</v>
      </c>
      <c r="R1144" s="2">
        <f t="shared" si="106"/>
        <v>24.103750000000002</v>
      </c>
      <c r="S1144" s="2">
        <f t="shared" si="107"/>
        <v>9.2464865425504321</v>
      </c>
    </row>
    <row r="1145" spans="1:19" hidden="1">
      <c r="A1145" t="s">
        <v>1198</v>
      </c>
      <c r="B1145" t="s">
        <v>30</v>
      </c>
      <c r="C1145">
        <v>161</v>
      </c>
      <c r="D1145">
        <v>5749</v>
      </c>
      <c r="E1145" s="2">
        <v>203.25</v>
      </c>
      <c r="F1145">
        <v>12</v>
      </c>
      <c r="G1145">
        <v>4</v>
      </c>
      <c r="H1145">
        <v>2.5000000000000001E-2</v>
      </c>
      <c r="I1145" s="3">
        <v>1505</v>
      </c>
      <c r="J1145" s="1">
        <v>45624</v>
      </c>
      <c r="K1145" t="s">
        <v>31</v>
      </c>
      <c r="L1145" t="s">
        <v>9</v>
      </c>
      <c r="M1145" t="s">
        <v>41</v>
      </c>
      <c r="N1145" s="1">
        <f t="shared" si="102"/>
        <v>45624</v>
      </c>
      <c r="O1145" s="4">
        <f t="shared" si="103"/>
        <v>2.8004870412245607E-2</v>
      </c>
      <c r="P1145">
        <f t="shared" si="104"/>
        <v>1.2624223602484472</v>
      </c>
      <c r="Q1145" s="2">
        <f t="shared" si="105"/>
        <v>16.9375</v>
      </c>
      <c r="R1145" s="2">
        <f t="shared" si="106"/>
        <v>50.8125</v>
      </c>
      <c r="S1145" s="2">
        <f t="shared" si="107"/>
        <v>7.4046740467404675</v>
      </c>
    </row>
    <row r="1146" spans="1:19" hidden="1">
      <c r="A1146" t="s">
        <v>1199</v>
      </c>
      <c r="B1146" t="s">
        <v>30</v>
      </c>
      <c r="C1146">
        <v>157</v>
      </c>
      <c r="D1146">
        <v>5483</v>
      </c>
      <c r="E1146" s="2">
        <v>245.31</v>
      </c>
      <c r="F1146">
        <v>24</v>
      </c>
      <c r="G1146">
        <v>6</v>
      </c>
      <c r="H1146">
        <v>3.7999999999999999E-2</v>
      </c>
      <c r="I1146" s="3">
        <v>1505</v>
      </c>
      <c r="J1146" s="1">
        <v>45618</v>
      </c>
      <c r="K1146" t="s">
        <v>31</v>
      </c>
      <c r="L1146" t="s">
        <v>8</v>
      </c>
      <c r="M1146" t="s">
        <v>46</v>
      </c>
      <c r="N1146" s="1">
        <f t="shared" si="102"/>
        <v>45618</v>
      </c>
      <c r="O1146" s="4">
        <f t="shared" si="103"/>
        <v>2.8633959511216486E-2</v>
      </c>
      <c r="P1146">
        <f t="shared" si="104"/>
        <v>1.5624840764331209</v>
      </c>
      <c r="Q1146" s="2">
        <f t="shared" si="105"/>
        <v>10.22125</v>
      </c>
      <c r="R1146" s="2">
        <f t="shared" si="106"/>
        <v>40.884999999999998</v>
      </c>
      <c r="S1146" s="2">
        <f t="shared" si="107"/>
        <v>6.1350943703884884</v>
      </c>
    </row>
    <row r="1147" spans="1:19" hidden="1">
      <c r="A1147" t="s">
        <v>1200</v>
      </c>
      <c r="B1147" t="s">
        <v>30</v>
      </c>
      <c r="C1147">
        <v>157</v>
      </c>
      <c r="D1147">
        <v>4093</v>
      </c>
      <c r="E1147" s="2">
        <v>202.85</v>
      </c>
      <c r="F1147">
        <v>27</v>
      </c>
      <c r="G1147">
        <v>8</v>
      </c>
      <c r="H1147">
        <v>5.0999999999999997E-2</v>
      </c>
      <c r="I1147" s="3">
        <v>1370</v>
      </c>
      <c r="J1147" s="1">
        <v>45362</v>
      </c>
      <c r="K1147" t="s">
        <v>31</v>
      </c>
      <c r="L1147" t="s">
        <v>8</v>
      </c>
      <c r="M1147" t="s">
        <v>46</v>
      </c>
      <c r="N1147" s="1">
        <f t="shared" si="102"/>
        <v>45362</v>
      </c>
      <c r="O1147" s="4">
        <f t="shared" si="103"/>
        <v>3.835817248961642E-2</v>
      </c>
      <c r="P1147">
        <f t="shared" si="104"/>
        <v>1.2920382165605095</v>
      </c>
      <c r="Q1147" s="2">
        <f t="shared" si="105"/>
        <v>7.5129629629629626</v>
      </c>
      <c r="R1147" s="2">
        <f t="shared" si="106"/>
        <v>25.356249999999999</v>
      </c>
      <c r="S1147" s="2">
        <f t="shared" si="107"/>
        <v>6.7537589351737743</v>
      </c>
    </row>
    <row r="1148" spans="1:19" hidden="1">
      <c r="A1148" t="s">
        <v>1201</v>
      </c>
      <c r="B1148" t="s">
        <v>30</v>
      </c>
      <c r="C1148">
        <v>179</v>
      </c>
      <c r="D1148">
        <v>4459</v>
      </c>
      <c r="E1148" s="2">
        <v>181.7</v>
      </c>
      <c r="F1148">
        <v>27</v>
      </c>
      <c r="G1148">
        <v>5</v>
      </c>
      <c r="H1148">
        <v>4.1000000000000002E-2</v>
      </c>
      <c r="I1148" s="3">
        <v>1320</v>
      </c>
      <c r="J1148" s="1">
        <v>45609</v>
      </c>
      <c r="K1148" t="s">
        <v>31</v>
      </c>
      <c r="L1148" t="s">
        <v>9</v>
      </c>
      <c r="M1148" t="s">
        <v>37</v>
      </c>
      <c r="N1148" s="1">
        <f t="shared" si="102"/>
        <v>45609</v>
      </c>
      <c r="O1148" s="4">
        <f t="shared" si="103"/>
        <v>4.0143529939448308E-2</v>
      </c>
      <c r="P1148">
        <f t="shared" si="104"/>
        <v>1.0150837988826815</v>
      </c>
      <c r="Q1148" s="2">
        <f t="shared" si="105"/>
        <v>6.7296296296296294</v>
      </c>
      <c r="R1148" s="2">
        <f t="shared" si="106"/>
        <v>36.339999999999996</v>
      </c>
      <c r="S1148" s="2">
        <f t="shared" si="107"/>
        <v>7.2647220693450745</v>
      </c>
    </row>
    <row r="1149" spans="1:19" hidden="1">
      <c r="A1149" t="s">
        <v>1202</v>
      </c>
      <c r="B1149" t="s">
        <v>30</v>
      </c>
      <c r="C1149">
        <v>165</v>
      </c>
      <c r="D1149">
        <v>5937</v>
      </c>
      <c r="E1149" s="2">
        <v>220.65</v>
      </c>
      <c r="F1149">
        <v>23</v>
      </c>
      <c r="G1149">
        <v>6</v>
      </c>
      <c r="H1149">
        <v>3.5999999999999997E-2</v>
      </c>
      <c r="I1149" s="3">
        <v>1576</v>
      </c>
      <c r="J1149" s="1">
        <v>45600</v>
      </c>
      <c r="K1149" t="s">
        <v>31</v>
      </c>
      <c r="L1149" t="s">
        <v>8</v>
      </c>
      <c r="M1149" t="s">
        <v>46</v>
      </c>
      <c r="N1149" s="1">
        <f t="shared" si="102"/>
        <v>45600</v>
      </c>
      <c r="O1149" s="4">
        <f t="shared" si="103"/>
        <v>2.7791814047498736E-2</v>
      </c>
      <c r="P1149">
        <f t="shared" si="104"/>
        <v>1.3372727272727274</v>
      </c>
      <c r="Q1149" s="2">
        <f t="shared" si="105"/>
        <v>9.5934782608695652</v>
      </c>
      <c r="R1149" s="2">
        <f t="shared" si="106"/>
        <v>36.774999999999999</v>
      </c>
      <c r="S1149" s="2">
        <f t="shared" si="107"/>
        <v>7.1425334239746201</v>
      </c>
    </row>
    <row r="1150" spans="1:19" hidden="1">
      <c r="A1150" t="s">
        <v>1203</v>
      </c>
      <c r="B1150" t="s">
        <v>30</v>
      </c>
      <c r="C1150">
        <v>167</v>
      </c>
      <c r="D1150">
        <v>4475</v>
      </c>
      <c r="E1150" s="2">
        <v>231.64</v>
      </c>
      <c r="F1150">
        <v>13</v>
      </c>
      <c r="G1150">
        <v>5</v>
      </c>
      <c r="H1150">
        <v>5.0999999999999997E-2</v>
      </c>
      <c r="I1150" s="3">
        <v>1750</v>
      </c>
      <c r="J1150" s="1">
        <v>45599</v>
      </c>
      <c r="K1150" t="s">
        <v>31</v>
      </c>
      <c r="L1150" t="s">
        <v>7</v>
      </c>
      <c r="M1150" t="s">
        <v>41</v>
      </c>
      <c r="N1150" s="1">
        <f t="shared" si="102"/>
        <v>45599</v>
      </c>
      <c r="O1150" s="4">
        <f t="shared" si="103"/>
        <v>3.7318435754189944E-2</v>
      </c>
      <c r="P1150">
        <f t="shared" si="104"/>
        <v>1.3870658682634729</v>
      </c>
      <c r="Q1150" s="2">
        <f t="shared" si="105"/>
        <v>17.818461538461538</v>
      </c>
      <c r="R1150" s="2">
        <f t="shared" si="106"/>
        <v>46.327999999999996</v>
      </c>
      <c r="S1150" s="2">
        <f t="shared" si="107"/>
        <v>7.5548264548437238</v>
      </c>
    </row>
    <row r="1151" spans="1:19" hidden="1">
      <c r="A1151" t="s">
        <v>1204</v>
      </c>
      <c r="B1151" t="s">
        <v>30</v>
      </c>
      <c r="C1151">
        <v>126</v>
      </c>
      <c r="D1151">
        <v>4212</v>
      </c>
      <c r="E1151" s="2">
        <v>182.54</v>
      </c>
      <c r="F1151">
        <v>29</v>
      </c>
      <c r="G1151">
        <v>8</v>
      </c>
      <c r="H1151">
        <v>6.3E-2</v>
      </c>
      <c r="I1151" s="3">
        <v>1066</v>
      </c>
      <c r="J1151" s="1" t="s">
        <v>348</v>
      </c>
      <c r="K1151" t="s">
        <v>31</v>
      </c>
      <c r="L1151" t="s">
        <v>8</v>
      </c>
      <c r="M1151" t="s">
        <v>41</v>
      </c>
      <c r="N1151" s="1">
        <f t="shared" si="102"/>
        <v>45615</v>
      </c>
      <c r="O1151" s="4">
        <f t="shared" si="103"/>
        <v>2.9914529914529916E-2</v>
      </c>
      <c r="P1151">
        <f t="shared" si="104"/>
        <v>1.4487301587301586</v>
      </c>
      <c r="Q1151" s="2">
        <f t="shared" si="105"/>
        <v>6.2944827586206893</v>
      </c>
      <c r="R1151" s="2">
        <f t="shared" si="106"/>
        <v>22.817499999999999</v>
      </c>
      <c r="S1151" s="2">
        <f t="shared" si="107"/>
        <v>5.8398159307549031</v>
      </c>
    </row>
    <row r="1152" spans="1:19">
      <c r="A1152" t="s">
        <v>1205</v>
      </c>
      <c r="B1152" t="s">
        <v>30</v>
      </c>
      <c r="C1152">
        <v>134</v>
      </c>
      <c r="D1152">
        <v>4506</v>
      </c>
      <c r="E1152" s="2">
        <v>220.09</v>
      </c>
      <c r="F1152">
        <v>13</v>
      </c>
      <c r="G1152">
        <v>5</v>
      </c>
      <c r="H1152">
        <v>4.5999999999999999E-2</v>
      </c>
      <c r="I1152" s="3">
        <v>1745</v>
      </c>
      <c r="J1152" s="1">
        <v>45625</v>
      </c>
      <c r="K1152" t="s">
        <v>31</v>
      </c>
      <c r="L1152" t="s">
        <v>8</v>
      </c>
      <c r="M1152" t="s">
        <v>37</v>
      </c>
      <c r="N1152" s="1">
        <f t="shared" si="102"/>
        <v>45625</v>
      </c>
      <c r="O1152" s="4">
        <f t="shared" si="103"/>
        <v>2.9738126941855306E-2</v>
      </c>
      <c r="P1152">
        <f t="shared" si="104"/>
        <v>1.6424626865671641</v>
      </c>
      <c r="Q1152" s="2">
        <f t="shared" si="105"/>
        <v>16.93</v>
      </c>
      <c r="R1152" s="2">
        <f t="shared" si="106"/>
        <v>44.018000000000001</v>
      </c>
      <c r="S1152" s="2">
        <f t="shared" si="107"/>
        <v>7.9285746739970007</v>
      </c>
    </row>
    <row r="1153" spans="1:19">
      <c r="A1153" t="s">
        <v>1206</v>
      </c>
      <c r="B1153" t="s">
        <v>30</v>
      </c>
      <c r="C1153">
        <v>142</v>
      </c>
      <c r="D1153">
        <v>3147</v>
      </c>
      <c r="E1153" s="2">
        <v>190.93</v>
      </c>
      <c r="F1153">
        <v>13</v>
      </c>
      <c r="G1153">
        <v>5</v>
      </c>
      <c r="H1153">
        <v>4.5999999999999999E-2</v>
      </c>
      <c r="I1153" s="3">
        <v>1740</v>
      </c>
      <c r="J1153" s="1">
        <v>45601</v>
      </c>
      <c r="K1153" t="s">
        <v>31</v>
      </c>
      <c r="L1153" t="s">
        <v>8</v>
      </c>
      <c r="M1153" t="s">
        <v>32</v>
      </c>
      <c r="N1153" s="1">
        <f t="shared" si="102"/>
        <v>45601</v>
      </c>
      <c r="O1153" s="4">
        <f t="shared" si="103"/>
        <v>4.5122338735303462E-2</v>
      </c>
      <c r="P1153">
        <f t="shared" si="104"/>
        <v>1.3445774647887325</v>
      </c>
      <c r="Q1153" s="2">
        <f t="shared" si="105"/>
        <v>14.686923076923078</v>
      </c>
      <c r="R1153" s="2">
        <f t="shared" si="106"/>
        <v>38.186</v>
      </c>
      <c r="S1153" s="2">
        <f t="shared" si="107"/>
        <v>9.1132875923113179</v>
      </c>
    </row>
    <row r="1154" spans="1:19">
      <c r="A1154" t="s">
        <v>1207</v>
      </c>
      <c r="B1154" t="s">
        <v>30</v>
      </c>
      <c r="C1154">
        <v>139</v>
      </c>
      <c r="D1154">
        <v>4387</v>
      </c>
      <c r="E1154" s="2">
        <v>198.93</v>
      </c>
      <c r="F1154">
        <v>22</v>
      </c>
      <c r="G1154">
        <v>3</v>
      </c>
      <c r="H1154">
        <v>4.5999999999999999E-2</v>
      </c>
      <c r="I1154" s="3">
        <v>1629</v>
      </c>
      <c r="J1154" s="1">
        <v>45607</v>
      </c>
      <c r="K1154" t="s">
        <v>31</v>
      </c>
      <c r="L1154" t="s">
        <v>7</v>
      </c>
      <c r="M1154" t="s">
        <v>32</v>
      </c>
      <c r="N1154" s="1">
        <f t="shared" ref="N1154:N1217" si="108">IF(A1154="","",IF(ISNUMBER(J1154),J1154,IF(MID(J1154,5,1)="-",DATE(LEFT(J1154,4),MID(J1154,6,2),RIGHT(J1154,2)),IF(MID(J1154,5,1)="/",DATE(LEFT(J1154,4),MID(J1154,6,2),RIGHT(J1154,2)),DATE(RIGHT(J1154,4),MID(J1154,4,2),LEFT(J1154,2))))))</f>
        <v>45607</v>
      </c>
      <c r="O1154" s="4">
        <f t="shared" ref="O1154:O1217" si="109">IFERROR(C1154/D1154,0)</f>
        <v>3.1684522452701161E-2</v>
      </c>
      <c r="P1154">
        <f t="shared" ref="P1154:P1217" si="110">IFERROR(E1154/C1154,0)</f>
        <v>1.4311510791366906</v>
      </c>
      <c r="Q1154" s="2">
        <f t="shared" ref="Q1154:Q1217" si="111">IFERROR(E1154/F1154,0)</f>
        <v>9.0422727272727279</v>
      </c>
      <c r="R1154" s="2">
        <f t="shared" ref="R1154:R1217" si="112">IFERROR(E1154/G1154,0)</f>
        <v>66.31</v>
      </c>
      <c r="S1154" s="2">
        <f t="shared" ref="S1154:S1217" si="113">IFERROR(I1154/E1154,0)</f>
        <v>8.1888101342180661</v>
      </c>
    </row>
    <row r="1155" spans="1:19" hidden="1">
      <c r="A1155" t="s">
        <v>1208</v>
      </c>
      <c r="B1155" t="s">
        <v>30</v>
      </c>
      <c r="C1155">
        <v>163</v>
      </c>
      <c r="D1155">
        <v>5948</v>
      </c>
      <c r="E1155" s="2">
        <v>184.84</v>
      </c>
      <c r="F1155">
        <v>12</v>
      </c>
      <c r="G1155">
        <v>3</v>
      </c>
      <c r="H1155">
        <v>4.9000000000000002E-2</v>
      </c>
      <c r="I1155" s="3">
        <v>1248</v>
      </c>
      <c r="J1155" s="1">
        <v>45607</v>
      </c>
      <c r="K1155" t="s">
        <v>31</v>
      </c>
      <c r="L1155" t="s">
        <v>9</v>
      </c>
      <c r="M1155" t="s">
        <v>39</v>
      </c>
      <c r="N1155" s="1">
        <f t="shared" si="108"/>
        <v>45607</v>
      </c>
      <c r="O1155" s="4">
        <f t="shared" si="109"/>
        <v>2.7404169468728985E-2</v>
      </c>
      <c r="P1155">
        <f t="shared" si="110"/>
        <v>1.1339877300613497</v>
      </c>
      <c r="Q1155" s="2">
        <f t="shared" si="111"/>
        <v>15.403333333333334</v>
      </c>
      <c r="R1155" s="2">
        <f t="shared" si="112"/>
        <v>61.613333333333337</v>
      </c>
      <c r="S1155" s="2">
        <f t="shared" si="113"/>
        <v>6.7517853278511142</v>
      </c>
    </row>
    <row r="1156" spans="1:19" hidden="1">
      <c r="A1156" t="s">
        <v>1209</v>
      </c>
      <c r="B1156" t="s">
        <v>30</v>
      </c>
      <c r="C1156">
        <v>171</v>
      </c>
      <c r="D1156">
        <v>4855</v>
      </c>
      <c r="E1156" s="2">
        <v>235.23</v>
      </c>
      <c r="F1156">
        <v>25</v>
      </c>
      <c r="G1156">
        <v>6</v>
      </c>
      <c r="H1156">
        <v>3.5000000000000003E-2</v>
      </c>
      <c r="I1156" s="3">
        <v>1505</v>
      </c>
      <c r="J1156" s="1">
        <v>45617</v>
      </c>
      <c r="K1156" t="s">
        <v>31</v>
      </c>
      <c r="L1156" t="s">
        <v>7</v>
      </c>
      <c r="M1156" t="s">
        <v>35</v>
      </c>
      <c r="N1156" s="1">
        <f t="shared" si="108"/>
        <v>45617</v>
      </c>
      <c r="O1156" s="4">
        <f t="shared" si="109"/>
        <v>3.5221421215242021E-2</v>
      </c>
      <c r="P1156">
        <f t="shared" si="110"/>
        <v>1.3756140350877193</v>
      </c>
      <c r="Q1156" s="2">
        <f t="shared" si="111"/>
        <v>9.4092000000000002</v>
      </c>
      <c r="R1156" s="2">
        <f t="shared" si="112"/>
        <v>39.204999999999998</v>
      </c>
      <c r="S1156" s="2">
        <f t="shared" si="113"/>
        <v>6.3979934532160012</v>
      </c>
    </row>
    <row r="1157" spans="1:19" hidden="1">
      <c r="A1157" t="s">
        <v>1210</v>
      </c>
      <c r="B1157" t="s">
        <v>30</v>
      </c>
      <c r="C1157">
        <v>97</v>
      </c>
      <c r="D1157">
        <v>4674</v>
      </c>
      <c r="E1157" s="2">
        <v>221.39</v>
      </c>
      <c r="F1157">
        <v>15</v>
      </c>
      <c r="G1157">
        <v>10</v>
      </c>
      <c r="H1157">
        <v>4.7E-2</v>
      </c>
      <c r="I1157" s="3">
        <v>1332</v>
      </c>
      <c r="J1157" s="1">
        <v>45603</v>
      </c>
      <c r="K1157" t="s">
        <v>31</v>
      </c>
      <c r="L1157" t="s">
        <v>9</v>
      </c>
      <c r="M1157" t="s">
        <v>35</v>
      </c>
      <c r="N1157" s="1">
        <f t="shared" si="108"/>
        <v>45603</v>
      </c>
      <c r="O1157" s="4">
        <f t="shared" si="109"/>
        <v>2.0753102267864785E-2</v>
      </c>
      <c r="P1157">
        <f t="shared" si="110"/>
        <v>2.2823711340206185</v>
      </c>
      <c r="Q1157" s="2">
        <f t="shared" si="111"/>
        <v>14.759333333333332</v>
      </c>
      <c r="R1157" s="2">
        <f t="shared" si="112"/>
        <v>22.138999999999999</v>
      </c>
      <c r="S1157" s="2">
        <f t="shared" si="113"/>
        <v>6.0165319120104792</v>
      </c>
    </row>
    <row r="1158" spans="1:19">
      <c r="A1158" t="s">
        <v>1211</v>
      </c>
      <c r="B1158" t="s">
        <v>30</v>
      </c>
      <c r="C1158">
        <v>176</v>
      </c>
      <c r="D1158">
        <v>3336</v>
      </c>
      <c r="E1158" s="2">
        <v>193.72</v>
      </c>
      <c r="F1158">
        <v>15</v>
      </c>
      <c r="G1158">
        <v>9</v>
      </c>
      <c r="H1158">
        <v>4.5999999999999999E-2</v>
      </c>
      <c r="I1158" s="3">
        <v>1696</v>
      </c>
      <c r="J1158" s="1">
        <v>45637</v>
      </c>
      <c r="K1158" t="s">
        <v>31</v>
      </c>
      <c r="L1158" t="s">
        <v>9</v>
      </c>
      <c r="M1158" t="s">
        <v>32</v>
      </c>
      <c r="N1158" s="1">
        <f t="shared" si="108"/>
        <v>45637</v>
      </c>
      <c r="O1158" s="4">
        <f t="shared" si="109"/>
        <v>5.2757793764988008E-2</v>
      </c>
      <c r="P1158">
        <f t="shared" si="110"/>
        <v>1.1006818181818181</v>
      </c>
      <c r="Q1158" s="2">
        <f t="shared" si="111"/>
        <v>12.914666666666667</v>
      </c>
      <c r="R1158" s="2">
        <f t="shared" si="112"/>
        <v>21.524444444444445</v>
      </c>
      <c r="S1158" s="2">
        <f t="shared" si="113"/>
        <v>8.7549039851331827</v>
      </c>
    </row>
    <row r="1159" spans="1:19">
      <c r="A1159" t="s">
        <v>1212</v>
      </c>
      <c r="B1159" t="s">
        <v>30</v>
      </c>
      <c r="C1159">
        <v>129</v>
      </c>
      <c r="D1159">
        <v>5839</v>
      </c>
      <c r="E1159" s="2">
        <v>213.72</v>
      </c>
      <c r="F1159">
        <v>10</v>
      </c>
      <c r="G1159">
        <v>6</v>
      </c>
      <c r="H1159">
        <v>4.5999999999999999E-2</v>
      </c>
      <c r="I1159" s="3">
        <v>1476</v>
      </c>
      <c r="J1159" s="1">
        <v>45614</v>
      </c>
      <c r="K1159" t="s">
        <v>31</v>
      </c>
      <c r="L1159" t="s">
        <v>7</v>
      </c>
      <c r="M1159" t="s">
        <v>46</v>
      </c>
      <c r="N1159" s="1">
        <f t="shared" si="108"/>
        <v>45614</v>
      </c>
      <c r="O1159" s="4">
        <f t="shared" si="109"/>
        <v>2.2092824113718101E-2</v>
      </c>
      <c r="P1159">
        <f t="shared" si="110"/>
        <v>1.6567441860465115</v>
      </c>
      <c r="Q1159" s="2">
        <f t="shared" si="111"/>
        <v>21.372</v>
      </c>
      <c r="R1159" s="2">
        <f t="shared" si="112"/>
        <v>35.619999999999997</v>
      </c>
      <c r="S1159" s="2">
        <f t="shared" si="113"/>
        <v>6.9062324536777089</v>
      </c>
    </row>
    <row r="1160" spans="1:19" hidden="1">
      <c r="A1160" t="s">
        <v>1213</v>
      </c>
      <c r="B1160" t="s">
        <v>30</v>
      </c>
      <c r="C1160">
        <v>178</v>
      </c>
      <c r="D1160">
        <v>3943</v>
      </c>
      <c r="E1160" s="2">
        <v>217.96</v>
      </c>
      <c r="F1160">
        <v>29</v>
      </c>
      <c r="G1160">
        <v>6</v>
      </c>
      <c r="H1160">
        <v>3.4000000000000002E-2</v>
      </c>
      <c r="I1160" s="3">
        <v>1037</v>
      </c>
      <c r="J1160" s="1">
        <v>45611</v>
      </c>
      <c r="K1160" t="s">
        <v>31</v>
      </c>
      <c r="L1160" t="s">
        <v>8</v>
      </c>
      <c r="M1160" t="s">
        <v>32</v>
      </c>
      <c r="N1160" s="1">
        <f t="shared" si="108"/>
        <v>45611</v>
      </c>
      <c r="O1160" s="4">
        <f t="shared" si="109"/>
        <v>4.5143291909713418E-2</v>
      </c>
      <c r="P1160">
        <f t="shared" si="110"/>
        <v>1.2244943820224719</v>
      </c>
      <c r="Q1160" s="2">
        <f t="shared" si="111"/>
        <v>7.5158620689655171</v>
      </c>
      <c r="R1160" s="2">
        <f t="shared" si="112"/>
        <v>36.326666666666668</v>
      </c>
      <c r="S1160" s="2">
        <f t="shared" si="113"/>
        <v>4.7577537162782164</v>
      </c>
    </row>
    <row r="1161" spans="1:19">
      <c r="A1161" t="s">
        <v>1214</v>
      </c>
      <c r="B1161" t="s">
        <v>30</v>
      </c>
      <c r="C1161">
        <v>111</v>
      </c>
      <c r="D1161">
        <v>3787</v>
      </c>
      <c r="E1161" s="2">
        <v>215.48</v>
      </c>
      <c r="F1161">
        <v>15</v>
      </c>
      <c r="G1161">
        <v>10</v>
      </c>
      <c r="H1161">
        <v>4.5999999999999999E-2</v>
      </c>
      <c r="I1161" s="3">
        <v>1660</v>
      </c>
      <c r="J1161" s="1">
        <v>45610</v>
      </c>
      <c r="K1161" t="s">
        <v>31</v>
      </c>
      <c r="L1161" t="s">
        <v>9</v>
      </c>
      <c r="M1161" t="s">
        <v>41</v>
      </c>
      <c r="N1161" s="1">
        <f t="shared" si="108"/>
        <v>45610</v>
      </c>
      <c r="O1161" s="4">
        <f t="shared" si="109"/>
        <v>2.9310800105624504E-2</v>
      </c>
      <c r="P1161">
        <f t="shared" si="110"/>
        <v>1.9412612612612612</v>
      </c>
      <c r="Q1161" s="2">
        <f t="shared" si="111"/>
        <v>14.365333333333332</v>
      </c>
      <c r="R1161" s="2">
        <f t="shared" si="112"/>
        <v>21.547999999999998</v>
      </c>
      <c r="S1161" s="2">
        <f t="shared" si="113"/>
        <v>7.7037312047521818</v>
      </c>
    </row>
    <row r="1162" spans="1:19">
      <c r="A1162" t="s">
        <v>1215</v>
      </c>
      <c r="B1162" t="s">
        <v>30</v>
      </c>
      <c r="C1162">
        <v>156</v>
      </c>
      <c r="D1162">
        <v>4196</v>
      </c>
      <c r="E1162" s="2">
        <v>192.96</v>
      </c>
      <c r="F1162">
        <v>11</v>
      </c>
      <c r="G1162">
        <v>5</v>
      </c>
      <c r="H1162">
        <v>4.5999999999999999E-2</v>
      </c>
      <c r="I1162" s="3">
        <v>1504</v>
      </c>
      <c r="J1162" s="1">
        <v>45622</v>
      </c>
      <c r="K1162" t="s">
        <v>31</v>
      </c>
      <c r="L1162" t="s">
        <v>8</v>
      </c>
      <c r="M1162" t="s">
        <v>32</v>
      </c>
      <c r="N1162" s="1">
        <f t="shared" si="108"/>
        <v>45622</v>
      </c>
      <c r="O1162" s="4">
        <f t="shared" si="109"/>
        <v>3.7178265014299335E-2</v>
      </c>
      <c r="P1162">
        <f t="shared" si="110"/>
        <v>1.236923076923077</v>
      </c>
      <c r="Q1162" s="2">
        <f t="shared" si="111"/>
        <v>17.541818181818183</v>
      </c>
      <c r="R1162" s="2">
        <f t="shared" si="112"/>
        <v>38.591999999999999</v>
      </c>
      <c r="S1162" s="2">
        <f t="shared" si="113"/>
        <v>7.7943615257048089</v>
      </c>
    </row>
    <row r="1163" spans="1:19" hidden="1">
      <c r="A1163" t="s">
        <v>1216</v>
      </c>
      <c r="B1163" t="s">
        <v>30</v>
      </c>
      <c r="C1163">
        <v>139</v>
      </c>
      <c r="D1163">
        <v>3408</v>
      </c>
      <c r="E1163" s="2">
        <v>193.07</v>
      </c>
      <c r="F1163">
        <v>20</v>
      </c>
      <c r="G1163">
        <v>5</v>
      </c>
      <c r="H1163">
        <v>4.2000000000000003E-2</v>
      </c>
      <c r="I1163" s="3">
        <v>1412</v>
      </c>
      <c r="J1163" s="1">
        <v>45615</v>
      </c>
      <c r="K1163" t="s">
        <v>31</v>
      </c>
      <c r="L1163" t="s">
        <v>9</v>
      </c>
      <c r="M1163" t="s">
        <v>35</v>
      </c>
      <c r="N1163" s="1">
        <f t="shared" si="108"/>
        <v>45615</v>
      </c>
      <c r="O1163" s="4">
        <f t="shared" si="109"/>
        <v>4.078638497652582E-2</v>
      </c>
      <c r="P1163">
        <f t="shared" si="110"/>
        <v>1.3889928057553957</v>
      </c>
      <c r="Q1163" s="2">
        <f t="shared" si="111"/>
        <v>9.6534999999999993</v>
      </c>
      <c r="R1163" s="2">
        <f t="shared" si="112"/>
        <v>38.613999999999997</v>
      </c>
      <c r="S1163" s="2">
        <f t="shared" si="113"/>
        <v>7.3134096441705081</v>
      </c>
    </row>
    <row r="1164" spans="1:19" hidden="1">
      <c r="A1164" t="s">
        <v>1217</v>
      </c>
      <c r="B1164" t="s">
        <v>30</v>
      </c>
      <c r="C1164">
        <v>145</v>
      </c>
      <c r="D1164">
        <v>4982</v>
      </c>
      <c r="E1164" s="2">
        <v>203.33</v>
      </c>
      <c r="F1164">
        <v>29</v>
      </c>
      <c r="G1164">
        <v>5</v>
      </c>
      <c r="H1164">
        <v>4.4999999999999998E-2</v>
      </c>
      <c r="I1164" s="3">
        <v>1555</v>
      </c>
      <c r="J1164" s="1">
        <v>45619</v>
      </c>
      <c r="K1164" t="s">
        <v>31</v>
      </c>
      <c r="L1164" t="s">
        <v>9</v>
      </c>
      <c r="M1164" t="s">
        <v>39</v>
      </c>
      <c r="N1164" s="1">
        <f t="shared" si="108"/>
        <v>45619</v>
      </c>
      <c r="O1164" s="4">
        <f t="shared" si="109"/>
        <v>2.9104777197912483E-2</v>
      </c>
      <c r="P1164">
        <f t="shared" si="110"/>
        <v>1.4022758620689657</v>
      </c>
      <c r="Q1164" s="2">
        <f t="shared" si="111"/>
        <v>7.0113793103448279</v>
      </c>
      <c r="R1164" s="2">
        <f t="shared" si="112"/>
        <v>40.666000000000004</v>
      </c>
      <c r="S1164" s="2">
        <f t="shared" si="113"/>
        <v>7.6476663551861499</v>
      </c>
    </row>
    <row r="1165" spans="1:19" hidden="1">
      <c r="A1165" t="s">
        <v>1218</v>
      </c>
      <c r="B1165" t="s">
        <v>30</v>
      </c>
      <c r="C1165">
        <v>156</v>
      </c>
      <c r="D1165">
        <v>5509</v>
      </c>
      <c r="E1165" s="2">
        <v>185.39</v>
      </c>
      <c r="F1165">
        <v>29</v>
      </c>
      <c r="G1165">
        <v>4</v>
      </c>
      <c r="H1165">
        <v>4.3999999999999997E-2</v>
      </c>
      <c r="I1165" s="3">
        <v>1649</v>
      </c>
      <c r="J1165" s="1">
        <v>45614</v>
      </c>
      <c r="K1165" t="s">
        <v>31</v>
      </c>
      <c r="L1165" t="s">
        <v>8</v>
      </c>
      <c r="M1165" t="s">
        <v>37</v>
      </c>
      <c r="N1165" s="1">
        <f t="shared" si="108"/>
        <v>45614</v>
      </c>
      <c r="O1165" s="4">
        <f t="shared" si="109"/>
        <v>2.831729896532946E-2</v>
      </c>
      <c r="P1165">
        <f t="shared" si="110"/>
        <v>1.1883974358974358</v>
      </c>
      <c r="Q1165" s="2">
        <f t="shared" si="111"/>
        <v>6.3927586206896549</v>
      </c>
      <c r="R1165" s="2">
        <f t="shared" si="112"/>
        <v>46.347499999999997</v>
      </c>
      <c r="S1165" s="2">
        <f t="shared" si="113"/>
        <v>8.8947623927935702</v>
      </c>
    </row>
    <row r="1166" spans="1:19" hidden="1">
      <c r="A1166" t="s">
        <v>1219</v>
      </c>
      <c r="B1166" t="s">
        <v>30</v>
      </c>
      <c r="C1166">
        <v>127</v>
      </c>
      <c r="D1166">
        <v>3797</v>
      </c>
      <c r="E1166" s="2">
        <v>214.67</v>
      </c>
      <c r="F1166">
        <v>20</v>
      </c>
      <c r="G1166">
        <v>7</v>
      </c>
      <c r="H1166">
        <v>5.5E-2</v>
      </c>
      <c r="I1166" s="3">
        <v>1735</v>
      </c>
      <c r="J1166" s="1">
        <v>45609</v>
      </c>
      <c r="K1166" t="s">
        <v>31</v>
      </c>
      <c r="L1166" t="s">
        <v>7</v>
      </c>
      <c r="M1166" t="s">
        <v>46</v>
      </c>
      <c r="N1166" s="1">
        <f t="shared" si="108"/>
        <v>45609</v>
      </c>
      <c r="O1166" s="4">
        <f t="shared" si="109"/>
        <v>3.3447458519884121E-2</v>
      </c>
      <c r="P1166">
        <f t="shared" si="110"/>
        <v>1.6903149606299213</v>
      </c>
      <c r="Q1166" s="2">
        <f t="shared" si="111"/>
        <v>10.733499999999999</v>
      </c>
      <c r="R1166" s="2">
        <f t="shared" si="112"/>
        <v>30.667142857142856</v>
      </c>
      <c r="S1166" s="2">
        <f t="shared" si="113"/>
        <v>8.0821726370708529</v>
      </c>
    </row>
    <row r="1167" spans="1:19" hidden="1">
      <c r="A1167" t="s">
        <v>1220</v>
      </c>
      <c r="B1167" t="s">
        <v>30</v>
      </c>
      <c r="C1167">
        <v>121</v>
      </c>
      <c r="D1167">
        <v>5064</v>
      </c>
      <c r="E1167" s="2">
        <v>246.78</v>
      </c>
      <c r="F1167">
        <v>13</v>
      </c>
      <c r="G1167">
        <v>9</v>
      </c>
      <c r="H1167">
        <v>7.3999999999999996E-2</v>
      </c>
      <c r="I1167" s="3">
        <v>1268</v>
      </c>
      <c r="J1167" s="1">
        <v>45302</v>
      </c>
      <c r="K1167" t="s">
        <v>31</v>
      </c>
      <c r="L1167" t="s">
        <v>9</v>
      </c>
      <c r="M1167" t="s">
        <v>41</v>
      </c>
      <c r="N1167" s="1">
        <f t="shared" si="108"/>
        <v>45302</v>
      </c>
      <c r="O1167" s="4">
        <f t="shared" si="109"/>
        <v>2.3894154818325436E-2</v>
      </c>
      <c r="P1167">
        <f t="shared" si="110"/>
        <v>2.0395041322314049</v>
      </c>
      <c r="Q1167" s="2">
        <f t="shared" si="111"/>
        <v>18.983076923076922</v>
      </c>
      <c r="R1167" s="2">
        <f t="shared" si="112"/>
        <v>27.42</v>
      </c>
      <c r="S1167" s="2">
        <f t="shared" si="113"/>
        <v>5.138179755247589</v>
      </c>
    </row>
    <row r="1168" spans="1:19">
      <c r="A1168" t="s">
        <v>1221</v>
      </c>
      <c r="B1168" t="s">
        <v>30</v>
      </c>
      <c r="C1168">
        <v>98</v>
      </c>
      <c r="D1168">
        <v>4217</v>
      </c>
      <c r="E1168" s="2">
        <v>234.16</v>
      </c>
      <c r="F1168">
        <v>17</v>
      </c>
      <c r="G1168">
        <v>4</v>
      </c>
      <c r="H1168">
        <v>4.5999999999999999E-2</v>
      </c>
      <c r="I1168" s="3">
        <v>1556</v>
      </c>
      <c r="J1168" s="1">
        <v>45607</v>
      </c>
      <c r="K1168" t="s">
        <v>31</v>
      </c>
      <c r="L1168" t="s">
        <v>9</v>
      </c>
      <c r="M1168" t="s">
        <v>32</v>
      </c>
      <c r="N1168" s="1">
        <f t="shared" si="108"/>
        <v>45607</v>
      </c>
      <c r="O1168" s="4">
        <f t="shared" si="109"/>
        <v>2.3239269622954709E-2</v>
      </c>
      <c r="P1168">
        <f t="shared" si="110"/>
        <v>2.3893877551020406</v>
      </c>
      <c r="Q1168" s="2">
        <f t="shared" si="111"/>
        <v>13.774117647058823</v>
      </c>
      <c r="R1168" s="2">
        <f t="shared" si="112"/>
        <v>58.54</v>
      </c>
      <c r="S1168" s="2">
        <f t="shared" si="113"/>
        <v>6.6450290399726679</v>
      </c>
    </row>
    <row r="1169" spans="1:19" hidden="1">
      <c r="A1169" t="s">
        <v>1222</v>
      </c>
      <c r="B1169" t="s">
        <v>30</v>
      </c>
      <c r="C1169">
        <v>156</v>
      </c>
      <c r="D1169">
        <v>3315</v>
      </c>
      <c r="E1169" s="2">
        <v>223.22</v>
      </c>
      <c r="F1169">
        <v>14</v>
      </c>
      <c r="G1169">
        <v>10</v>
      </c>
      <c r="H1169">
        <v>6.4000000000000001E-2</v>
      </c>
      <c r="I1169" s="3">
        <v>1581</v>
      </c>
      <c r="J1169" s="1">
        <v>45616</v>
      </c>
      <c r="K1169" t="s">
        <v>31</v>
      </c>
      <c r="L1169" t="s">
        <v>8</v>
      </c>
      <c r="M1169" t="s">
        <v>41</v>
      </c>
      <c r="N1169" s="1">
        <f t="shared" si="108"/>
        <v>45616</v>
      </c>
      <c r="O1169" s="4">
        <f t="shared" si="109"/>
        <v>4.7058823529411764E-2</v>
      </c>
      <c r="P1169">
        <f t="shared" si="110"/>
        <v>1.4308974358974358</v>
      </c>
      <c r="Q1169" s="2">
        <f t="shared" si="111"/>
        <v>15.944285714285714</v>
      </c>
      <c r="R1169" s="2">
        <f t="shared" si="112"/>
        <v>22.321999999999999</v>
      </c>
      <c r="S1169" s="2">
        <f t="shared" si="113"/>
        <v>7.0826986829137173</v>
      </c>
    </row>
    <row r="1170" spans="1:19" hidden="1">
      <c r="A1170" t="s">
        <v>1223</v>
      </c>
      <c r="B1170" t="s">
        <v>30</v>
      </c>
      <c r="C1170">
        <v>191</v>
      </c>
      <c r="D1170">
        <v>4017</v>
      </c>
      <c r="E1170" s="2">
        <v>203.52</v>
      </c>
      <c r="F1170">
        <v>20</v>
      </c>
      <c r="G1170">
        <v>4</v>
      </c>
      <c r="H1170">
        <v>2.1000000000000001E-2</v>
      </c>
      <c r="I1170" s="3">
        <v>1505</v>
      </c>
      <c r="J1170" s="1">
        <v>45626</v>
      </c>
      <c r="K1170" t="s">
        <v>31</v>
      </c>
      <c r="L1170" t="s">
        <v>8</v>
      </c>
      <c r="M1170" t="s">
        <v>41</v>
      </c>
      <c r="N1170" s="1">
        <f t="shared" si="108"/>
        <v>45626</v>
      </c>
      <c r="O1170" s="4">
        <f t="shared" si="109"/>
        <v>4.7547921334329099E-2</v>
      </c>
      <c r="P1170">
        <f t="shared" si="110"/>
        <v>1.0655497382198953</v>
      </c>
      <c r="Q1170" s="2">
        <f t="shared" si="111"/>
        <v>10.176</v>
      </c>
      <c r="R1170" s="2">
        <f t="shared" si="112"/>
        <v>50.88</v>
      </c>
      <c r="S1170" s="2">
        <f t="shared" si="113"/>
        <v>7.3948506289308176</v>
      </c>
    </row>
    <row r="1171" spans="1:19" hidden="1">
      <c r="A1171" t="s">
        <v>1224</v>
      </c>
      <c r="B1171" t="s">
        <v>30</v>
      </c>
      <c r="C1171">
        <v>193</v>
      </c>
      <c r="D1171">
        <v>5094</v>
      </c>
      <c r="E1171" s="2">
        <v>205.53</v>
      </c>
      <c r="F1171">
        <v>18</v>
      </c>
      <c r="G1171">
        <v>3</v>
      </c>
      <c r="H1171">
        <v>1.6E-2</v>
      </c>
      <c r="I1171" s="3">
        <v>1451</v>
      </c>
      <c r="J1171" s="1">
        <v>45603</v>
      </c>
      <c r="K1171" t="s">
        <v>31</v>
      </c>
      <c r="L1171" t="s">
        <v>8</v>
      </c>
      <c r="M1171" t="s">
        <v>37</v>
      </c>
      <c r="N1171" s="1">
        <f t="shared" si="108"/>
        <v>45603</v>
      </c>
      <c r="O1171" s="4">
        <f t="shared" si="109"/>
        <v>3.7887711032587361E-2</v>
      </c>
      <c r="P1171">
        <f t="shared" si="110"/>
        <v>1.0649222797927462</v>
      </c>
      <c r="Q1171" s="2">
        <f t="shared" si="111"/>
        <v>11.418333333333333</v>
      </c>
      <c r="R1171" s="2">
        <f t="shared" si="112"/>
        <v>68.510000000000005</v>
      </c>
      <c r="S1171" s="2">
        <f t="shared" si="113"/>
        <v>7.0597966233639857</v>
      </c>
    </row>
    <row r="1172" spans="1:19">
      <c r="A1172" t="s">
        <v>1225</v>
      </c>
      <c r="B1172" t="s">
        <v>30</v>
      </c>
      <c r="C1172">
        <v>167</v>
      </c>
      <c r="D1172">
        <v>4518.5</v>
      </c>
      <c r="E1172" s="2">
        <v>244.62</v>
      </c>
      <c r="F1172">
        <v>11</v>
      </c>
      <c r="G1172">
        <v>9</v>
      </c>
      <c r="H1172">
        <v>4.5999999999999999E-2</v>
      </c>
      <c r="I1172" s="3">
        <v>1465</v>
      </c>
      <c r="J1172" s="1">
        <v>45606</v>
      </c>
      <c r="K1172" t="s">
        <v>31</v>
      </c>
      <c r="L1172" t="s">
        <v>9</v>
      </c>
      <c r="M1172" t="s">
        <v>37</v>
      </c>
      <c r="N1172" s="1">
        <f t="shared" si="108"/>
        <v>45606</v>
      </c>
      <c r="O1172" s="4">
        <f t="shared" si="109"/>
        <v>3.6959167865442073E-2</v>
      </c>
      <c r="P1172">
        <f t="shared" si="110"/>
        <v>1.4647904191616767</v>
      </c>
      <c r="Q1172" s="2">
        <f t="shared" si="111"/>
        <v>22.238181818181818</v>
      </c>
      <c r="R1172" s="2">
        <f t="shared" si="112"/>
        <v>27.18</v>
      </c>
      <c r="S1172" s="2">
        <f t="shared" si="113"/>
        <v>5.9888807129425228</v>
      </c>
    </row>
    <row r="1173" spans="1:19" hidden="1">
      <c r="A1173" t="s">
        <v>1226</v>
      </c>
      <c r="B1173" t="s">
        <v>30</v>
      </c>
      <c r="C1173">
        <v>177</v>
      </c>
      <c r="D1173">
        <v>5449</v>
      </c>
      <c r="E1173" s="2">
        <v>190.53</v>
      </c>
      <c r="F1173">
        <v>10</v>
      </c>
      <c r="G1173">
        <v>5</v>
      </c>
      <c r="H1173">
        <v>2.8000000000000001E-2</v>
      </c>
      <c r="I1173" s="3">
        <v>1257</v>
      </c>
      <c r="J1173" s="1">
        <v>45615</v>
      </c>
      <c r="K1173" t="s">
        <v>31</v>
      </c>
      <c r="L1173" t="s">
        <v>8</v>
      </c>
      <c r="M1173" t="s">
        <v>35</v>
      </c>
      <c r="N1173" s="1">
        <f t="shared" si="108"/>
        <v>45615</v>
      </c>
      <c r="O1173" s="4">
        <f t="shared" si="109"/>
        <v>3.2483024408148285E-2</v>
      </c>
      <c r="P1173">
        <f t="shared" si="110"/>
        <v>1.0764406779661018</v>
      </c>
      <c r="Q1173" s="2">
        <f t="shared" si="111"/>
        <v>19.053000000000001</v>
      </c>
      <c r="R1173" s="2">
        <f t="shared" si="112"/>
        <v>38.106000000000002</v>
      </c>
      <c r="S1173" s="2">
        <f t="shared" si="113"/>
        <v>6.5973862383876556</v>
      </c>
    </row>
    <row r="1174" spans="1:19" hidden="1">
      <c r="A1174" t="s">
        <v>1227</v>
      </c>
      <c r="B1174" t="s">
        <v>30</v>
      </c>
      <c r="C1174">
        <v>175</v>
      </c>
      <c r="D1174">
        <v>5732</v>
      </c>
      <c r="E1174" s="2">
        <v>208.46</v>
      </c>
      <c r="F1174">
        <v>25</v>
      </c>
      <c r="G1174">
        <v>3</v>
      </c>
      <c r="H1174">
        <v>1.7000000000000001E-2</v>
      </c>
      <c r="I1174" s="3">
        <v>1579</v>
      </c>
      <c r="J1174" s="1">
        <v>45607</v>
      </c>
      <c r="K1174" t="s">
        <v>31</v>
      </c>
      <c r="L1174" t="s">
        <v>9</v>
      </c>
      <c r="M1174" t="s">
        <v>37</v>
      </c>
      <c r="N1174" s="1">
        <f t="shared" si="108"/>
        <v>45607</v>
      </c>
      <c r="O1174" s="4">
        <f t="shared" si="109"/>
        <v>3.0530355896720169E-2</v>
      </c>
      <c r="P1174">
        <f t="shared" si="110"/>
        <v>1.1912</v>
      </c>
      <c r="Q1174" s="2">
        <f t="shared" si="111"/>
        <v>8.3384</v>
      </c>
      <c r="R1174" s="2">
        <f t="shared" si="112"/>
        <v>69.486666666666665</v>
      </c>
      <c r="S1174" s="2">
        <f t="shared" si="113"/>
        <v>7.5745946464549547</v>
      </c>
    </row>
    <row r="1175" spans="1:19" hidden="1">
      <c r="A1175" t="s">
        <v>1228</v>
      </c>
      <c r="B1175" t="s">
        <v>30</v>
      </c>
      <c r="C1175">
        <v>122</v>
      </c>
      <c r="D1175">
        <v>4678</v>
      </c>
      <c r="E1175" s="2">
        <v>248.7</v>
      </c>
      <c r="F1175">
        <v>25</v>
      </c>
      <c r="G1175">
        <v>4</v>
      </c>
      <c r="H1175">
        <v>3.1E-2</v>
      </c>
      <c r="I1175" s="3">
        <v>1744</v>
      </c>
      <c r="J1175" s="1">
        <v>45607</v>
      </c>
      <c r="K1175" t="s">
        <v>31</v>
      </c>
      <c r="L1175" t="s">
        <v>7</v>
      </c>
      <c r="M1175" t="s">
        <v>35</v>
      </c>
      <c r="N1175" s="1">
        <f t="shared" si="108"/>
        <v>45607</v>
      </c>
      <c r="O1175" s="4">
        <f t="shared" si="109"/>
        <v>2.6079521162890123E-2</v>
      </c>
      <c r="P1175">
        <f t="shared" si="110"/>
        <v>2.0385245901639344</v>
      </c>
      <c r="Q1175" s="2">
        <f t="shared" si="111"/>
        <v>9.9480000000000004</v>
      </c>
      <c r="R1175" s="2">
        <f t="shared" si="112"/>
        <v>62.174999999999997</v>
      </c>
      <c r="S1175" s="2">
        <f t="shared" si="113"/>
        <v>7.0124648170486532</v>
      </c>
    </row>
    <row r="1176" spans="1:19" hidden="1">
      <c r="A1176" t="s">
        <v>1229</v>
      </c>
      <c r="B1176" t="s">
        <v>30</v>
      </c>
      <c r="C1176">
        <v>121</v>
      </c>
      <c r="D1176">
        <v>4088</v>
      </c>
      <c r="E1176" s="2">
        <v>223.85</v>
      </c>
      <c r="F1176">
        <v>19</v>
      </c>
      <c r="G1176">
        <v>3</v>
      </c>
      <c r="H1176">
        <v>2.5000000000000001E-2</v>
      </c>
      <c r="I1176" s="3">
        <v>1248</v>
      </c>
      <c r="J1176" s="1">
        <v>45622</v>
      </c>
      <c r="K1176" t="s">
        <v>31</v>
      </c>
      <c r="L1176" t="s">
        <v>8</v>
      </c>
      <c r="M1176" t="s">
        <v>41</v>
      </c>
      <c r="N1176" s="1">
        <f t="shared" si="108"/>
        <v>45622</v>
      </c>
      <c r="O1176" s="4">
        <f t="shared" si="109"/>
        <v>2.9598825831702542E-2</v>
      </c>
      <c r="P1176">
        <f t="shared" si="110"/>
        <v>1.8499999999999999</v>
      </c>
      <c r="Q1176" s="2">
        <f t="shared" si="111"/>
        <v>11.781578947368422</v>
      </c>
      <c r="R1176" s="2">
        <f t="shared" si="112"/>
        <v>74.61666666666666</v>
      </c>
      <c r="S1176" s="2">
        <f t="shared" si="113"/>
        <v>5.5751619387983027</v>
      </c>
    </row>
    <row r="1177" spans="1:19" hidden="1">
      <c r="A1177" t="s">
        <v>1230</v>
      </c>
      <c r="B1177" t="s">
        <v>30</v>
      </c>
      <c r="C1177">
        <v>125</v>
      </c>
      <c r="D1177">
        <v>4528</v>
      </c>
      <c r="E1177" s="2">
        <v>186.6</v>
      </c>
      <c r="F1177">
        <v>10</v>
      </c>
      <c r="G1177">
        <v>9</v>
      </c>
      <c r="H1177">
        <v>7.1999999999999995E-2</v>
      </c>
      <c r="I1177" s="3">
        <v>1167</v>
      </c>
      <c r="J1177" s="1">
        <v>45602</v>
      </c>
      <c r="K1177" t="s">
        <v>31</v>
      </c>
      <c r="L1177" t="s">
        <v>7</v>
      </c>
      <c r="M1177" t="s">
        <v>39</v>
      </c>
      <c r="N1177" s="1">
        <f t="shared" si="108"/>
        <v>45602</v>
      </c>
      <c r="O1177" s="4">
        <f t="shared" si="109"/>
        <v>2.7606007067137808E-2</v>
      </c>
      <c r="P1177">
        <f t="shared" si="110"/>
        <v>1.4927999999999999</v>
      </c>
      <c r="Q1177" s="2">
        <f t="shared" si="111"/>
        <v>18.66</v>
      </c>
      <c r="R1177" s="2">
        <f t="shared" si="112"/>
        <v>20.733333333333334</v>
      </c>
      <c r="S1177" s="2">
        <f t="shared" si="113"/>
        <v>6.254019292604502</v>
      </c>
    </row>
    <row r="1178" spans="1:19" hidden="1">
      <c r="A1178" t="s">
        <v>1231</v>
      </c>
      <c r="B1178" t="s">
        <v>30</v>
      </c>
      <c r="C1178">
        <v>81</v>
      </c>
      <c r="D1178">
        <v>3946</v>
      </c>
      <c r="E1178" s="2">
        <v>202.95</v>
      </c>
      <c r="F1178">
        <v>10</v>
      </c>
      <c r="G1178">
        <v>7</v>
      </c>
      <c r="H1178">
        <v>4.5999999999999999E-2</v>
      </c>
      <c r="I1178" s="3">
        <v>1970</v>
      </c>
      <c r="J1178" s="1">
        <v>45623</v>
      </c>
      <c r="K1178" t="s">
        <v>31</v>
      </c>
      <c r="L1178" t="s">
        <v>8</v>
      </c>
      <c r="M1178" t="s">
        <v>39</v>
      </c>
      <c r="N1178" s="1">
        <f t="shared" si="108"/>
        <v>45623</v>
      </c>
      <c r="O1178" s="4">
        <f t="shared" si="109"/>
        <v>2.0527116066903193E-2</v>
      </c>
      <c r="P1178">
        <f t="shared" si="110"/>
        <v>2.5055555555555555</v>
      </c>
      <c r="Q1178" s="2">
        <f t="shared" si="111"/>
        <v>20.294999999999998</v>
      </c>
      <c r="R1178" s="2">
        <f t="shared" si="112"/>
        <v>28.99285714285714</v>
      </c>
      <c r="S1178" s="2">
        <f t="shared" si="113"/>
        <v>9.7068243409706838</v>
      </c>
    </row>
    <row r="1179" spans="1:19" hidden="1">
      <c r="A1179" t="s">
        <v>1232</v>
      </c>
      <c r="B1179" t="s">
        <v>30</v>
      </c>
      <c r="C1179">
        <v>112</v>
      </c>
      <c r="D1179">
        <v>4486</v>
      </c>
      <c r="E1179" s="2">
        <v>249.23</v>
      </c>
      <c r="F1179">
        <v>28</v>
      </c>
      <c r="G1179">
        <v>3</v>
      </c>
      <c r="H1179">
        <v>2.7E-2</v>
      </c>
      <c r="I1179" s="3">
        <v>1572</v>
      </c>
      <c r="J1179" s="1">
        <v>45622</v>
      </c>
      <c r="K1179" t="s">
        <v>31</v>
      </c>
      <c r="L1179" t="s">
        <v>7</v>
      </c>
      <c r="M1179" t="s">
        <v>46</v>
      </c>
      <c r="N1179" s="1">
        <f t="shared" si="108"/>
        <v>45622</v>
      </c>
      <c r="O1179" s="4">
        <f t="shared" si="109"/>
        <v>2.4966562639322336E-2</v>
      </c>
      <c r="P1179">
        <f t="shared" si="110"/>
        <v>2.2252678571428572</v>
      </c>
      <c r="Q1179" s="2">
        <f t="shared" si="111"/>
        <v>8.901071428571429</v>
      </c>
      <c r="R1179" s="2">
        <f t="shared" si="112"/>
        <v>83.076666666666668</v>
      </c>
      <c r="S1179" s="2">
        <f t="shared" si="113"/>
        <v>6.307426874774305</v>
      </c>
    </row>
    <row r="1180" spans="1:19">
      <c r="A1180" t="s">
        <v>1233</v>
      </c>
      <c r="B1180" t="s">
        <v>30</v>
      </c>
      <c r="C1180">
        <v>152</v>
      </c>
      <c r="D1180">
        <v>5290</v>
      </c>
      <c r="E1180" s="2">
        <v>182.01</v>
      </c>
      <c r="F1180">
        <v>24</v>
      </c>
      <c r="G1180">
        <v>4</v>
      </c>
      <c r="H1180">
        <v>4.5999999999999999E-2</v>
      </c>
      <c r="I1180" s="3">
        <v>1673</v>
      </c>
      <c r="J1180" s="1">
        <v>45423</v>
      </c>
      <c r="K1180" t="s">
        <v>31</v>
      </c>
      <c r="L1180" t="s">
        <v>8</v>
      </c>
      <c r="M1180" t="s">
        <v>46</v>
      </c>
      <c r="N1180" s="1">
        <f t="shared" si="108"/>
        <v>45423</v>
      </c>
      <c r="O1180" s="4">
        <f t="shared" si="109"/>
        <v>2.8733459357277884E-2</v>
      </c>
      <c r="P1180">
        <f t="shared" si="110"/>
        <v>1.1974342105263158</v>
      </c>
      <c r="Q1180" s="2">
        <f t="shared" si="111"/>
        <v>7.5837499999999993</v>
      </c>
      <c r="R1180" s="2">
        <f t="shared" si="112"/>
        <v>45.502499999999998</v>
      </c>
      <c r="S1180" s="2">
        <f t="shared" si="113"/>
        <v>9.1918026482061421</v>
      </c>
    </row>
    <row r="1181" spans="1:19" hidden="1">
      <c r="A1181" t="s">
        <v>1234</v>
      </c>
      <c r="B1181" t="s">
        <v>30</v>
      </c>
      <c r="C1181">
        <v>134</v>
      </c>
      <c r="D1181">
        <v>5163</v>
      </c>
      <c r="E1181" s="2">
        <v>245.4</v>
      </c>
      <c r="F1181">
        <v>26</v>
      </c>
      <c r="G1181">
        <v>5</v>
      </c>
      <c r="H1181">
        <v>4.7E-2</v>
      </c>
      <c r="I1181" s="3">
        <v>1505</v>
      </c>
      <c r="J1181" s="1">
        <v>45610</v>
      </c>
      <c r="K1181" t="s">
        <v>31</v>
      </c>
      <c r="L1181" t="s">
        <v>9</v>
      </c>
      <c r="M1181" t="s">
        <v>46</v>
      </c>
      <c r="N1181" s="1">
        <f t="shared" si="108"/>
        <v>45610</v>
      </c>
      <c r="O1181" s="4">
        <f t="shared" si="109"/>
        <v>2.5953902769707535E-2</v>
      </c>
      <c r="P1181">
        <f t="shared" si="110"/>
        <v>1.8313432835820895</v>
      </c>
      <c r="Q1181" s="2">
        <f t="shared" si="111"/>
        <v>9.4384615384615387</v>
      </c>
      <c r="R1181" s="2">
        <f t="shared" si="112"/>
        <v>49.08</v>
      </c>
      <c r="S1181" s="2">
        <f t="shared" si="113"/>
        <v>6.1328443357783211</v>
      </c>
    </row>
    <row r="1182" spans="1:19" hidden="1">
      <c r="A1182" t="s">
        <v>1235</v>
      </c>
      <c r="B1182" t="s">
        <v>30</v>
      </c>
      <c r="C1182">
        <v>111</v>
      </c>
      <c r="D1182">
        <v>3978</v>
      </c>
      <c r="E1182" s="2">
        <v>192.14</v>
      </c>
      <c r="F1182">
        <v>19</v>
      </c>
      <c r="G1182">
        <v>5</v>
      </c>
      <c r="H1182">
        <v>4.4999999999999998E-2</v>
      </c>
      <c r="I1182" s="3">
        <v>1500</v>
      </c>
      <c r="J1182" s="1">
        <v>45454</v>
      </c>
      <c r="K1182" t="s">
        <v>31</v>
      </c>
      <c r="L1182" t="s">
        <v>7</v>
      </c>
      <c r="M1182" t="s">
        <v>46</v>
      </c>
      <c r="N1182" s="1">
        <f t="shared" si="108"/>
        <v>45454</v>
      </c>
      <c r="O1182" s="4">
        <f t="shared" si="109"/>
        <v>2.790346907993967E-2</v>
      </c>
      <c r="P1182">
        <f t="shared" si="110"/>
        <v>1.7309909909909909</v>
      </c>
      <c r="Q1182" s="2">
        <f t="shared" si="111"/>
        <v>10.112631578947367</v>
      </c>
      <c r="R1182" s="2">
        <f t="shared" si="112"/>
        <v>38.427999999999997</v>
      </c>
      <c r="S1182" s="2">
        <f t="shared" si="113"/>
        <v>7.8068075361715419</v>
      </c>
    </row>
    <row r="1183" spans="1:19" hidden="1">
      <c r="A1183" t="s">
        <v>1236</v>
      </c>
      <c r="B1183" t="s">
        <v>30</v>
      </c>
      <c r="C1183">
        <v>194</v>
      </c>
      <c r="D1183">
        <v>4217</v>
      </c>
      <c r="E1183" s="2">
        <v>187.34</v>
      </c>
      <c r="F1183">
        <v>12</v>
      </c>
      <c r="G1183">
        <v>10</v>
      </c>
      <c r="H1183">
        <v>5.1999999999999998E-2</v>
      </c>
      <c r="I1183" s="3">
        <v>1669</v>
      </c>
      <c r="J1183" s="1">
        <v>45603</v>
      </c>
      <c r="K1183" t="s">
        <v>31</v>
      </c>
      <c r="L1183" t="s">
        <v>9</v>
      </c>
      <c r="M1183" t="s">
        <v>39</v>
      </c>
      <c r="N1183" s="1">
        <f t="shared" si="108"/>
        <v>45603</v>
      </c>
      <c r="O1183" s="4">
        <f t="shared" si="109"/>
        <v>4.6004268437277687E-2</v>
      </c>
      <c r="P1183">
        <f t="shared" si="110"/>
        <v>0.96567010309278356</v>
      </c>
      <c r="Q1183" s="2">
        <f t="shared" si="111"/>
        <v>15.611666666666666</v>
      </c>
      <c r="R1183" s="2">
        <f t="shared" si="112"/>
        <v>18.734000000000002</v>
      </c>
      <c r="S1183" s="2">
        <f t="shared" si="113"/>
        <v>8.9089356250667233</v>
      </c>
    </row>
    <row r="1184" spans="1:19" hidden="1">
      <c r="A1184" t="s">
        <v>1237</v>
      </c>
      <c r="B1184" t="s">
        <v>30</v>
      </c>
      <c r="C1184">
        <v>150</v>
      </c>
      <c r="D1184">
        <v>5907</v>
      </c>
      <c r="E1184" s="2">
        <v>241.8</v>
      </c>
      <c r="F1184">
        <v>25</v>
      </c>
      <c r="G1184">
        <v>7</v>
      </c>
      <c r="H1184">
        <v>4.7E-2</v>
      </c>
      <c r="I1184" s="3">
        <v>1430</v>
      </c>
      <c r="J1184" s="1">
        <v>45607</v>
      </c>
      <c r="K1184" t="s">
        <v>31</v>
      </c>
      <c r="L1184" t="s">
        <v>7</v>
      </c>
      <c r="M1184" t="s">
        <v>37</v>
      </c>
      <c r="N1184" s="1">
        <f t="shared" si="108"/>
        <v>45607</v>
      </c>
      <c r="O1184" s="4">
        <f t="shared" si="109"/>
        <v>2.5393600812595226E-2</v>
      </c>
      <c r="P1184">
        <f t="shared" si="110"/>
        <v>1.6120000000000001</v>
      </c>
      <c r="Q1184" s="2">
        <f t="shared" si="111"/>
        <v>9.6720000000000006</v>
      </c>
      <c r="R1184" s="2">
        <f t="shared" si="112"/>
        <v>34.542857142857144</v>
      </c>
      <c r="S1184" s="2">
        <f t="shared" si="113"/>
        <v>5.913978494623656</v>
      </c>
    </row>
    <row r="1185" spans="1:19" hidden="1">
      <c r="A1185" t="s">
        <v>1238</v>
      </c>
      <c r="B1185" t="s">
        <v>30</v>
      </c>
      <c r="C1185">
        <v>100</v>
      </c>
      <c r="D1185">
        <v>5970</v>
      </c>
      <c r="E1185" s="2">
        <v>224.79</v>
      </c>
      <c r="F1185">
        <v>13</v>
      </c>
      <c r="G1185">
        <v>9</v>
      </c>
      <c r="H1185">
        <v>0.09</v>
      </c>
      <c r="I1185" s="3">
        <v>1895</v>
      </c>
      <c r="J1185" s="1">
        <v>45611</v>
      </c>
      <c r="K1185" t="s">
        <v>31</v>
      </c>
      <c r="L1185" t="s">
        <v>8</v>
      </c>
      <c r="M1185" t="s">
        <v>39</v>
      </c>
      <c r="N1185" s="1">
        <f t="shared" si="108"/>
        <v>45611</v>
      </c>
      <c r="O1185" s="4">
        <f t="shared" si="109"/>
        <v>1.675041876046901E-2</v>
      </c>
      <c r="P1185">
        <f t="shared" si="110"/>
        <v>2.2479</v>
      </c>
      <c r="Q1185" s="2">
        <f t="shared" si="111"/>
        <v>17.291538461538462</v>
      </c>
      <c r="R1185" s="2">
        <f t="shared" si="112"/>
        <v>24.976666666666667</v>
      </c>
      <c r="S1185" s="2">
        <f t="shared" si="113"/>
        <v>8.4300903065082977</v>
      </c>
    </row>
    <row r="1186" spans="1:19">
      <c r="A1186" t="s">
        <v>1239</v>
      </c>
      <c r="B1186" t="s">
        <v>30</v>
      </c>
      <c r="C1186">
        <v>186</v>
      </c>
      <c r="D1186">
        <v>5142</v>
      </c>
      <c r="E1186" s="2">
        <v>236.2</v>
      </c>
      <c r="F1186">
        <v>18</v>
      </c>
      <c r="G1186">
        <v>4</v>
      </c>
      <c r="H1186">
        <v>4.5999999999999999E-2</v>
      </c>
      <c r="I1186" s="3">
        <v>1990</v>
      </c>
      <c r="J1186" s="1">
        <v>45620</v>
      </c>
      <c r="K1186" t="s">
        <v>31</v>
      </c>
      <c r="L1186" t="s">
        <v>9</v>
      </c>
      <c r="M1186" t="s">
        <v>37</v>
      </c>
      <c r="N1186" s="1">
        <f t="shared" si="108"/>
        <v>45620</v>
      </c>
      <c r="O1186" s="4">
        <f t="shared" si="109"/>
        <v>3.6172695449241538E-2</v>
      </c>
      <c r="P1186">
        <f t="shared" si="110"/>
        <v>1.2698924731182795</v>
      </c>
      <c r="Q1186" s="2">
        <f t="shared" si="111"/>
        <v>13.122222222222222</v>
      </c>
      <c r="R1186" s="2">
        <f t="shared" si="112"/>
        <v>59.05</v>
      </c>
      <c r="S1186" s="2">
        <f t="shared" si="113"/>
        <v>8.425063505503811</v>
      </c>
    </row>
    <row r="1187" spans="1:19" hidden="1">
      <c r="A1187" t="s">
        <v>1240</v>
      </c>
      <c r="B1187" t="s">
        <v>30</v>
      </c>
      <c r="C1187">
        <v>130</v>
      </c>
      <c r="D1187">
        <v>3715</v>
      </c>
      <c r="E1187" s="2">
        <v>243.34</v>
      </c>
      <c r="F1187">
        <v>12</v>
      </c>
      <c r="G1187">
        <v>8</v>
      </c>
      <c r="H1187">
        <v>6.2E-2</v>
      </c>
      <c r="I1187" s="3">
        <v>1482</v>
      </c>
      <c r="J1187" s="1">
        <v>45597</v>
      </c>
      <c r="K1187" t="s">
        <v>31</v>
      </c>
      <c r="L1187" t="s">
        <v>7</v>
      </c>
      <c r="M1187" t="s">
        <v>37</v>
      </c>
      <c r="N1187" s="1">
        <f t="shared" si="108"/>
        <v>45597</v>
      </c>
      <c r="O1187" s="4">
        <f t="shared" si="109"/>
        <v>3.4993270524899055E-2</v>
      </c>
      <c r="P1187">
        <f t="shared" si="110"/>
        <v>1.8718461538461539</v>
      </c>
      <c r="Q1187" s="2">
        <f t="shared" si="111"/>
        <v>20.278333333333332</v>
      </c>
      <c r="R1187" s="2">
        <f t="shared" si="112"/>
        <v>30.4175</v>
      </c>
      <c r="S1187" s="2">
        <f t="shared" si="113"/>
        <v>6.0902441029012904</v>
      </c>
    </row>
    <row r="1188" spans="1:19">
      <c r="A1188" t="s">
        <v>1241</v>
      </c>
      <c r="B1188" t="s">
        <v>30</v>
      </c>
      <c r="C1188">
        <v>158</v>
      </c>
      <c r="D1188">
        <v>4192</v>
      </c>
      <c r="E1188" s="2">
        <v>186.25</v>
      </c>
      <c r="F1188">
        <v>27</v>
      </c>
      <c r="G1188">
        <v>10</v>
      </c>
      <c r="H1188">
        <v>4.5999999999999999E-2</v>
      </c>
      <c r="I1188" s="3">
        <v>1968</v>
      </c>
      <c r="J1188" s="1">
        <v>45454</v>
      </c>
      <c r="K1188" t="s">
        <v>31</v>
      </c>
      <c r="L1188" t="s">
        <v>9</v>
      </c>
      <c r="M1188" t="s">
        <v>41</v>
      </c>
      <c r="N1188" s="1">
        <f t="shared" si="108"/>
        <v>45454</v>
      </c>
      <c r="O1188" s="4">
        <f t="shared" si="109"/>
        <v>3.7690839694656489E-2</v>
      </c>
      <c r="P1188">
        <f t="shared" si="110"/>
        <v>1.1787974683544304</v>
      </c>
      <c r="Q1188" s="2">
        <f t="shared" si="111"/>
        <v>6.8981481481481479</v>
      </c>
      <c r="R1188" s="2">
        <f t="shared" si="112"/>
        <v>18.625</v>
      </c>
      <c r="S1188" s="2">
        <f t="shared" si="113"/>
        <v>10.566442953020134</v>
      </c>
    </row>
    <row r="1189" spans="1:19" hidden="1">
      <c r="A1189" t="s">
        <v>1242</v>
      </c>
      <c r="B1189" t="s">
        <v>30</v>
      </c>
      <c r="C1189">
        <v>155</v>
      </c>
      <c r="D1189">
        <v>5121</v>
      </c>
      <c r="E1189" s="2">
        <v>248.16</v>
      </c>
      <c r="F1189">
        <v>22</v>
      </c>
      <c r="G1189">
        <v>8</v>
      </c>
      <c r="H1189">
        <v>5.1999999999999998E-2</v>
      </c>
      <c r="I1189" s="3">
        <v>1027</v>
      </c>
      <c r="J1189" s="1">
        <v>45602</v>
      </c>
      <c r="K1189" t="s">
        <v>31</v>
      </c>
      <c r="L1189" t="s">
        <v>9</v>
      </c>
      <c r="M1189" t="s">
        <v>41</v>
      </c>
      <c r="N1189" s="1">
        <f t="shared" si="108"/>
        <v>45602</v>
      </c>
      <c r="O1189" s="4">
        <f t="shared" si="109"/>
        <v>3.0267525873852764E-2</v>
      </c>
      <c r="P1189">
        <f t="shared" si="110"/>
        <v>1.6010322580645162</v>
      </c>
      <c r="Q1189" s="2">
        <f t="shared" si="111"/>
        <v>11.28</v>
      </c>
      <c r="R1189" s="2">
        <f t="shared" si="112"/>
        <v>31.02</v>
      </c>
      <c r="S1189" s="2">
        <f t="shared" si="113"/>
        <v>4.1384590586718248</v>
      </c>
    </row>
    <row r="1190" spans="1:19" hidden="1">
      <c r="A1190" t="s">
        <v>1243</v>
      </c>
      <c r="B1190" t="s">
        <v>30</v>
      </c>
      <c r="C1190">
        <v>190</v>
      </c>
      <c r="D1190">
        <v>5984</v>
      </c>
      <c r="E1190" s="2">
        <v>209.35</v>
      </c>
      <c r="F1190">
        <v>14</v>
      </c>
      <c r="G1190">
        <v>6</v>
      </c>
      <c r="H1190">
        <v>3.2000000000000001E-2</v>
      </c>
      <c r="I1190" s="3">
        <v>1964</v>
      </c>
      <c r="J1190" s="1">
        <v>45454</v>
      </c>
      <c r="K1190" t="s">
        <v>31</v>
      </c>
      <c r="L1190" t="s">
        <v>7</v>
      </c>
      <c r="M1190" t="s">
        <v>35</v>
      </c>
      <c r="N1190" s="1">
        <f t="shared" si="108"/>
        <v>45454</v>
      </c>
      <c r="O1190" s="4">
        <f t="shared" si="109"/>
        <v>3.1751336898395724E-2</v>
      </c>
      <c r="P1190">
        <f t="shared" si="110"/>
        <v>1.101842105263158</v>
      </c>
      <c r="Q1190" s="2">
        <f t="shared" si="111"/>
        <v>14.953571428571427</v>
      </c>
      <c r="R1190" s="2">
        <f t="shared" si="112"/>
        <v>34.891666666666666</v>
      </c>
      <c r="S1190" s="2">
        <f t="shared" si="113"/>
        <v>9.3814186768569385</v>
      </c>
    </row>
    <row r="1191" spans="1:19" hidden="1">
      <c r="A1191" t="s">
        <v>1244</v>
      </c>
      <c r="B1191" t="s">
        <v>30</v>
      </c>
      <c r="C1191">
        <v>191</v>
      </c>
      <c r="D1191">
        <v>3220</v>
      </c>
      <c r="E1191" s="2">
        <v>183.33</v>
      </c>
      <c r="F1191">
        <v>20</v>
      </c>
      <c r="G1191">
        <v>6</v>
      </c>
      <c r="H1191">
        <v>5.0999999999999997E-2</v>
      </c>
      <c r="I1191" s="3">
        <v>1942</v>
      </c>
      <c r="J1191" s="1">
        <v>45624</v>
      </c>
      <c r="K1191" t="s">
        <v>31</v>
      </c>
      <c r="L1191" t="s">
        <v>9</v>
      </c>
      <c r="M1191" t="s">
        <v>39</v>
      </c>
      <c r="N1191" s="1">
        <f t="shared" si="108"/>
        <v>45624</v>
      </c>
      <c r="O1191" s="4">
        <f t="shared" si="109"/>
        <v>5.9316770186335403E-2</v>
      </c>
      <c r="P1191">
        <f t="shared" si="110"/>
        <v>0.95984293193717285</v>
      </c>
      <c r="Q1191" s="2">
        <f t="shared" si="111"/>
        <v>9.166500000000001</v>
      </c>
      <c r="R1191" s="2">
        <f t="shared" si="112"/>
        <v>30.555000000000003</v>
      </c>
      <c r="S1191" s="2">
        <f t="shared" si="113"/>
        <v>10.592919871270386</v>
      </c>
    </row>
    <row r="1192" spans="1:19" hidden="1">
      <c r="A1192" t="s">
        <v>1245</v>
      </c>
      <c r="B1192" t="s">
        <v>30</v>
      </c>
      <c r="C1192">
        <v>145</v>
      </c>
      <c r="D1192">
        <v>5761</v>
      </c>
      <c r="E1192" s="2">
        <v>202.07</v>
      </c>
      <c r="F1192">
        <v>17</v>
      </c>
      <c r="G1192">
        <v>3</v>
      </c>
      <c r="H1192">
        <v>2.1000000000000001E-2</v>
      </c>
      <c r="I1192" s="3">
        <v>1037</v>
      </c>
      <c r="J1192" s="1">
        <v>45609</v>
      </c>
      <c r="K1192" t="s">
        <v>31</v>
      </c>
      <c r="L1192" t="s">
        <v>8</v>
      </c>
      <c r="M1192" t="s">
        <v>37</v>
      </c>
      <c r="N1192" s="1">
        <f t="shared" si="108"/>
        <v>45609</v>
      </c>
      <c r="O1192" s="4">
        <f t="shared" si="109"/>
        <v>2.5169241451136956E-2</v>
      </c>
      <c r="P1192">
        <f t="shared" si="110"/>
        <v>1.3935862068965517</v>
      </c>
      <c r="Q1192" s="2">
        <f t="shared" si="111"/>
        <v>11.886470588235294</v>
      </c>
      <c r="R1192" s="2">
        <f t="shared" si="112"/>
        <v>67.356666666666669</v>
      </c>
      <c r="S1192" s="2">
        <f t="shared" si="113"/>
        <v>5.1318849903498789</v>
      </c>
    </row>
    <row r="1193" spans="1:19" hidden="1">
      <c r="A1193" t="s">
        <v>1246</v>
      </c>
      <c r="B1193" t="s">
        <v>30</v>
      </c>
      <c r="C1193">
        <v>102</v>
      </c>
      <c r="D1193">
        <v>5683</v>
      </c>
      <c r="E1193" s="2">
        <v>188.73</v>
      </c>
      <c r="F1193">
        <v>28</v>
      </c>
      <c r="G1193">
        <v>8</v>
      </c>
      <c r="H1193">
        <v>7.8E-2</v>
      </c>
      <c r="I1193" s="3">
        <v>1623</v>
      </c>
      <c r="J1193" s="1">
        <v>45612</v>
      </c>
      <c r="K1193" t="s">
        <v>31</v>
      </c>
      <c r="L1193" t="s">
        <v>9</v>
      </c>
      <c r="M1193" t="s">
        <v>46</v>
      </c>
      <c r="N1193" s="1">
        <f t="shared" si="108"/>
        <v>45612</v>
      </c>
      <c r="O1193" s="4">
        <f t="shared" si="109"/>
        <v>1.7948266760513813E-2</v>
      </c>
      <c r="P1193">
        <f t="shared" si="110"/>
        <v>1.8502941176470586</v>
      </c>
      <c r="Q1193" s="2">
        <f t="shared" si="111"/>
        <v>6.7403571428571425</v>
      </c>
      <c r="R1193" s="2">
        <f t="shared" si="112"/>
        <v>23.591249999999999</v>
      </c>
      <c r="S1193" s="2">
        <f t="shared" si="113"/>
        <v>8.5995867111746946</v>
      </c>
    </row>
    <row r="1194" spans="1:19">
      <c r="A1194" t="s">
        <v>1247</v>
      </c>
      <c r="B1194" t="s">
        <v>30</v>
      </c>
      <c r="C1194">
        <v>86</v>
      </c>
      <c r="D1194">
        <v>5238</v>
      </c>
      <c r="E1194" s="2">
        <v>217.28</v>
      </c>
      <c r="F1194">
        <v>13</v>
      </c>
      <c r="G1194">
        <v>3</v>
      </c>
      <c r="H1194">
        <v>4.5999999999999999E-2</v>
      </c>
      <c r="I1194" s="3">
        <v>1610</v>
      </c>
      <c r="J1194" s="1">
        <v>45618</v>
      </c>
      <c r="K1194" t="s">
        <v>31</v>
      </c>
      <c r="L1194" t="s">
        <v>7</v>
      </c>
      <c r="M1194" t="s">
        <v>37</v>
      </c>
      <c r="N1194" s="1">
        <f t="shared" si="108"/>
        <v>45618</v>
      </c>
      <c r="O1194" s="4">
        <f t="shared" si="109"/>
        <v>1.6418480336006108E-2</v>
      </c>
      <c r="P1194">
        <f t="shared" si="110"/>
        <v>2.5265116279069768</v>
      </c>
      <c r="Q1194" s="2">
        <f t="shared" si="111"/>
        <v>16.713846153846156</v>
      </c>
      <c r="R1194" s="2">
        <f t="shared" si="112"/>
        <v>72.426666666666662</v>
      </c>
      <c r="S1194" s="2">
        <f t="shared" si="113"/>
        <v>7.40979381443299</v>
      </c>
    </row>
    <row r="1195" spans="1:19" hidden="1">
      <c r="A1195" t="s">
        <v>1248</v>
      </c>
      <c r="B1195" t="s">
        <v>30</v>
      </c>
      <c r="C1195">
        <v>115</v>
      </c>
      <c r="D1195">
        <v>5116</v>
      </c>
      <c r="E1195" s="2">
        <v>227.76</v>
      </c>
      <c r="F1195">
        <v>24</v>
      </c>
      <c r="G1195">
        <v>3</v>
      </c>
      <c r="H1195">
        <v>4.1000000000000002E-2</v>
      </c>
      <c r="I1195" s="3">
        <v>1748</v>
      </c>
      <c r="J1195" s="1">
        <v>45611</v>
      </c>
      <c r="K1195" t="s">
        <v>31</v>
      </c>
      <c r="L1195" t="s">
        <v>7</v>
      </c>
      <c r="M1195" t="s">
        <v>32</v>
      </c>
      <c r="N1195" s="1">
        <f t="shared" si="108"/>
        <v>45611</v>
      </c>
      <c r="O1195" s="4">
        <f t="shared" si="109"/>
        <v>2.2478498827208756E-2</v>
      </c>
      <c r="P1195">
        <f t="shared" si="110"/>
        <v>1.9805217391304346</v>
      </c>
      <c r="Q1195" s="2">
        <f t="shared" si="111"/>
        <v>9.49</v>
      </c>
      <c r="R1195" s="2">
        <f t="shared" si="112"/>
        <v>75.92</v>
      </c>
      <c r="S1195" s="2">
        <f t="shared" si="113"/>
        <v>7.6747453459782227</v>
      </c>
    </row>
    <row r="1196" spans="1:19">
      <c r="A1196" t="s">
        <v>1249</v>
      </c>
      <c r="B1196" t="s">
        <v>30</v>
      </c>
      <c r="C1196">
        <v>83</v>
      </c>
      <c r="D1196">
        <v>4476</v>
      </c>
      <c r="E1196" s="2">
        <v>204.88</v>
      </c>
      <c r="F1196">
        <v>27</v>
      </c>
      <c r="G1196">
        <v>8</v>
      </c>
      <c r="H1196">
        <v>4.5999999999999999E-2</v>
      </c>
      <c r="I1196" s="3">
        <v>1359</v>
      </c>
      <c r="J1196" s="1">
        <v>45598</v>
      </c>
      <c r="K1196" t="s">
        <v>31</v>
      </c>
      <c r="L1196" t="s">
        <v>9</v>
      </c>
      <c r="M1196" t="s">
        <v>41</v>
      </c>
      <c r="N1196" s="1">
        <f t="shared" si="108"/>
        <v>45598</v>
      </c>
      <c r="O1196" s="4">
        <f t="shared" si="109"/>
        <v>1.8543342269883824E-2</v>
      </c>
      <c r="P1196">
        <f t="shared" si="110"/>
        <v>2.4684337349397589</v>
      </c>
      <c r="Q1196" s="2">
        <f t="shared" si="111"/>
        <v>7.5881481481481483</v>
      </c>
      <c r="R1196" s="2">
        <f t="shared" si="112"/>
        <v>25.61</v>
      </c>
      <c r="S1196" s="2">
        <f t="shared" si="113"/>
        <v>6.6331511128465444</v>
      </c>
    </row>
    <row r="1197" spans="1:19" hidden="1">
      <c r="A1197" t="s">
        <v>1250</v>
      </c>
      <c r="B1197" t="s">
        <v>30</v>
      </c>
      <c r="C1197">
        <v>178</v>
      </c>
      <c r="D1197">
        <v>3461</v>
      </c>
      <c r="E1197" s="2">
        <v>238.96</v>
      </c>
      <c r="F1197">
        <v>16</v>
      </c>
      <c r="G1197">
        <v>5</v>
      </c>
      <c r="H1197">
        <v>2.8000000000000001E-2</v>
      </c>
      <c r="I1197" s="3">
        <v>1321</v>
      </c>
      <c r="J1197" s="1">
        <v>45612</v>
      </c>
      <c r="K1197" t="s">
        <v>31</v>
      </c>
      <c r="L1197" t="s">
        <v>8</v>
      </c>
      <c r="M1197" t="s">
        <v>32</v>
      </c>
      <c r="N1197" s="1">
        <f t="shared" si="108"/>
        <v>45612</v>
      </c>
      <c r="O1197" s="4">
        <f t="shared" si="109"/>
        <v>5.1430222479052295E-2</v>
      </c>
      <c r="P1197">
        <f t="shared" si="110"/>
        <v>1.3424719101123597</v>
      </c>
      <c r="Q1197" s="2">
        <f t="shared" si="111"/>
        <v>14.935</v>
      </c>
      <c r="R1197" s="2">
        <f t="shared" si="112"/>
        <v>47.792000000000002</v>
      </c>
      <c r="S1197" s="2">
        <f t="shared" si="113"/>
        <v>5.5281218613993968</v>
      </c>
    </row>
    <row r="1198" spans="1:19" hidden="1">
      <c r="A1198" t="s">
        <v>1251</v>
      </c>
      <c r="B1198" t="s">
        <v>30</v>
      </c>
      <c r="C1198">
        <v>148</v>
      </c>
      <c r="D1198">
        <v>5080</v>
      </c>
      <c r="E1198" s="2">
        <v>191.92</v>
      </c>
      <c r="F1198">
        <v>12</v>
      </c>
      <c r="G1198">
        <v>6</v>
      </c>
      <c r="H1198">
        <v>5.8000000000000003E-2</v>
      </c>
      <c r="I1198" s="3">
        <v>1070</v>
      </c>
      <c r="J1198" s="1">
        <v>45613</v>
      </c>
      <c r="K1198" t="s">
        <v>31</v>
      </c>
      <c r="L1198" t="s">
        <v>9</v>
      </c>
      <c r="M1198" t="s">
        <v>35</v>
      </c>
      <c r="N1198" s="1">
        <f t="shared" si="108"/>
        <v>45613</v>
      </c>
      <c r="O1198" s="4">
        <f t="shared" si="109"/>
        <v>2.9133858267716535E-2</v>
      </c>
      <c r="P1198">
        <f t="shared" si="110"/>
        <v>1.2967567567567566</v>
      </c>
      <c r="Q1198" s="2">
        <f t="shared" si="111"/>
        <v>15.993333333333332</v>
      </c>
      <c r="R1198" s="2">
        <f t="shared" si="112"/>
        <v>31.986666666666665</v>
      </c>
      <c r="S1198" s="2">
        <f t="shared" si="113"/>
        <v>5.5752396832013345</v>
      </c>
    </row>
    <row r="1199" spans="1:19" hidden="1">
      <c r="A1199" t="s">
        <v>1252</v>
      </c>
      <c r="B1199" t="s">
        <v>30</v>
      </c>
      <c r="C1199">
        <v>139</v>
      </c>
      <c r="D1199">
        <v>3334</v>
      </c>
      <c r="E1199" s="2">
        <v>223.21</v>
      </c>
      <c r="F1199">
        <v>14</v>
      </c>
      <c r="G1199">
        <v>10</v>
      </c>
      <c r="H1199">
        <v>4.8000000000000001E-2</v>
      </c>
      <c r="I1199" s="3">
        <v>1317</v>
      </c>
      <c r="J1199" s="1">
        <v>45362</v>
      </c>
      <c r="K1199" t="s">
        <v>31</v>
      </c>
      <c r="L1199" t="s">
        <v>9</v>
      </c>
      <c r="M1199" t="s">
        <v>35</v>
      </c>
      <c r="N1199" s="1">
        <f t="shared" si="108"/>
        <v>45362</v>
      </c>
      <c r="O1199" s="4">
        <f t="shared" si="109"/>
        <v>4.1691661667666469E-2</v>
      </c>
      <c r="P1199">
        <f t="shared" si="110"/>
        <v>1.6058273381294965</v>
      </c>
      <c r="Q1199" s="2">
        <f t="shared" si="111"/>
        <v>15.943571428571429</v>
      </c>
      <c r="R1199" s="2">
        <f t="shared" si="112"/>
        <v>22.321000000000002</v>
      </c>
      <c r="S1199" s="2">
        <f t="shared" si="113"/>
        <v>5.9002732852470769</v>
      </c>
    </row>
    <row r="1200" spans="1:19" hidden="1">
      <c r="A1200" t="s">
        <v>1253</v>
      </c>
      <c r="B1200" t="s">
        <v>30</v>
      </c>
      <c r="C1200">
        <v>101</v>
      </c>
      <c r="D1200">
        <v>5166</v>
      </c>
      <c r="E1200" s="2">
        <v>203.74</v>
      </c>
      <c r="F1200">
        <v>30</v>
      </c>
      <c r="G1200">
        <v>5</v>
      </c>
      <c r="H1200">
        <v>0.05</v>
      </c>
      <c r="I1200" s="3">
        <v>1763</v>
      </c>
      <c r="J1200" s="1">
        <v>45609</v>
      </c>
      <c r="K1200" t="s">
        <v>31</v>
      </c>
      <c r="L1200" t="s">
        <v>7</v>
      </c>
      <c r="M1200" t="s">
        <v>39</v>
      </c>
      <c r="N1200" s="1">
        <f t="shared" si="108"/>
        <v>45609</v>
      </c>
      <c r="O1200" s="4">
        <f t="shared" si="109"/>
        <v>1.9550909794812235E-2</v>
      </c>
      <c r="P1200">
        <f t="shared" si="110"/>
        <v>2.0172277227722772</v>
      </c>
      <c r="Q1200" s="2">
        <f t="shared" si="111"/>
        <v>6.7913333333333332</v>
      </c>
      <c r="R1200" s="2">
        <f t="shared" si="112"/>
        <v>40.748000000000005</v>
      </c>
      <c r="S1200" s="2">
        <f t="shared" si="113"/>
        <v>8.65318543241386</v>
      </c>
    </row>
    <row r="1201" spans="1:19" hidden="1">
      <c r="A1201" t="s">
        <v>1254</v>
      </c>
      <c r="B1201" t="s">
        <v>30</v>
      </c>
      <c r="C1201">
        <v>113</v>
      </c>
      <c r="D1201">
        <v>5642</v>
      </c>
      <c r="E1201" s="2">
        <v>245.69</v>
      </c>
      <c r="F1201">
        <v>19</v>
      </c>
      <c r="G1201">
        <v>7</v>
      </c>
      <c r="H1201">
        <v>6.2E-2</v>
      </c>
      <c r="I1201" s="3">
        <v>1366</v>
      </c>
      <c r="J1201" s="1" t="s">
        <v>34</v>
      </c>
      <c r="K1201" t="s">
        <v>31</v>
      </c>
      <c r="L1201" t="s">
        <v>8</v>
      </c>
      <c r="M1201" t="s">
        <v>39</v>
      </c>
      <c r="N1201" s="1">
        <f t="shared" si="108"/>
        <v>45616</v>
      </c>
      <c r="O1201" s="4">
        <f t="shared" si="109"/>
        <v>2.0028358738036156E-2</v>
      </c>
      <c r="P1201">
        <f t="shared" si="110"/>
        <v>2.1742477876106197</v>
      </c>
      <c r="Q1201" s="2">
        <f t="shared" si="111"/>
        <v>12.931052631578947</v>
      </c>
      <c r="R1201" s="2">
        <f t="shared" si="112"/>
        <v>35.098571428571425</v>
      </c>
      <c r="S1201" s="2">
        <f t="shared" si="113"/>
        <v>5.5598518458219708</v>
      </c>
    </row>
    <row r="1202" spans="1:19" hidden="1">
      <c r="A1202" t="s">
        <v>1255</v>
      </c>
      <c r="B1202" t="s">
        <v>30</v>
      </c>
      <c r="C1202">
        <v>97</v>
      </c>
      <c r="D1202">
        <v>5552</v>
      </c>
      <c r="E1202" s="2">
        <v>228.97</v>
      </c>
      <c r="F1202">
        <v>14</v>
      </c>
      <c r="G1202">
        <v>6</v>
      </c>
      <c r="H1202">
        <v>6.2E-2</v>
      </c>
      <c r="I1202" s="3">
        <v>1304</v>
      </c>
      <c r="J1202" s="1">
        <v>45603</v>
      </c>
      <c r="K1202" t="s">
        <v>31</v>
      </c>
      <c r="L1202" t="s">
        <v>7</v>
      </c>
      <c r="M1202" t="s">
        <v>46</v>
      </c>
      <c r="N1202" s="1">
        <f t="shared" si="108"/>
        <v>45603</v>
      </c>
      <c r="O1202" s="4">
        <f t="shared" si="109"/>
        <v>1.7471181556195967E-2</v>
      </c>
      <c r="P1202">
        <f t="shared" si="110"/>
        <v>2.3605154639175256</v>
      </c>
      <c r="Q1202" s="2">
        <f t="shared" si="111"/>
        <v>16.355</v>
      </c>
      <c r="R1202" s="2">
        <f t="shared" si="112"/>
        <v>38.161666666666669</v>
      </c>
      <c r="S1202" s="2">
        <f t="shared" si="113"/>
        <v>5.6950692230423199</v>
      </c>
    </row>
    <row r="1203" spans="1:19" hidden="1">
      <c r="A1203" t="s">
        <v>1256</v>
      </c>
      <c r="B1203" t="s">
        <v>30</v>
      </c>
      <c r="C1203">
        <v>155</v>
      </c>
      <c r="D1203">
        <v>3662</v>
      </c>
      <c r="E1203" s="2">
        <v>208.16</v>
      </c>
      <c r="F1203">
        <v>23</v>
      </c>
      <c r="G1203">
        <v>4</v>
      </c>
      <c r="H1203">
        <v>2.5999999999999999E-2</v>
      </c>
      <c r="I1203" s="3">
        <v>1913</v>
      </c>
      <c r="J1203" s="1">
        <v>45623</v>
      </c>
      <c r="K1203" t="s">
        <v>31</v>
      </c>
      <c r="L1203" t="s">
        <v>7</v>
      </c>
      <c r="M1203" t="s">
        <v>41</v>
      </c>
      <c r="N1203" s="1">
        <f t="shared" si="108"/>
        <v>45623</v>
      </c>
      <c r="O1203" s="4">
        <f t="shared" si="109"/>
        <v>4.2326597487711635E-2</v>
      </c>
      <c r="P1203">
        <f t="shared" si="110"/>
        <v>1.3429677419354837</v>
      </c>
      <c r="Q1203" s="2">
        <f t="shared" si="111"/>
        <v>9.0504347826086953</v>
      </c>
      <c r="R1203" s="2">
        <f t="shared" si="112"/>
        <v>52.04</v>
      </c>
      <c r="S1203" s="2">
        <f t="shared" si="113"/>
        <v>9.1900461183704838</v>
      </c>
    </row>
    <row r="1204" spans="1:19">
      <c r="A1204" t="s">
        <v>1257</v>
      </c>
      <c r="B1204" t="s">
        <v>30</v>
      </c>
      <c r="C1204">
        <v>109</v>
      </c>
      <c r="D1204">
        <v>5187</v>
      </c>
      <c r="E1204" s="2">
        <v>222.69</v>
      </c>
      <c r="F1204">
        <v>17</v>
      </c>
      <c r="G1204">
        <v>7</v>
      </c>
      <c r="H1204">
        <v>4.5999999999999999E-2</v>
      </c>
      <c r="I1204" s="3">
        <v>1690</v>
      </c>
      <c r="J1204" s="1" t="s">
        <v>111</v>
      </c>
      <c r="K1204" t="s">
        <v>31</v>
      </c>
      <c r="L1204" t="s">
        <v>9</v>
      </c>
      <c r="M1204" t="s">
        <v>32</v>
      </c>
      <c r="N1204" s="1">
        <f t="shared" si="108"/>
        <v>45619</v>
      </c>
      <c r="O1204" s="4">
        <f t="shared" si="109"/>
        <v>2.1014073645652592E-2</v>
      </c>
      <c r="P1204">
        <f t="shared" si="110"/>
        <v>2.0430275229357799</v>
      </c>
      <c r="Q1204" s="2">
        <f t="shared" si="111"/>
        <v>13.099411764705883</v>
      </c>
      <c r="R1204" s="2">
        <f t="shared" si="112"/>
        <v>31.812857142857144</v>
      </c>
      <c r="S1204" s="2">
        <f t="shared" si="113"/>
        <v>7.5890251021599537</v>
      </c>
    </row>
    <row r="1205" spans="1:19" hidden="1">
      <c r="A1205" t="s">
        <v>1258</v>
      </c>
      <c r="B1205" t="s">
        <v>30</v>
      </c>
      <c r="C1205">
        <v>181</v>
      </c>
      <c r="D1205">
        <v>3647</v>
      </c>
      <c r="E1205" s="2">
        <v>227.37</v>
      </c>
      <c r="F1205">
        <v>30</v>
      </c>
      <c r="G1205">
        <v>6</v>
      </c>
      <c r="H1205">
        <v>3.3000000000000002E-2</v>
      </c>
      <c r="I1205" s="3">
        <v>1412</v>
      </c>
      <c r="J1205" s="1">
        <v>45626</v>
      </c>
      <c r="K1205" t="s">
        <v>31</v>
      </c>
      <c r="L1205" t="s">
        <v>7</v>
      </c>
      <c r="M1205" t="s">
        <v>35</v>
      </c>
      <c r="N1205" s="1">
        <f t="shared" si="108"/>
        <v>45626</v>
      </c>
      <c r="O1205" s="4">
        <f t="shared" si="109"/>
        <v>4.9629832739237732E-2</v>
      </c>
      <c r="P1205">
        <f t="shared" si="110"/>
        <v>1.2561878453038675</v>
      </c>
      <c r="Q1205" s="2">
        <f t="shared" si="111"/>
        <v>7.5789999999999997</v>
      </c>
      <c r="R1205" s="2">
        <f t="shared" si="112"/>
        <v>37.895000000000003</v>
      </c>
      <c r="S1205" s="2">
        <f t="shared" si="113"/>
        <v>6.2101420591986631</v>
      </c>
    </row>
    <row r="1206" spans="1:19" hidden="1">
      <c r="A1206" t="s">
        <v>1259</v>
      </c>
      <c r="B1206" t="s">
        <v>30</v>
      </c>
      <c r="C1206">
        <v>131</v>
      </c>
      <c r="D1206">
        <v>3626</v>
      </c>
      <c r="E1206" s="2">
        <v>193.68</v>
      </c>
      <c r="F1206">
        <v>27</v>
      </c>
      <c r="G1206">
        <v>3</v>
      </c>
      <c r="H1206">
        <v>0.05</v>
      </c>
      <c r="I1206" s="3">
        <v>1505</v>
      </c>
      <c r="J1206" s="1" t="s">
        <v>206</v>
      </c>
      <c r="K1206" t="s">
        <v>31</v>
      </c>
      <c r="L1206" t="s">
        <v>9</v>
      </c>
      <c r="M1206" t="s">
        <v>37</v>
      </c>
      <c r="N1206" s="1">
        <f t="shared" si="108"/>
        <v>45621</v>
      </c>
      <c r="O1206" s="4">
        <f t="shared" si="109"/>
        <v>3.6127964699393271E-2</v>
      </c>
      <c r="P1206">
        <f t="shared" si="110"/>
        <v>1.4784732824427482</v>
      </c>
      <c r="Q1206" s="2">
        <f t="shared" si="111"/>
        <v>7.1733333333333338</v>
      </c>
      <c r="R1206" s="2">
        <f t="shared" si="112"/>
        <v>64.56</v>
      </c>
      <c r="S1206" s="2">
        <f t="shared" si="113"/>
        <v>7.7705493597686903</v>
      </c>
    </row>
    <row r="1207" spans="1:19">
      <c r="A1207" t="s">
        <v>1260</v>
      </c>
      <c r="B1207" t="s">
        <v>30</v>
      </c>
      <c r="C1207">
        <v>139</v>
      </c>
      <c r="D1207">
        <v>5650</v>
      </c>
      <c r="E1207" s="2">
        <v>225.22</v>
      </c>
      <c r="F1207">
        <v>26</v>
      </c>
      <c r="G1207">
        <v>3</v>
      </c>
      <c r="H1207">
        <v>4.5999999999999999E-2</v>
      </c>
      <c r="I1207" s="3">
        <v>1774</v>
      </c>
      <c r="J1207" s="1">
        <v>45333</v>
      </c>
      <c r="K1207" t="s">
        <v>31</v>
      </c>
      <c r="L1207" t="s">
        <v>7</v>
      </c>
      <c r="M1207" t="s">
        <v>41</v>
      </c>
      <c r="N1207" s="1">
        <f t="shared" si="108"/>
        <v>45333</v>
      </c>
      <c r="O1207" s="4">
        <f t="shared" si="109"/>
        <v>2.4601769911504423E-2</v>
      </c>
      <c r="P1207">
        <f t="shared" si="110"/>
        <v>1.6202877697841727</v>
      </c>
      <c r="Q1207" s="2">
        <f t="shared" si="111"/>
        <v>8.6623076923076923</v>
      </c>
      <c r="R1207" s="2">
        <f t="shared" si="112"/>
        <v>75.073333333333338</v>
      </c>
      <c r="S1207" s="2">
        <f t="shared" si="113"/>
        <v>7.8767427404315784</v>
      </c>
    </row>
    <row r="1208" spans="1:19" hidden="1">
      <c r="A1208" t="s">
        <v>1261</v>
      </c>
      <c r="B1208" t="s">
        <v>30</v>
      </c>
      <c r="C1208">
        <v>109</v>
      </c>
      <c r="D1208">
        <v>5219</v>
      </c>
      <c r="E1208" s="2">
        <v>215.76</v>
      </c>
      <c r="F1208">
        <v>15</v>
      </c>
      <c r="G1208">
        <v>3</v>
      </c>
      <c r="H1208">
        <v>2.8000000000000001E-2</v>
      </c>
      <c r="I1208" s="3">
        <v>1408</v>
      </c>
      <c r="J1208" s="1" t="s">
        <v>105</v>
      </c>
      <c r="K1208" t="s">
        <v>31</v>
      </c>
      <c r="L1208" t="s">
        <v>9</v>
      </c>
      <c r="M1208" t="s">
        <v>32</v>
      </c>
      <c r="N1208" s="1">
        <f t="shared" si="108"/>
        <v>45614</v>
      </c>
      <c r="O1208" s="4">
        <f t="shared" si="109"/>
        <v>2.0885227054991379E-2</v>
      </c>
      <c r="P1208">
        <f t="shared" si="110"/>
        <v>1.9794495412844035</v>
      </c>
      <c r="Q1208" s="2">
        <f t="shared" si="111"/>
        <v>14.383999999999999</v>
      </c>
      <c r="R1208" s="2">
        <f t="shared" si="112"/>
        <v>71.92</v>
      </c>
      <c r="S1208" s="2">
        <f t="shared" si="113"/>
        <v>6.5257693733778277</v>
      </c>
    </row>
    <row r="1209" spans="1:19" hidden="1">
      <c r="A1209" t="s">
        <v>1262</v>
      </c>
      <c r="B1209" t="s">
        <v>30</v>
      </c>
      <c r="C1209">
        <v>191</v>
      </c>
      <c r="D1209">
        <v>3333</v>
      </c>
      <c r="E1209" s="2">
        <v>187.71</v>
      </c>
      <c r="F1209">
        <v>13</v>
      </c>
      <c r="G1209">
        <v>5</v>
      </c>
      <c r="H1209">
        <v>2.5999999999999999E-2</v>
      </c>
      <c r="I1209" s="3">
        <v>1360</v>
      </c>
      <c r="J1209" s="1">
        <v>45622</v>
      </c>
      <c r="K1209" t="s">
        <v>31</v>
      </c>
      <c r="L1209" t="s">
        <v>7</v>
      </c>
      <c r="M1209" t="s">
        <v>32</v>
      </c>
      <c r="N1209" s="1">
        <f t="shared" si="108"/>
        <v>45622</v>
      </c>
      <c r="O1209" s="4">
        <f t="shared" si="109"/>
        <v>5.7305730573057309E-2</v>
      </c>
      <c r="P1209">
        <f t="shared" si="110"/>
        <v>0.98277486910994771</v>
      </c>
      <c r="Q1209" s="2">
        <f t="shared" si="111"/>
        <v>14.43923076923077</v>
      </c>
      <c r="R1209" s="2">
        <f t="shared" si="112"/>
        <v>37.542000000000002</v>
      </c>
      <c r="S1209" s="2">
        <f t="shared" si="113"/>
        <v>7.2452186884023222</v>
      </c>
    </row>
    <row r="1210" spans="1:19" hidden="1">
      <c r="A1210" t="s">
        <v>1263</v>
      </c>
      <c r="B1210" t="s">
        <v>30</v>
      </c>
      <c r="C1210">
        <v>101</v>
      </c>
      <c r="D1210">
        <v>4435</v>
      </c>
      <c r="E1210" s="2">
        <v>222.49</v>
      </c>
      <c r="F1210">
        <v>11</v>
      </c>
      <c r="G1210">
        <v>10</v>
      </c>
      <c r="H1210">
        <v>9.9000000000000005E-2</v>
      </c>
      <c r="I1210" s="3">
        <v>1277</v>
      </c>
      <c r="J1210" s="1">
        <v>45617</v>
      </c>
      <c r="K1210" t="s">
        <v>31</v>
      </c>
      <c r="L1210" t="s">
        <v>8</v>
      </c>
      <c r="M1210" t="s">
        <v>39</v>
      </c>
      <c r="N1210" s="1">
        <f t="shared" si="108"/>
        <v>45617</v>
      </c>
      <c r="O1210" s="4">
        <f t="shared" si="109"/>
        <v>2.2773393461104848E-2</v>
      </c>
      <c r="P1210">
        <f t="shared" si="110"/>
        <v>2.2028712871287128</v>
      </c>
      <c r="Q1210" s="2">
        <f t="shared" si="111"/>
        <v>20.226363636363637</v>
      </c>
      <c r="R1210" s="2">
        <f t="shared" si="112"/>
        <v>22.249000000000002</v>
      </c>
      <c r="S1210" s="2">
        <f t="shared" si="113"/>
        <v>5.7395838015191689</v>
      </c>
    </row>
    <row r="1211" spans="1:19" hidden="1">
      <c r="A1211" t="s">
        <v>1264</v>
      </c>
      <c r="B1211" t="s">
        <v>30</v>
      </c>
      <c r="C1211">
        <v>152</v>
      </c>
      <c r="D1211">
        <v>5204</v>
      </c>
      <c r="E1211" s="2">
        <v>210.28</v>
      </c>
      <c r="F1211">
        <v>11</v>
      </c>
      <c r="G1211">
        <v>7</v>
      </c>
      <c r="H1211">
        <v>4.5999999999999999E-2</v>
      </c>
      <c r="I1211" s="3">
        <v>1505</v>
      </c>
      <c r="J1211" s="1">
        <v>45619</v>
      </c>
      <c r="K1211" t="s">
        <v>31</v>
      </c>
      <c r="L1211" t="s">
        <v>8</v>
      </c>
      <c r="M1211" t="s">
        <v>41</v>
      </c>
      <c r="N1211" s="1">
        <f t="shared" si="108"/>
        <v>45619</v>
      </c>
      <c r="O1211" s="4">
        <f t="shared" si="109"/>
        <v>2.9208301306687164E-2</v>
      </c>
      <c r="P1211">
        <f t="shared" si="110"/>
        <v>1.3834210526315789</v>
      </c>
      <c r="Q1211" s="2">
        <f t="shared" si="111"/>
        <v>19.116363636363637</v>
      </c>
      <c r="R1211" s="2">
        <f t="shared" si="112"/>
        <v>30.04</v>
      </c>
      <c r="S1211" s="2">
        <f t="shared" si="113"/>
        <v>7.1571238348868178</v>
      </c>
    </row>
    <row r="1212" spans="1:19" hidden="1">
      <c r="A1212" t="s">
        <v>1265</v>
      </c>
      <c r="B1212" t="s">
        <v>30</v>
      </c>
      <c r="C1212">
        <v>164</v>
      </c>
      <c r="D1212">
        <v>3856</v>
      </c>
      <c r="E1212" s="2">
        <v>241.65</v>
      </c>
      <c r="F1212">
        <v>27</v>
      </c>
      <c r="G1212">
        <v>4</v>
      </c>
      <c r="H1212">
        <v>2.4E-2</v>
      </c>
      <c r="I1212" s="3">
        <v>1786</v>
      </c>
      <c r="J1212" s="1" t="s">
        <v>94</v>
      </c>
      <c r="K1212" t="s">
        <v>31</v>
      </c>
      <c r="L1212" t="s">
        <v>7</v>
      </c>
      <c r="M1212" t="s">
        <v>39</v>
      </c>
      <c r="N1212" s="1">
        <f t="shared" si="108"/>
        <v>45617</v>
      </c>
      <c r="O1212" s="4">
        <f t="shared" si="109"/>
        <v>4.2531120331950209E-2</v>
      </c>
      <c r="P1212">
        <f t="shared" si="110"/>
        <v>1.4734756097560977</v>
      </c>
      <c r="Q1212" s="2">
        <f t="shared" si="111"/>
        <v>8.9500000000000011</v>
      </c>
      <c r="R1212" s="2">
        <f t="shared" si="112"/>
        <v>60.412500000000001</v>
      </c>
      <c r="S1212" s="2">
        <f t="shared" si="113"/>
        <v>7.39085454169253</v>
      </c>
    </row>
    <row r="1213" spans="1:19">
      <c r="A1213" t="s">
        <v>1266</v>
      </c>
      <c r="B1213" t="s">
        <v>30</v>
      </c>
      <c r="C1213">
        <v>83</v>
      </c>
      <c r="D1213">
        <v>4143</v>
      </c>
      <c r="E1213" s="2">
        <v>203.11</v>
      </c>
      <c r="F1213">
        <v>23</v>
      </c>
      <c r="G1213">
        <v>10</v>
      </c>
      <c r="H1213">
        <v>4.5999999999999999E-2</v>
      </c>
      <c r="I1213" s="3">
        <v>1517</v>
      </c>
      <c r="J1213" s="1">
        <v>45622</v>
      </c>
      <c r="K1213" t="s">
        <v>31</v>
      </c>
      <c r="L1213" t="s">
        <v>8</v>
      </c>
      <c r="M1213" t="s">
        <v>32</v>
      </c>
      <c r="N1213" s="1">
        <f t="shared" si="108"/>
        <v>45622</v>
      </c>
      <c r="O1213" s="4">
        <f t="shared" si="109"/>
        <v>2.0033791938209027E-2</v>
      </c>
      <c r="P1213">
        <f t="shared" si="110"/>
        <v>2.44710843373494</v>
      </c>
      <c r="Q1213" s="2">
        <f t="shared" si="111"/>
        <v>8.8308695652173927</v>
      </c>
      <c r="R1213" s="2">
        <f t="shared" si="112"/>
        <v>20.311</v>
      </c>
      <c r="S1213" s="2">
        <f t="shared" si="113"/>
        <v>7.4688592388360986</v>
      </c>
    </row>
    <row r="1214" spans="1:19" hidden="1">
      <c r="A1214" t="s">
        <v>1267</v>
      </c>
      <c r="B1214" t="s">
        <v>30</v>
      </c>
      <c r="C1214">
        <v>199</v>
      </c>
      <c r="D1214">
        <v>5895</v>
      </c>
      <c r="E1214" s="2">
        <v>239.59</v>
      </c>
      <c r="F1214">
        <v>21</v>
      </c>
      <c r="G1214">
        <v>4</v>
      </c>
      <c r="H1214">
        <v>0.02</v>
      </c>
      <c r="I1214" s="3">
        <v>1592</v>
      </c>
      <c r="J1214" s="1">
        <v>45626</v>
      </c>
      <c r="K1214" t="s">
        <v>31</v>
      </c>
      <c r="L1214" t="s">
        <v>8</v>
      </c>
      <c r="M1214" t="s">
        <v>39</v>
      </c>
      <c r="N1214" s="1">
        <f t="shared" si="108"/>
        <v>45626</v>
      </c>
      <c r="O1214" s="4">
        <f t="shared" si="109"/>
        <v>3.3757421543681089E-2</v>
      </c>
      <c r="P1214">
        <f t="shared" si="110"/>
        <v>1.2039698492462312</v>
      </c>
      <c r="Q1214" s="2">
        <f t="shared" si="111"/>
        <v>11.40904761904762</v>
      </c>
      <c r="R1214" s="2">
        <f t="shared" si="112"/>
        <v>59.897500000000001</v>
      </c>
      <c r="S1214" s="2">
        <f t="shared" si="113"/>
        <v>6.6446846696439748</v>
      </c>
    </row>
    <row r="1215" spans="1:19">
      <c r="A1215" t="s">
        <v>1268</v>
      </c>
      <c r="B1215" t="s">
        <v>30</v>
      </c>
      <c r="C1215">
        <v>141</v>
      </c>
      <c r="D1215">
        <v>4039</v>
      </c>
      <c r="E1215" s="2">
        <v>205.8</v>
      </c>
      <c r="F1215">
        <v>28</v>
      </c>
      <c r="G1215">
        <v>6</v>
      </c>
      <c r="H1215">
        <v>4.5999999999999999E-2</v>
      </c>
      <c r="I1215" s="3">
        <v>1220</v>
      </c>
      <c r="J1215" s="1">
        <v>45604</v>
      </c>
      <c r="K1215" t="s">
        <v>31</v>
      </c>
      <c r="L1215" t="s">
        <v>7</v>
      </c>
      <c r="M1215" t="s">
        <v>37</v>
      </c>
      <c r="N1215" s="1">
        <f t="shared" si="108"/>
        <v>45604</v>
      </c>
      <c r="O1215" s="4">
        <f t="shared" si="109"/>
        <v>3.4909631096806143E-2</v>
      </c>
      <c r="P1215">
        <f t="shared" si="110"/>
        <v>1.4595744680851064</v>
      </c>
      <c r="Q1215" s="2">
        <f t="shared" si="111"/>
        <v>7.3500000000000005</v>
      </c>
      <c r="R1215" s="2">
        <f t="shared" si="112"/>
        <v>34.300000000000004</v>
      </c>
      <c r="S1215" s="2">
        <f t="shared" si="113"/>
        <v>5.928085519922254</v>
      </c>
    </row>
    <row r="1216" spans="1:19" hidden="1">
      <c r="A1216" t="s">
        <v>1269</v>
      </c>
      <c r="B1216" t="s">
        <v>30</v>
      </c>
      <c r="C1216">
        <v>131</v>
      </c>
      <c r="D1216">
        <v>4773</v>
      </c>
      <c r="E1216" s="2">
        <v>215.36</v>
      </c>
      <c r="F1216">
        <v>26</v>
      </c>
      <c r="G1216">
        <v>7</v>
      </c>
      <c r="H1216">
        <v>5.2999999999999999E-2</v>
      </c>
      <c r="I1216" s="3">
        <v>1363</v>
      </c>
      <c r="J1216" s="1">
        <v>45604</v>
      </c>
      <c r="K1216" t="s">
        <v>31</v>
      </c>
      <c r="L1216" t="s">
        <v>9</v>
      </c>
      <c r="M1216" t="s">
        <v>37</v>
      </c>
      <c r="N1216" s="1">
        <f t="shared" si="108"/>
        <v>45604</v>
      </c>
      <c r="O1216" s="4">
        <f t="shared" si="109"/>
        <v>2.7446050701864656E-2</v>
      </c>
      <c r="P1216">
        <f t="shared" si="110"/>
        <v>1.643969465648855</v>
      </c>
      <c r="Q1216" s="2">
        <f t="shared" si="111"/>
        <v>8.2830769230769228</v>
      </c>
      <c r="R1216" s="2">
        <f t="shared" si="112"/>
        <v>30.765714285714289</v>
      </c>
      <c r="S1216" s="2">
        <f t="shared" si="113"/>
        <v>6.3289375928677556</v>
      </c>
    </row>
    <row r="1217" spans="1:19">
      <c r="A1217" t="s">
        <v>1270</v>
      </c>
      <c r="B1217" t="s">
        <v>30</v>
      </c>
      <c r="C1217">
        <v>139</v>
      </c>
      <c r="D1217">
        <v>5360</v>
      </c>
      <c r="E1217" s="2">
        <v>229.38</v>
      </c>
      <c r="F1217">
        <v>30</v>
      </c>
      <c r="G1217">
        <v>7</v>
      </c>
      <c r="H1217">
        <v>4.5999999999999999E-2</v>
      </c>
      <c r="I1217" s="3">
        <v>1896</v>
      </c>
      <c r="J1217" s="1">
        <v>45615</v>
      </c>
      <c r="K1217" t="s">
        <v>31</v>
      </c>
      <c r="L1217" t="s">
        <v>9</v>
      </c>
      <c r="M1217" t="s">
        <v>32</v>
      </c>
      <c r="N1217" s="1">
        <f t="shared" si="108"/>
        <v>45615</v>
      </c>
      <c r="O1217" s="4">
        <f t="shared" si="109"/>
        <v>2.5932835820895523E-2</v>
      </c>
      <c r="P1217">
        <f t="shared" si="110"/>
        <v>1.6502158273381295</v>
      </c>
      <c r="Q1217" s="2">
        <f t="shared" si="111"/>
        <v>7.6459999999999999</v>
      </c>
      <c r="R1217" s="2">
        <f t="shared" si="112"/>
        <v>32.768571428571427</v>
      </c>
      <c r="S1217" s="2">
        <f t="shared" si="113"/>
        <v>8.2657598744441536</v>
      </c>
    </row>
    <row r="1218" spans="1:19" hidden="1">
      <c r="A1218" t="s">
        <v>1271</v>
      </c>
      <c r="B1218" t="s">
        <v>30</v>
      </c>
      <c r="C1218">
        <v>164</v>
      </c>
      <c r="D1218">
        <v>5380</v>
      </c>
      <c r="E1218" s="2">
        <v>223.15</v>
      </c>
      <c r="F1218">
        <v>13</v>
      </c>
      <c r="G1218">
        <v>5</v>
      </c>
      <c r="H1218">
        <v>4.7E-2</v>
      </c>
      <c r="I1218" s="3">
        <v>1661</v>
      </c>
      <c r="J1218" s="1" t="s">
        <v>111</v>
      </c>
      <c r="K1218" t="s">
        <v>31</v>
      </c>
      <c r="L1218" t="s">
        <v>7</v>
      </c>
      <c r="M1218" t="s">
        <v>46</v>
      </c>
      <c r="N1218" s="1">
        <f t="shared" ref="N1218:N1281" si="114">IF(A1218="","",IF(ISNUMBER(J1218),J1218,IF(MID(J1218,5,1)="-",DATE(LEFT(J1218,4),MID(J1218,6,2),RIGHT(J1218,2)),IF(MID(J1218,5,1)="/",DATE(LEFT(J1218,4),MID(J1218,6,2),RIGHT(J1218,2)),DATE(RIGHT(J1218,4),MID(J1218,4,2),LEFT(J1218,2))))))</f>
        <v>45619</v>
      </c>
      <c r="O1218" s="4">
        <f t="shared" ref="O1218:O1281" si="115">IFERROR(C1218/D1218,0)</f>
        <v>3.0483271375464683E-2</v>
      </c>
      <c r="P1218">
        <f t="shared" ref="P1218:P1281" si="116">IFERROR(E1218/C1218,0)</f>
        <v>1.360670731707317</v>
      </c>
      <c r="Q1218" s="2">
        <f t="shared" ref="Q1218:Q1281" si="117">IFERROR(E1218/F1218,0)</f>
        <v>17.165384615384617</v>
      </c>
      <c r="R1218" s="2">
        <f t="shared" ref="R1218:R1281" si="118">IFERROR(E1218/G1218,0)</f>
        <v>44.63</v>
      </c>
      <c r="S1218" s="2">
        <f t="shared" ref="S1218:S1281" si="119">IFERROR(I1218/E1218,0)</f>
        <v>7.4434237060273354</v>
      </c>
    </row>
    <row r="1219" spans="1:19" hidden="1">
      <c r="A1219" t="s">
        <v>1272</v>
      </c>
      <c r="B1219" t="s">
        <v>30</v>
      </c>
      <c r="C1219">
        <v>149</v>
      </c>
      <c r="D1219">
        <v>3323</v>
      </c>
      <c r="E1219" s="2">
        <v>197.76</v>
      </c>
      <c r="F1219">
        <v>23</v>
      </c>
      <c r="G1219">
        <v>4</v>
      </c>
      <c r="H1219">
        <v>2.7E-2</v>
      </c>
      <c r="I1219" s="3">
        <v>1181</v>
      </c>
      <c r="J1219" s="1">
        <v>45613</v>
      </c>
      <c r="K1219" t="s">
        <v>31</v>
      </c>
      <c r="L1219" t="s">
        <v>8</v>
      </c>
      <c r="M1219" t="s">
        <v>37</v>
      </c>
      <c r="N1219" s="1">
        <f t="shared" si="114"/>
        <v>45613</v>
      </c>
      <c r="O1219" s="4">
        <f t="shared" si="115"/>
        <v>4.4839000902798673E-2</v>
      </c>
      <c r="P1219">
        <f t="shared" si="116"/>
        <v>1.327248322147651</v>
      </c>
      <c r="Q1219" s="2">
        <f t="shared" si="117"/>
        <v>8.5982608695652178</v>
      </c>
      <c r="R1219" s="2">
        <f t="shared" si="118"/>
        <v>49.44</v>
      </c>
      <c r="S1219" s="2">
        <f t="shared" si="119"/>
        <v>5.971885113268609</v>
      </c>
    </row>
    <row r="1220" spans="1:19" hidden="1">
      <c r="A1220" t="s">
        <v>1273</v>
      </c>
      <c r="B1220" t="s">
        <v>30</v>
      </c>
      <c r="C1220">
        <v>112</v>
      </c>
      <c r="D1220">
        <v>3870</v>
      </c>
      <c r="E1220" s="2">
        <v>215.05</v>
      </c>
      <c r="F1220">
        <v>26</v>
      </c>
      <c r="G1220">
        <v>6</v>
      </c>
      <c r="H1220">
        <v>5.3999999999999999E-2</v>
      </c>
      <c r="I1220" s="3">
        <v>1483</v>
      </c>
      <c r="J1220" s="1">
        <v>45599</v>
      </c>
      <c r="K1220" t="s">
        <v>31</v>
      </c>
      <c r="L1220" t="s">
        <v>7</v>
      </c>
      <c r="M1220" t="s">
        <v>32</v>
      </c>
      <c r="N1220" s="1">
        <f t="shared" si="114"/>
        <v>45599</v>
      </c>
      <c r="O1220" s="4">
        <f t="shared" si="115"/>
        <v>2.8940568475452195E-2</v>
      </c>
      <c r="P1220">
        <f t="shared" si="116"/>
        <v>1.9200892857142857</v>
      </c>
      <c r="Q1220" s="2">
        <f t="shared" si="117"/>
        <v>8.2711538461538474</v>
      </c>
      <c r="R1220" s="2">
        <f t="shared" si="118"/>
        <v>35.841666666666669</v>
      </c>
      <c r="S1220" s="2">
        <f t="shared" si="119"/>
        <v>6.896070681236921</v>
      </c>
    </row>
    <row r="1221" spans="1:19" hidden="1">
      <c r="A1221" t="s">
        <v>1274</v>
      </c>
      <c r="B1221" t="s">
        <v>30</v>
      </c>
      <c r="C1221">
        <v>139</v>
      </c>
      <c r="D1221">
        <v>4486</v>
      </c>
      <c r="E1221" s="2">
        <v>205.46</v>
      </c>
      <c r="F1221">
        <v>28</v>
      </c>
      <c r="G1221">
        <v>4</v>
      </c>
      <c r="H1221">
        <v>5.8000000000000003E-2</v>
      </c>
      <c r="I1221" s="3">
        <v>1853</v>
      </c>
      <c r="J1221" s="1" t="s">
        <v>167</v>
      </c>
      <c r="K1221" t="s">
        <v>31</v>
      </c>
      <c r="L1221" t="s">
        <v>9</v>
      </c>
      <c r="M1221" t="s">
        <v>41</v>
      </c>
      <c r="N1221" s="1">
        <f t="shared" si="114"/>
        <v>45620</v>
      </c>
      <c r="O1221" s="4">
        <f t="shared" si="115"/>
        <v>3.0985287561301828E-2</v>
      </c>
      <c r="P1221">
        <f t="shared" si="116"/>
        <v>1.4781294964028777</v>
      </c>
      <c r="Q1221" s="2">
        <f t="shared" si="117"/>
        <v>7.3378571428571435</v>
      </c>
      <c r="R1221" s="2">
        <f t="shared" si="118"/>
        <v>51.365000000000002</v>
      </c>
      <c r="S1221" s="2">
        <f t="shared" si="119"/>
        <v>9.0187871118465885</v>
      </c>
    </row>
    <row r="1222" spans="1:19" hidden="1">
      <c r="A1222" t="s">
        <v>1275</v>
      </c>
      <c r="B1222" t="s">
        <v>30</v>
      </c>
      <c r="C1222">
        <v>105</v>
      </c>
      <c r="D1222">
        <v>3384</v>
      </c>
      <c r="E1222" s="2">
        <v>240.41</v>
      </c>
      <c r="F1222">
        <v>26</v>
      </c>
      <c r="G1222">
        <v>8</v>
      </c>
      <c r="H1222">
        <v>5.7000000000000002E-2</v>
      </c>
      <c r="I1222" s="3">
        <v>1399</v>
      </c>
      <c r="J1222" s="1">
        <v>45599</v>
      </c>
      <c r="K1222" t="s">
        <v>31</v>
      </c>
      <c r="L1222" t="s">
        <v>7</v>
      </c>
      <c r="M1222" t="s">
        <v>37</v>
      </c>
      <c r="N1222" s="1">
        <f t="shared" si="114"/>
        <v>45599</v>
      </c>
      <c r="O1222" s="4">
        <f t="shared" si="115"/>
        <v>3.1028368794326241E-2</v>
      </c>
      <c r="P1222">
        <f t="shared" si="116"/>
        <v>2.2896190476190474</v>
      </c>
      <c r="Q1222" s="2">
        <f t="shared" si="117"/>
        <v>9.2465384615384618</v>
      </c>
      <c r="R1222" s="2">
        <f t="shared" si="118"/>
        <v>30.05125</v>
      </c>
      <c r="S1222" s="2">
        <f t="shared" si="119"/>
        <v>5.8192254897882787</v>
      </c>
    </row>
    <row r="1223" spans="1:19">
      <c r="A1223" t="s">
        <v>1276</v>
      </c>
      <c r="B1223" t="s">
        <v>30</v>
      </c>
      <c r="C1223">
        <v>83</v>
      </c>
      <c r="D1223">
        <v>5066</v>
      </c>
      <c r="E1223" s="2">
        <v>236.91</v>
      </c>
      <c r="F1223">
        <v>22</v>
      </c>
      <c r="G1223">
        <v>7</v>
      </c>
      <c r="H1223">
        <v>4.5999999999999999E-2</v>
      </c>
      <c r="I1223" s="3">
        <v>1505</v>
      </c>
      <c r="J1223" s="1">
        <v>45617</v>
      </c>
      <c r="K1223" t="s">
        <v>31</v>
      </c>
      <c r="L1223" t="s">
        <v>7</v>
      </c>
      <c r="M1223" t="s">
        <v>32</v>
      </c>
      <c r="N1223" s="1">
        <f t="shared" si="114"/>
        <v>45617</v>
      </c>
      <c r="O1223" s="4">
        <f t="shared" si="115"/>
        <v>1.6383734701934466E-2</v>
      </c>
      <c r="P1223">
        <f t="shared" si="116"/>
        <v>2.8543373493975905</v>
      </c>
      <c r="Q1223" s="2">
        <f t="shared" si="117"/>
        <v>10.768636363636363</v>
      </c>
      <c r="R1223" s="2">
        <f t="shared" si="118"/>
        <v>33.844285714285711</v>
      </c>
      <c r="S1223" s="2">
        <f t="shared" si="119"/>
        <v>6.352623359081508</v>
      </c>
    </row>
    <row r="1224" spans="1:19" hidden="1">
      <c r="A1224" t="s">
        <v>1277</v>
      </c>
      <c r="B1224" t="s">
        <v>30</v>
      </c>
      <c r="C1224">
        <v>127</v>
      </c>
      <c r="D1224">
        <v>5947</v>
      </c>
      <c r="E1224" s="2">
        <v>209.67</v>
      </c>
      <c r="F1224">
        <v>27</v>
      </c>
      <c r="G1224">
        <v>3</v>
      </c>
      <c r="H1224">
        <v>2.4E-2</v>
      </c>
      <c r="I1224" s="3">
        <v>1155</v>
      </c>
      <c r="J1224" s="1">
        <v>45624</v>
      </c>
      <c r="K1224" t="s">
        <v>31</v>
      </c>
      <c r="L1224" t="s">
        <v>7</v>
      </c>
      <c r="M1224" t="s">
        <v>32</v>
      </c>
      <c r="N1224" s="1">
        <f t="shared" si="114"/>
        <v>45624</v>
      </c>
      <c r="O1224" s="4">
        <f t="shared" si="115"/>
        <v>2.1355305195897092E-2</v>
      </c>
      <c r="P1224">
        <f t="shared" si="116"/>
        <v>1.6509448818897636</v>
      </c>
      <c r="Q1224" s="2">
        <f t="shared" si="117"/>
        <v>7.7655555555555553</v>
      </c>
      <c r="R1224" s="2">
        <f t="shared" si="118"/>
        <v>69.89</v>
      </c>
      <c r="S1224" s="2">
        <f t="shared" si="119"/>
        <v>5.5086564601516672</v>
      </c>
    </row>
    <row r="1225" spans="1:19" hidden="1">
      <c r="A1225" t="s">
        <v>1278</v>
      </c>
      <c r="B1225" t="s">
        <v>30</v>
      </c>
      <c r="C1225">
        <v>133</v>
      </c>
      <c r="D1225">
        <v>4286</v>
      </c>
      <c r="E1225" s="2">
        <v>216.16</v>
      </c>
      <c r="F1225">
        <v>18</v>
      </c>
      <c r="G1225">
        <v>9</v>
      </c>
      <c r="H1225">
        <v>5.3999999999999999E-2</v>
      </c>
      <c r="I1225" s="3">
        <v>1839</v>
      </c>
      <c r="J1225" s="1">
        <v>45515</v>
      </c>
      <c r="K1225" t="s">
        <v>31</v>
      </c>
      <c r="L1225" t="s">
        <v>7</v>
      </c>
      <c r="M1225" t="s">
        <v>37</v>
      </c>
      <c r="N1225" s="1">
        <f t="shared" si="114"/>
        <v>45515</v>
      </c>
      <c r="O1225" s="4">
        <f t="shared" si="115"/>
        <v>3.1031264582361176E-2</v>
      </c>
      <c r="P1225">
        <f t="shared" si="116"/>
        <v>1.6252631578947367</v>
      </c>
      <c r="Q1225" s="2">
        <f t="shared" si="117"/>
        <v>12.008888888888889</v>
      </c>
      <c r="R1225" s="2">
        <f t="shared" si="118"/>
        <v>24.017777777777777</v>
      </c>
      <c r="S1225" s="2">
        <f t="shared" si="119"/>
        <v>8.507586972612879</v>
      </c>
    </row>
    <row r="1226" spans="1:19" hidden="1">
      <c r="A1226" t="s">
        <v>1279</v>
      </c>
      <c r="B1226" t="s">
        <v>30</v>
      </c>
      <c r="C1226">
        <v>197</v>
      </c>
      <c r="D1226">
        <v>5733</v>
      </c>
      <c r="E1226" s="2">
        <v>185.09</v>
      </c>
      <c r="F1226">
        <v>14</v>
      </c>
      <c r="G1226">
        <v>5</v>
      </c>
      <c r="H1226">
        <v>2.5000000000000001E-2</v>
      </c>
      <c r="I1226" s="3">
        <v>1295</v>
      </c>
      <c r="J1226" s="1">
        <v>45601</v>
      </c>
      <c r="K1226" t="s">
        <v>31</v>
      </c>
      <c r="L1226" t="s">
        <v>9</v>
      </c>
      <c r="M1226" t="s">
        <v>39</v>
      </c>
      <c r="N1226" s="1">
        <f t="shared" si="114"/>
        <v>45601</v>
      </c>
      <c r="O1226" s="4">
        <f t="shared" si="115"/>
        <v>3.4362462933891502E-2</v>
      </c>
      <c r="P1226">
        <f t="shared" si="116"/>
        <v>0.93954314720812182</v>
      </c>
      <c r="Q1226" s="2">
        <f t="shared" si="117"/>
        <v>13.220714285714285</v>
      </c>
      <c r="R1226" s="2">
        <f t="shared" si="118"/>
        <v>37.018000000000001</v>
      </c>
      <c r="S1226" s="2">
        <f t="shared" si="119"/>
        <v>6.9965962504727433</v>
      </c>
    </row>
    <row r="1227" spans="1:19" hidden="1">
      <c r="A1227" t="s">
        <v>1280</v>
      </c>
      <c r="B1227" t="s">
        <v>30</v>
      </c>
      <c r="C1227">
        <v>125</v>
      </c>
      <c r="D1227">
        <v>5103</v>
      </c>
      <c r="E1227" s="2">
        <v>221.93</v>
      </c>
      <c r="F1227">
        <v>30</v>
      </c>
      <c r="G1227">
        <v>7</v>
      </c>
      <c r="H1227">
        <v>5.1999999999999998E-2</v>
      </c>
      <c r="I1227" s="3">
        <v>1398</v>
      </c>
      <c r="J1227" s="1">
        <v>45515</v>
      </c>
      <c r="K1227" t="s">
        <v>31</v>
      </c>
      <c r="L1227" t="s">
        <v>9</v>
      </c>
      <c r="M1227" t="s">
        <v>46</v>
      </c>
      <c r="N1227" s="1">
        <f t="shared" si="114"/>
        <v>45515</v>
      </c>
      <c r="O1227" s="4">
        <f t="shared" si="115"/>
        <v>2.4495394865765237E-2</v>
      </c>
      <c r="P1227">
        <f t="shared" si="116"/>
        <v>1.7754400000000001</v>
      </c>
      <c r="Q1227" s="2">
        <f t="shared" si="117"/>
        <v>7.3976666666666668</v>
      </c>
      <c r="R1227" s="2">
        <f t="shared" si="118"/>
        <v>31.704285714285714</v>
      </c>
      <c r="S1227" s="2">
        <f t="shared" si="119"/>
        <v>6.2992835578786099</v>
      </c>
    </row>
    <row r="1228" spans="1:19">
      <c r="A1228" t="s">
        <v>1281</v>
      </c>
      <c r="B1228" t="s">
        <v>30</v>
      </c>
      <c r="C1228">
        <v>147</v>
      </c>
      <c r="D1228">
        <v>5228</v>
      </c>
      <c r="E1228" s="2">
        <v>210.94</v>
      </c>
      <c r="F1228">
        <v>12</v>
      </c>
      <c r="G1228">
        <v>9</v>
      </c>
      <c r="H1228">
        <v>4.5999999999999999E-2</v>
      </c>
      <c r="I1228" s="3">
        <v>1784</v>
      </c>
      <c r="J1228" s="1">
        <v>45624</v>
      </c>
      <c r="K1228" t="s">
        <v>31</v>
      </c>
      <c r="L1228" t="s">
        <v>7</v>
      </c>
      <c r="M1228" t="s">
        <v>39</v>
      </c>
      <c r="N1228" s="1">
        <f t="shared" si="114"/>
        <v>45624</v>
      </c>
      <c r="O1228" s="4">
        <f t="shared" si="115"/>
        <v>2.8117827084927313E-2</v>
      </c>
      <c r="P1228">
        <f t="shared" si="116"/>
        <v>1.4349659863945579</v>
      </c>
      <c r="Q1228" s="2">
        <f t="shared" si="117"/>
        <v>17.578333333333333</v>
      </c>
      <c r="R1228" s="2">
        <f t="shared" si="118"/>
        <v>23.437777777777779</v>
      </c>
      <c r="S1228" s="2">
        <f t="shared" si="119"/>
        <v>8.4573812458519004</v>
      </c>
    </row>
    <row r="1229" spans="1:19" hidden="1">
      <c r="A1229" t="s">
        <v>1282</v>
      </c>
      <c r="B1229" t="s">
        <v>30</v>
      </c>
      <c r="C1229">
        <v>153</v>
      </c>
      <c r="D1229">
        <v>3666</v>
      </c>
      <c r="E1229" s="2">
        <v>198.4</v>
      </c>
      <c r="F1229">
        <v>16</v>
      </c>
      <c r="G1229">
        <v>4</v>
      </c>
      <c r="H1229">
        <v>2.5999999999999999E-2</v>
      </c>
      <c r="I1229" s="3">
        <v>1820</v>
      </c>
      <c r="J1229" s="1">
        <v>45616</v>
      </c>
      <c r="K1229" t="s">
        <v>31</v>
      </c>
      <c r="L1229" t="s">
        <v>8</v>
      </c>
      <c r="M1229" t="s">
        <v>32</v>
      </c>
      <c r="N1229" s="1">
        <f t="shared" si="114"/>
        <v>45616</v>
      </c>
      <c r="O1229" s="4">
        <f t="shared" si="115"/>
        <v>4.1734860883797055E-2</v>
      </c>
      <c r="P1229">
        <f t="shared" si="116"/>
        <v>1.2967320261437909</v>
      </c>
      <c r="Q1229" s="2">
        <f t="shared" si="117"/>
        <v>12.4</v>
      </c>
      <c r="R1229" s="2">
        <f t="shared" si="118"/>
        <v>49.6</v>
      </c>
      <c r="S1229" s="2">
        <f t="shared" si="119"/>
        <v>9.1733870967741939</v>
      </c>
    </row>
    <row r="1230" spans="1:19" hidden="1">
      <c r="A1230" t="s">
        <v>1283</v>
      </c>
      <c r="B1230" t="s">
        <v>30</v>
      </c>
      <c r="C1230">
        <v>196</v>
      </c>
      <c r="D1230">
        <v>3440</v>
      </c>
      <c r="E1230" s="2">
        <v>212.98</v>
      </c>
      <c r="F1230">
        <v>15</v>
      </c>
      <c r="G1230">
        <v>5</v>
      </c>
      <c r="H1230">
        <v>2.5999999999999999E-2</v>
      </c>
      <c r="I1230" s="3">
        <v>1539</v>
      </c>
      <c r="J1230" s="1">
        <v>45622</v>
      </c>
      <c r="K1230" t="s">
        <v>31</v>
      </c>
      <c r="L1230" t="s">
        <v>9</v>
      </c>
      <c r="M1230" t="s">
        <v>32</v>
      </c>
      <c r="N1230" s="1">
        <f t="shared" si="114"/>
        <v>45622</v>
      </c>
      <c r="O1230" s="4">
        <f t="shared" si="115"/>
        <v>5.6976744186046514E-2</v>
      </c>
      <c r="P1230">
        <f t="shared" si="116"/>
        <v>1.0866326530612245</v>
      </c>
      <c r="Q1230" s="2">
        <f t="shared" si="117"/>
        <v>14.198666666666666</v>
      </c>
      <c r="R1230" s="2">
        <f t="shared" si="118"/>
        <v>42.595999999999997</v>
      </c>
      <c r="S1230" s="2">
        <f t="shared" si="119"/>
        <v>7.2260306132031182</v>
      </c>
    </row>
    <row r="1231" spans="1:19" hidden="1">
      <c r="A1231" t="s">
        <v>1284</v>
      </c>
      <c r="B1231" t="s">
        <v>30</v>
      </c>
      <c r="C1231">
        <v>87</v>
      </c>
      <c r="D1231">
        <v>3031</v>
      </c>
      <c r="E1231" s="2">
        <v>234.25</v>
      </c>
      <c r="F1231">
        <v>17</v>
      </c>
      <c r="G1231">
        <v>7</v>
      </c>
      <c r="H1231">
        <v>0.08</v>
      </c>
      <c r="I1231" s="3">
        <v>1167</v>
      </c>
      <c r="J1231" s="1">
        <v>45601</v>
      </c>
      <c r="K1231" t="s">
        <v>31</v>
      </c>
      <c r="L1231" t="s">
        <v>7</v>
      </c>
      <c r="M1231" t="s">
        <v>37</v>
      </c>
      <c r="N1231" s="1">
        <f t="shared" si="114"/>
        <v>45601</v>
      </c>
      <c r="O1231" s="4">
        <f t="shared" si="115"/>
        <v>2.8703398218409767E-2</v>
      </c>
      <c r="P1231">
        <f t="shared" si="116"/>
        <v>2.6925287356321839</v>
      </c>
      <c r="Q1231" s="2">
        <f t="shared" si="117"/>
        <v>13.779411764705882</v>
      </c>
      <c r="R1231" s="2">
        <f t="shared" si="118"/>
        <v>33.464285714285715</v>
      </c>
      <c r="S1231" s="2">
        <f t="shared" si="119"/>
        <v>4.9818569903948768</v>
      </c>
    </row>
    <row r="1232" spans="1:19" hidden="1">
      <c r="A1232" t="s">
        <v>1285</v>
      </c>
      <c r="B1232" t="s">
        <v>30</v>
      </c>
      <c r="C1232">
        <v>151</v>
      </c>
      <c r="D1232">
        <v>5957</v>
      </c>
      <c r="E1232" s="2">
        <v>188.22</v>
      </c>
      <c r="F1232">
        <v>15</v>
      </c>
      <c r="G1232">
        <v>8</v>
      </c>
      <c r="H1232">
        <v>5.2999999999999999E-2</v>
      </c>
      <c r="I1232" s="3">
        <v>1468</v>
      </c>
      <c r="J1232" s="1">
        <v>45621</v>
      </c>
      <c r="K1232" t="s">
        <v>31</v>
      </c>
      <c r="L1232" t="s">
        <v>9</v>
      </c>
      <c r="M1232" t="s">
        <v>46</v>
      </c>
      <c r="N1232" s="1">
        <f t="shared" si="114"/>
        <v>45621</v>
      </c>
      <c r="O1232" s="4">
        <f t="shared" si="115"/>
        <v>2.5348329696155782E-2</v>
      </c>
      <c r="P1232">
        <f t="shared" si="116"/>
        <v>1.2464900662251654</v>
      </c>
      <c r="Q1232" s="2">
        <f t="shared" si="117"/>
        <v>12.548</v>
      </c>
      <c r="R1232" s="2">
        <f t="shared" si="118"/>
        <v>23.5275</v>
      </c>
      <c r="S1232" s="2">
        <f t="shared" si="119"/>
        <v>7.7993836999256194</v>
      </c>
    </row>
    <row r="1233" spans="1:19" hidden="1">
      <c r="A1233" t="s">
        <v>1286</v>
      </c>
      <c r="B1233" t="s">
        <v>30</v>
      </c>
      <c r="C1233">
        <v>93</v>
      </c>
      <c r="D1233">
        <v>4689</v>
      </c>
      <c r="E1233" s="2">
        <v>197.54</v>
      </c>
      <c r="F1233">
        <v>15</v>
      </c>
      <c r="G1233">
        <v>4</v>
      </c>
      <c r="H1233">
        <v>4.2999999999999997E-2</v>
      </c>
      <c r="I1233" s="3">
        <v>1073</v>
      </c>
      <c r="J1233" s="1" t="s">
        <v>206</v>
      </c>
      <c r="K1233" t="s">
        <v>31</v>
      </c>
      <c r="L1233" t="s">
        <v>8</v>
      </c>
      <c r="M1233" t="s">
        <v>37</v>
      </c>
      <c r="N1233" s="1">
        <f t="shared" si="114"/>
        <v>45621</v>
      </c>
      <c r="O1233" s="4">
        <f t="shared" si="115"/>
        <v>1.983365323096609E-2</v>
      </c>
      <c r="P1233">
        <f t="shared" si="116"/>
        <v>2.1240860215053763</v>
      </c>
      <c r="Q1233" s="2">
        <f t="shared" si="117"/>
        <v>13.169333333333332</v>
      </c>
      <c r="R1233" s="2">
        <f t="shared" si="118"/>
        <v>49.384999999999998</v>
      </c>
      <c r="S1233" s="2">
        <f t="shared" si="119"/>
        <v>5.4318112787283592</v>
      </c>
    </row>
    <row r="1234" spans="1:19" hidden="1">
      <c r="A1234" t="s">
        <v>1287</v>
      </c>
      <c r="B1234" t="s">
        <v>30</v>
      </c>
      <c r="C1234">
        <v>145</v>
      </c>
      <c r="D1234">
        <v>3085</v>
      </c>
      <c r="E1234" s="2">
        <v>194.96</v>
      </c>
      <c r="F1234">
        <v>26</v>
      </c>
      <c r="G1234">
        <v>5</v>
      </c>
      <c r="H1234">
        <v>3.3000000000000002E-2</v>
      </c>
      <c r="I1234" s="3">
        <v>1673</v>
      </c>
      <c r="J1234" s="1" t="s">
        <v>167</v>
      </c>
      <c r="K1234" t="s">
        <v>31</v>
      </c>
      <c r="L1234" t="s">
        <v>7</v>
      </c>
      <c r="M1234" t="s">
        <v>41</v>
      </c>
      <c r="N1234" s="1">
        <f t="shared" si="114"/>
        <v>45620</v>
      </c>
      <c r="O1234" s="4">
        <f t="shared" si="115"/>
        <v>4.7001620745542948E-2</v>
      </c>
      <c r="P1234">
        <f t="shared" si="116"/>
        <v>1.344551724137931</v>
      </c>
      <c r="Q1234" s="2">
        <f t="shared" si="117"/>
        <v>7.4984615384615392</v>
      </c>
      <c r="R1234" s="2">
        <f t="shared" si="118"/>
        <v>38.992000000000004</v>
      </c>
      <c r="S1234" s="2">
        <f t="shared" si="119"/>
        <v>8.5812474353713579</v>
      </c>
    </row>
    <row r="1235" spans="1:19" hidden="1">
      <c r="A1235" t="s">
        <v>1288</v>
      </c>
      <c r="B1235" t="s">
        <v>30</v>
      </c>
      <c r="C1235">
        <v>128</v>
      </c>
      <c r="D1235">
        <v>3341</v>
      </c>
      <c r="E1235" s="2">
        <v>185.57</v>
      </c>
      <c r="F1235">
        <v>25</v>
      </c>
      <c r="G1235">
        <v>5</v>
      </c>
      <c r="H1235">
        <v>3.9E-2</v>
      </c>
      <c r="I1235" s="3">
        <v>1516</v>
      </c>
      <c r="J1235" s="1">
        <v>45616</v>
      </c>
      <c r="K1235" t="s">
        <v>31</v>
      </c>
      <c r="L1235" t="s">
        <v>9</v>
      </c>
      <c r="M1235" t="s">
        <v>41</v>
      </c>
      <c r="N1235" s="1">
        <f t="shared" si="114"/>
        <v>45616</v>
      </c>
      <c r="O1235" s="4">
        <f t="shared" si="115"/>
        <v>3.8311882669859326E-2</v>
      </c>
      <c r="P1235">
        <f t="shared" si="116"/>
        <v>1.4497656249999999</v>
      </c>
      <c r="Q1235" s="2">
        <f t="shared" si="117"/>
        <v>7.4227999999999996</v>
      </c>
      <c r="R1235" s="2">
        <f t="shared" si="118"/>
        <v>37.113999999999997</v>
      </c>
      <c r="S1235" s="2">
        <f t="shared" si="119"/>
        <v>8.1694239370587916</v>
      </c>
    </row>
    <row r="1236" spans="1:19">
      <c r="A1236" t="s">
        <v>1289</v>
      </c>
      <c r="B1236" t="s">
        <v>30</v>
      </c>
      <c r="C1236">
        <v>134</v>
      </c>
      <c r="D1236">
        <v>5521</v>
      </c>
      <c r="E1236" s="2">
        <v>243.57</v>
      </c>
      <c r="F1236">
        <v>15</v>
      </c>
      <c r="G1236">
        <v>3</v>
      </c>
      <c r="H1236">
        <v>4.5999999999999999E-2</v>
      </c>
      <c r="I1236" s="3">
        <v>1658</v>
      </c>
      <c r="J1236" s="1" t="s">
        <v>167</v>
      </c>
      <c r="K1236" t="s">
        <v>31</v>
      </c>
      <c r="L1236" t="s">
        <v>7</v>
      </c>
      <c r="M1236" t="s">
        <v>41</v>
      </c>
      <c r="N1236" s="1">
        <f t="shared" si="114"/>
        <v>45620</v>
      </c>
      <c r="O1236" s="4">
        <f t="shared" si="115"/>
        <v>2.4270965404817969E-2</v>
      </c>
      <c r="P1236">
        <f t="shared" si="116"/>
        <v>1.8176865671641791</v>
      </c>
      <c r="Q1236" s="2">
        <f t="shared" si="117"/>
        <v>16.238</v>
      </c>
      <c r="R1236" s="2">
        <f t="shared" si="118"/>
        <v>81.19</v>
      </c>
      <c r="S1236" s="2">
        <f t="shared" si="119"/>
        <v>6.8070780473785772</v>
      </c>
    </row>
    <row r="1237" spans="1:19" hidden="1">
      <c r="A1237" t="s">
        <v>1290</v>
      </c>
      <c r="B1237" t="s">
        <v>30</v>
      </c>
      <c r="C1237">
        <v>104</v>
      </c>
      <c r="D1237">
        <v>3696</v>
      </c>
      <c r="E1237" s="2">
        <v>206.54</v>
      </c>
      <c r="F1237">
        <v>28</v>
      </c>
      <c r="G1237">
        <v>7</v>
      </c>
      <c r="H1237">
        <v>5.2999999999999999E-2</v>
      </c>
      <c r="I1237" s="3">
        <v>1985</v>
      </c>
      <c r="J1237" s="1">
        <v>45607</v>
      </c>
      <c r="K1237" t="s">
        <v>31</v>
      </c>
      <c r="L1237" t="s">
        <v>7</v>
      </c>
      <c r="M1237" t="s">
        <v>39</v>
      </c>
      <c r="N1237" s="1">
        <f t="shared" si="114"/>
        <v>45607</v>
      </c>
      <c r="O1237" s="4">
        <f t="shared" si="115"/>
        <v>2.813852813852814E-2</v>
      </c>
      <c r="P1237">
        <f t="shared" si="116"/>
        <v>1.9859615384615383</v>
      </c>
      <c r="Q1237" s="2">
        <f t="shared" si="117"/>
        <v>7.3764285714285709</v>
      </c>
      <c r="R1237" s="2">
        <f t="shared" si="118"/>
        <v>29.505714285714284</v>
      </c>
      <c r="S1237" s="2">
        <f t="shared" si="119"/>
        <v>9.6107291565798398</v>
      </c>
    </row>
    <row r="1238" spans="1:19" hidden="1">
      <c r="A1238" t="s">
        <v>1291</v>
      </c>
      <c r="B1238" t="s">
        <v>30</v>
      </c>
      <c r="C1238">
        <v>177</v>
      </c>
      <c r="D1238">
        <v>3765</v>
      </c>
      <c r="E1238" s="2">
        <v>216.48</v>
      </c>
      <c r="F1238">
        <v>26</v>
      </c>
      <c r="G1238">
        <v>10</v>
      </c>
      <c r="H1238">
        <v>5.6000000000000001E-2</v>
      </c>
      <c r="I1238" s="3">
        <v>1507</v>
      </c>
      <c r="J1238" s="1">
        <v>45616</v>
      </c>
      <c r="K1238" t="s">
        <v>31</v>
      </c>
      <c r="L1238" t="s">
        <v>9</v>
      </c>
      <c r="M1238" t="s">
        <v>37</v>
      </c>
      <c r="N1238" s="1">
        <f t="shared" si="114"/>
        <v>45616</v>
      </c>
      <c r="O1238" s="4">
        <f t="shared" si="115"/>
        <v>4.7011952191235058E-2</v>
      </c>
      <c r="P1238">
        <f t="shared" si="116"/>
        <v>1.2230508474576272</v>
      </c>
      <c r="Q1238" s="2">
        <f t="shared" si="117"/>
        <v>8.3261538461538454</v>
      </c>
      <c r="R1238" s="2">
        <f t="shared" si="118"/>
        <v>21.648</v>
      </c>
      <c r="S1238" s="2">
        <f t="shared" si="119"/>
        <v>6.9613821138211387</v>
      </c>
    </row>
    <row r="1239" spans="1:19">
      <c r="A1239" t="s">
        <v>1292</v>
      </c>
      <c r="B1239" t="s">
        <v>30</v>
      </c>
      <c r="C1239">
        <v>94</v>
      </c>
      <c r="D1239">
        <v>5455</v>
      </c>
      <c r="E1239" s="2">
        <v>249.09</v>
      </c>
      <c r="F1239">
        <v>15</v>
      </c>
      <c r="G1239">
        <v>3</v>
      </c>
      <c r="H1239">
        <v>4.5999999999999999E-2</v>
      </c>
      <c r="I1239" s="3">
        <v>1505</v>
      </c>
      <c r="J1239" s="1" t="s">
        <v>50</v>
      </c>
      <c r="K1239" t="s">
        <v>31</v>
      </c>
      <c r="L1239" t="s">
        <v>8</v>
      </c>
      <c r="M1239" t="s">
        <v>46</v>
      </c>
      <c r="N1239" s="1">
        <f t="shared" si="114"/>
        <v>45610</v>
      </c>
      <c r="O1239" s="4">
        <f t="shared" si="115"/>
        <v>1.7231897341888177E-2</v>
      </c>
      <c r="P1239">
        <f t="shared" si="116"/>
        <v>2.6498936170212768</v>
      </c>
      <c r="Q1239" s="2">
        <f t="shared" si="117"/>
        <v>16.606000000000002</v>
      </c>
      <c r="R1239" s="2">
        <f t="shared" si="118"/>
        <v>83.03</v>
      </c>
      <c r="S1239" s="2">
        <f t="shared" si="119"/>
        <v>6.0419928539885177</v>
      </c>
    </row>
    <row r="1240" spans="1:19" hidden="1">
      <c r="A1240" t="s">
        <v>1293</v>
      </c>
      <c r="B1240" t="s">
        <v>30</v>
      </c>
      <c r="C1240">
        <v>198</v>
      </c>
      <c r="D1240">
        <v>5260</v>
      </c>
      <c r="E1240" s="2">
        <v>205.53</v>
      </c>
      <c r="F1240">
        <v>13</v>
      </c>
      <c r="G1240">
        <v>10</v>
      </c>
      <c r="H1240">
        <v>5.0999999999999997E-2</v>
      </c>
      <c r="I1240" s="3">
        <v>1766</v>
      </c>
      <c r="J1240" s="1">
        <v>45608</v>
      </c>
      <c r="K1240" t="s">
        <v>31</v>
      </c>
      <c r="L1240" t="s">
        <v>7</v>
      </c>
      <c r="M1240" t="s">
        <v>46</v>
      </c>
      <c r="N1240" s="1">
        <f t="shared" si="114"/>
        <v>45608</v>
      </c>
      <c r="O1240" s="4">
        <f t="shared" si="115"/>
        <v>3.76425855513308E-2</v>
      </c>
      <c r="P1240">
        <f t="shared" si="116"/>
        <v>1.0380303030303031</v>
      </c>
      <c r="Q1240" s="2">
        <f t="shared" si="117"/>
        <v>15.81</v>
      </c>
      <c r="R1240" s="2">
        <f t="shared" si="118"/>
        <v>20.553000000000001</v>
      </c>
      <c r="S1240" s="2">
        <f t="shared" si="119"/>
        <v>8.5924195981121976</v>
      </c>
    </row>
    <row r="1241" spans="1:19" hidden="1">
      <c r="A1241" t="s">
        <v>1294</v>
      </c>
      <c r="B1241" t="s">
        <v>30</v>
      </c>
      <c r="C1241">
        <v>140</v>
      </c>
      <c r="D1241">
        <v>4404</v>
      </c>
      <c r="E1241" s="2">
        <v>186.01</v>
      </c>
      <c r="F1241">
        <v>23</v>
      </c>
      <c r="G1241">
        <v>6</v>
      </c>
      <c r="H1241">
        <v>5.8999999999999997E-2</v>
      </c>
      <c r="I1241" s="3">
        <v>1625</v>
      </c>
      <c r="J1241" s="1">
        <v>45605</v>
      </c>
      <c r="K1241" t="s">
        <v>31</v>
      </c>
      <c r="L1241" t="s">
        <v>9</v>
      </c>
      <c r="M1241" t="s">
        <v>46</v>
      </c>
      <c r="N1241" s="1">
        <f t="shared" si="114"/>
        <v>45605</v>
      </c>
      <c r="O1241" s="4">
        <f t="shared" si="115"/>
        <v>3.1789282470481378E-2</v>
      </c>
      <c r="P1241">
        <f t="shared" si="116"/>
        <v>1.328642857142857</v>
      </c>
      <c r="Q1241" s="2">
        <f t="shared" si="117"/>
        <v>8.0873913043478254</v>
      </c>
      <c r="R1241" s="2">
        <f t="shared" si="118"/>
        <v>31.001666666666665</v>
      </c>
      <c r="S1241" s="2">
        <f t="shared" si="119"/>
        <v>8.7360894575560462</v>
      </c>
    </row>
    <row r="1242" spans="1:19">
      <c r="A1242" t="s">
        <v>1295</v>
      </c>
      <c r="B1242" t="s">
        <v>30</v>
      </c>
      <c r="C1242">
        <v>137</v>
      </c>
      <c r="D1242">
        <v>5445</v>
      </c>
      <c r="E1242" s="2">
        <v>237.51</v>
      </c>
      <c r="F1242">
        <v>20</v>
      </c>
      <c r="G1242">
        <v>5</v>
      </c>
      <c r="H1242">
        <v>4.5999999999999999E-2</v>
      </c>
      <c r="I1242" s="3">
        <v>1904</v>
      </c>
      <c r="J1242" s="1" t="s">
        <v>206</v>
      </c>
      <c r="K1242" t="s">
        <v>31</v>
      </c>
      <c r="L1242" t="s">
        <v>9</v>
      </c>
      <c r="M1242" t="s">
        <v>32</v>
      </c>
      <c r="N1242" s="1">
        <f t="shared" si="114"/>
        <v>45621</v>
      </c>
      <c r="O1242" s="4">
        <f t="shared" si="115"/>
        <v>2.5160697887970616E-2</v>
      </c>
      <c r="P1242">
        <f t="shared" si="116"/>
        <v>1.7336496350364963</v>
      </c>
      <c r="Q1242" s="2">
        <f t="shared" si="117"/>
        <v>11.875499999999999</v>
      </c>
      <c r="R1242" s="2">
        <f t="shared" si="118"/>
        <v>47.501999999999995</v>
      </c>
      <c r="S1242" s="2">
        <f t="shared" si="119"/>
        <v>8.0165045682287062</v>
      </c>
    </row>
    <row r="1243" spans="1:19" hidden="1">
      <c r="A1243" t="s">
        <v>1296</v>
      </c>
      <c r="B1243" t="s">
        <v>30</v>
      </c>
      <c r="C1243">
        <v>153</v>
      </c>
      <c r="D1243">
        <v>3068</v>
      </c>
      <c r="E1243" s="2">
        <v>215.57</v>
      </c>
      <c r="F1243">
        <v>25</v>
      </c>
      <c r="G1243">
        <v>8</v>
      </c>
      <c r="H1243">
        <v>5.1999999999999998E-2</v>
      </c>
      <c r="I1243" s="3">
        <v>1165</v>
      </c>
      <c r="J1243" s="1" t="s">
        <v>348</v>
      </c>
      <c r="K1243" t="s">
        <v>31</v>
      </c>
      <c r="L1243" t="s">
        <v>9</v>
      </c>
      <c r="M1243" t="s">
        <v>46</v>
      </c>
      <c r="N1243" s="1">
        <f t="shared" si="114"/>
        <v>45615</v>
      </c>
      <c r="O1243" s="4">
        <f t="shared" si="115"/>
        <v>4.9869621903520206E-2</v>
      </c>
      <c r="P1243">
        <f t="shared" si="116"/>
        <v>1.4089542483660131</v>
      </c>
      <c r="Q1243" s="2">
        <f t="shared" si="117"/>
        <v>8.6227999999999998</v>
      </c>
      <c r="R1243" s="2">
        <f t="shared" si="118"/>
        <v>26.946249999999999</v>
      </c>
      <c r="S1243" s="2">
        <f t="shared" si="119"/>
        <v>5.4042770329823258</v>
      </c>
    </row>
    <row r="1244" spans="1:19">
      <c r="A1244" t="s">
        <v>1297</v>
      </c>
      <c r="B1244" t="s">
        <v>30</v>
      </c>
      <c r="C1244">
        <v>177</v>
      </c>
      <c r="D1244">
        <v>4518.5</v>
      </c>
      <c r="E1244" s="2">
        <v>240.09</v>
      </c>
      <c r="F1244">
        <v>26</v>
      </c>
      <c r="G1244">
        <v>10</v>
      </c>
      <c r="H1244">
        <v>4.5999999999999999E-2</v>
      </c>
      <c r="I1244" s="3">
        <v>1505</v>
      </c>
      <c r="J1244" s="1">
        <v>45604</v>
      </c>
      <c r="K1244" t="s">
        <v>31</v>
      </c>
      <c r="L1244" t="s">
        <v>8</v>
      </c>
      <c r="M1244" t="s">
        <v>39</v>
      </c>
      <c r="N1244" s="1">
        <f t="shared" si="114"/>
        <v>45604</v>
      </c>
      <c r="O1244" s="4">
        <f t="shared" si="115"/>
        <v>3.9172291689720043E-2</v>
      </c>
      <c r="P1244">
        <f t="shared" si="116"/>
        <v>1.3564406779661018</v>
      </c>
      <c r="Q1244" s="2">
        <f t="shared" si="117"/>
        <v>9.2342307692307699</v>
      </c>
      <c r="R1244" s="2">
        <f t="shared" si="118"/>
        <v>24.009</v>
      </c>
      <c r="S1244" s="2">
        <f t="shared" si="119"/>
        <v>6.2684826523387063</v>
      </c>
    </row>
    <row r="1245" spans="1:19">
      <c r="A1245" t="s">
        <v>1298</v>
      </c>
      <c r="B1245" t="s">
        <v>30</v>
      </c>
      <c r="C1245">
        <v>100</v>
      </c>
      <c r="D1245">
        <v>4042</v>
      </c>
      <c r="E1245" s="2">
        <v>215.57</v>
      </c>
      <c r="F1245">
        <v>13</v>
      </c>
      <c r="G1245">
        <v>6</v>
      </c>
      <c r="H1245">
        <v>4.5999999999999999E-2</v>
      </c>
      <c r="I1245" s="3">
        <v>1678</v>
      </c>
      <c r="J1245" s="1">
        <v>45614</v>
      </c>
      <c r="K1245" t="s">
        <v>31</v>
      </c>
      <c r="L1245" t="s">
        <v>7</v>
      </c>
      <c r="M1245" t="s">
        <v>46</v>
      </c>
      <c r="N1245" s="1">
        <f t="shared" si="114"/>
        <v>45614</v>
      </c>
      <c r="O1245" s="4">
        <f t="shared" si="115"/>
        <v>2.4740227610094014E-2</v>
      </c>
      <c r="P1245">
        <f t="shared" si="116"/>
        <v>2.1556999999999999</v>
      </c>
      <c r="Q1245" s="2">
        <f t="shared" si="117"/>
        <v>16.58230769230769</v>
      </c>
      <c r="R1245" s="2">
        <f t="shared" si="118"/>
        <v>35.928333333333335</v>
      </c>
      <c r="S1245" s="2">
        <f t="shared" si="119"/>
        <v>7.7840144732569465</v>
      </c>
    </row>
    <row r="1246" spans="1:19" hidden="1">
      <c r="A1246" t="s">
        <v>1299</v>
      </c>
      <c r="B1246" t="s">
        <v>30</v>
      </c>
      <c r="C1246">
        <v>160</v>
      </c>
      <c r="D1246">
        <v>5645</v>
      </c>
      <c r="E1246" s="2">
        <v>195.42</v>
      </c>
      <c r="F1246">
        <v>25</v>
      </c>
      <c r="G1246">
        <v>6</v>
      </c>
      <c r="H1246">
        <v>3.1E-2</v>
      </c>
      <c r="I1246" s="3">
        <v>1600</v>
      </c>
      <c r="J1246" s="1" t="s">
        <v>43</v>
      </c>
      <c r="K1246" t="s">
        <v>31</v>
      </c>
      <c r="L1246" t="s">
        <v>9</v>
      </c>
      <c r="M1246" t="s">
        <v>37</v>
      </c>
      <c r="N1246" s="1">
        <f t="shared" si="114"/>
        <v>45612</v>
      </c>
      <c r="O1246" s="4">
        <f t="shared" si="115"/>
        <v>2.8343666961913198E-2</v>
      </c>
      <c r="P1246">
        <f t="shared" si="116"/>
        <v>1.2213749999999999</v>
      </c>
      <c r="Q1246" s="2">
        <f t="shared" si="117"/>
        <v>7.8167999999999997</v>
      </c>
      <c r="R1246" s="2">
        <f t="shared" si="118"/>
        <v>32.57</v>
      </c>
      <c r="S1246" s="2">
        <f t="shared" si="119"/>
        <v>8.1874936035206236</v>
      </c>
    </row>
    <row r="1247" spans="1:19" hidden="1">
      <c r="A1247" t="s">
        <v>1300</v>
      </c>
      <c r="B1247" t="s">
        <v>30</v>
      </c>
      <c r="C1247">
        <v>194</v>
      </c>
      <c r="D1247">
        <v>3751</v>
      </c>
      <c r="E1247" s="2">
        <v>244.34</v>
      </c>
      <c r="F1247">
        <v>23</v>
      </c>
      <c r="G1247">
        <v>5</v>
      </c>
      <c r="H1247">
        <v>2.5999999999999999E-2</v>
      </c>
      <c r="I1247" s="3">
        <v>1505</v>
      </c>
      <c r="J1247" s="1">
        <v>45333</v>
      </c>
      <c r="K1247" t="s">
        <v>31</v>
      </c>
      <c r="L1247" t="s">
        <v>8</v>
      </c>
      <c r="M1247" t="s">
        <v>37</v>
      </c>
      <c r="N1247" s="1">
        <f t="shared" si="114"/>
        <v>45333</v>
      </c>
      <c r="O1247" s="4">
        <f t="shared" si="115"/>
        <v>5.1719541455611834E-2</v>
      </c>
      <c r="P1247">
        <f t="shared" si="116"/>
        <v>1.2594845360824742</v>
      </c>
      <c r="Q1247" s="2">
        <f t="shared" si="117"/>
        <v>10.623478260869565</v>
      </c>
      <c r="R1247" s="2">
        <f t="shared" si="118"/>
        <v>48.868000000000002</v>
      </c>
      <c r="S1247" s="2">
        <f t="shared" si="119"/>
        <v>6.1594499467954487</v>
      </c>
    </row>
    <row r="1248" spans="1:19" hidden="1">
      <c r="A1248" t="s">
        <v>1301</v>
      </c>
      <c r="B1248" t="s">
        <v>30</v>
      </c>
      <c r="C1248">
        <v>128</v>
      </c>
      <c r="D1248">
        <v>5010</v>
      </c>
      <c r="E1248" s="2">
        <v>202.34</v>
      </c>
      <c r="F1248">
        <v>26</v>
      </c>
      <c r="G1248">
        <v>7</v>
      </c>
      <c r="H1248">
        <v>5.5E-2</v>
      </c>
      <c r="I1248" s="3">
        <v>1505</v>
      </c>
      <c r="J1248" s="1">
        <v>45612</v>
      </c>
      <c r="K1248" t="s">
        <v>31</v>
      </c>
      <c r="L1248" t="s">
        <v>9</v>
      </c>
      <c r="M1248" t="s">
        <v>39</v>
      </c>
      <c r="N1248" s="1">
        <f t="shared" si="114"/>
        <v>45612</v>
      </c>
      <c r="O1248" s="4">
        <f t="shared" si="115"/>
        <v>2.5548902195608781E-2</v>
      </c>
      <c r="P1248">
        <f t="shared" si="116"/>
        <v>1.58078125</v>
      </c>
      <c r="Q1248" s="2">
        <f t="shared" si="117"/>
        <v>7.7823076923076924</v>
      </c>
      <c r="R1248" s="2">
        <f t="shared" si="118"/>
        <v>28.905714285714286</v>
      </c>
      <c r="S1248" s="2">
        <f t="shared" si="119"/>
        <v>7.43797568449145</v>
      </c>
    </row>
    <row r="1249" spans="1:19">
      <c r="A1249" t="s">
        <v>1302</v>
      </c>
      <c r="B1249" t="s">
        <v>30</v>
      </c>
      <c r="C1249">
        <v>80</v>
      </c>
      <c r="D1249">
        <v>4506</v>
      </c>
      <c r="E1249" s="2">
        <v>236.47</v>
      </c>
      <c r="F1249">
        <v>11</v>
      </c>
      <c r="G1249">
        <v>5</v>
      </c>
      <c r="H1249">
        <v>4.5999999999999999E-2</v>
      </c>
      <c r="I1249" s="3">
        <v>1953</v>
      </c>
      <c r="J1249" s="1" t="s">
        <v>34</v>
      </c>
      <c r="K1249" t="s">
        <v>31</v>
      </c>
      <c r="L1249" t="s">
        <v>7</v>
      </c>
      <c r="M1249" t="s">
        <v>35</v>
      </c>
      <c r="N1249" s="1">
        <f t="shared" si="114"/>
        <v>45616</v>
      </c>
      <c r="O1249" s="4">
        <f t="shared" si="115"/>
        <v>1.775410563692854E-2</v>
      </c>
      <c r="P1249">
        <f t="shared" si="116"/>
        <v>2.9558749999999998</v>
      </c>
      <c r="Q1249" s="2">
        <f t="shared" si="117"/>
        <v>21.497272727272726</v>
      </c>
      <c r="R1249" s="2">
        <f t="shared" si="118"/>
        <v>47.293999999999997</v>
      </c>
      <c r="S1249" s="2">
        <f t="shared" si="119"/>
        <v>8.2589757685964393</v>
      </c>
    </row>
    <row r="1250" spans="1:19">
      <c r="A1250" t="s">
        <v>1303</v>
      </c>
      <c r="B1250" t="s">
        <v>30</v>
      </c>
      <c r="C1250">
        <v>81</v>
      </c>
      <c r="D1250">
        <v>5843</v>
      </c>
      <c r="E1250" s="2">
        <v>209.54</v>
      </c>
      <c r="F1250">
        <v>10</v>
      </c>
      <c r="G1250">
        <v>9</v>
      </c>
      <c r="H1250">
        <v>4.5999999999999999E-2</v>
      </c>
      <c r="I1250" s="3">
        <v>1979</v>
      </c>
      <c r="J1250" s="1">
        <v>45605</v>
      </c>
      <c r="K1250" t="s">
        <v>31</v>
      </c>
      <c r="L1250" t="s">
        <v>9</v>
      </c>
      <c r="M1250" t="s">
        <v>39</v>
      </c>
      <c r="N1250" s="1">
        <f t="shared" si="114"/>
        <v>45605</v>
      </c>
      <c r="O1250" s="4">
        <f t="shared" si="115"/>
        <v>1.3862741742255691E-2</v>
      </c>
      <c r="P1250">
        <f t="shared" si="116"/>
        <v>2.5869135802469136</v>
      </c>
      <c r="Q1250" s="2">
        <f t="shared" si="117"/>
        <v>20.954000000000001</v>
      </c>
      <c r="R1250" s="2">
        <f t="shared" si="118"/>
        <v>23.28222222222222</v>
      </c>
      <c r="S1250" s="2">
        <f t="shared" si="119"/>
        <v>9.4444974706499956</v>
      </c>
    </row>
    <row r="1251" spans="1:19" hidden="1">
      <c r="A1251" t="s">
        <v>1304</v>
      </c>
      <c r="B1251" t="s">
        <v>30</v>
      </c>
      <c r="C1251">
        <v>102</v>
      </c>
      <c r="D1251">
        <v>5369</v>
      </c>
      <c r="E1251" s="2">
        <v>198.39</v>
      </c>
      <c r="F1251">
        <v>29</v>
      </c>
      <c r="G1251">
        <v>4</v>
      </c>
      <c r="H1251">
        <v>3.9E-2</v>
      </c>
      <c r="I1251" s="3">
        <v>1659</v>
      </c>
      <c r="J1251" s="1" t="s">
        <v>348</v>
      </c>
      <c r="K1251" t="s">
        <v>31</v>
      </c>
      <c r="L1251" t="s">
        <v>9</v>
      </c>
      <c r="M1251" t="s">
        <v>35</v>
      </c>
      <c r="N1251" s="1">
        <f t="shared" si="114"/>
        <v>45615</v>
      </c>
      <c r="O1251" s="4">
        <f t="shared" si="115"/>
        <v>1.8997951201341033E-2</v>
      </c>
      <c r="P1251">
        <f t="shared" si="116"/>
        <v>1.9449999999999998</v>
      </c>
      <c r="Q1251" s="2">
        <f t="shared" si="117"/>
        <v>6.8410344827586202</v>
      </c>
      <c r="R1251" s="2">
        <f t="shared" si="118"/>
        <v>49.597499999999997</v>
      </c>
      <c r="S1251" s="2">
        <f t="shared" si="119"/>
        <v>8.362316649024649</v>
      </c>
    </row>
    <row r="1252" spans="1:19" hidden="1">
      <c r="A1252" t="s">
        <v>1305</v>
      </c>
      <c r="B1252" t="s">
        <v>30</v>
      </c>
      <c r="C1252">
        <v>197</v>
      </c>
      <c r="D1252">
        <v>4047</v>
      </c>
      <c r="E1252" s="2">
        <v>202.72</v>
      </c>
      <c r="F1252">
        <v>15</v>
      </c>
      <c r="G1252">
        <v>3</v>
      </c>
      <c r="H1252">
        <v>1.4999999999999999E-2</v>
      </c>
      <c r="I1252" s="3">
        <v>1345</v>
      </c>
      <c r="J1252" s="1">
        <v>45423</v>
      </c>
      <c r="K1252" t="s">
        <v>31</v>
      </c>
      <c r="L1252" t="s">
        <v>8</v>
      </c>
      <c r="M1252" t="s">
        <v>37</v>
      </c>
      <c r="N1252" s="1">
        <f t="shared" si="114"/>
        <v>45423</v>
      </c>
      <c r="O1252" s="4">
        <f t="shared" si="115"/>
        <v>4.867803311094638E-2</v>
      </c>
      <c r="P1252">
        <f t="shared" si="116"/>
        <v>1.0290355329949239</v>
      </c>
      <c r="Q1252" s="2">
        <f t="shared" si="117"/>
        <v>13.514666666666667</v>
      </c>
      <c r="R1252" s="2">
        <f t="shared" si="118"/>
        <v>67.573333333333338</v>
      </c>
      <c r="S1252" s="2">
        <f t="shared" si="119"/>
        <v>6.6347671665351227</v>
      </c>
    </row>
    <row r="1253" spans="1:19" hidden="1">
      <c r="A1253" t="s">
        <v>1306</v>
      </c>
      <c r="B1253" t="s">
        <v>30</v>
      </c>
      <c r="C1253">
        <v>84</v>
      </c>
      <c r="D1253">
        <v>4463</v>
      </c>
      <c r="E1253" s="2">
        <v>198.44</v>
      </c>
      <c r="F1253">
        <v>17</v>
      </c>
      <c r="G1253">
        <v>3</v>
      </c>
      <c r="H1253">
        <v>3.5999999999999997E-2</v>
      </c>
      <c r="I1253" s="3">
        <v>1110</v>
      </c>
      <c r="J1253" s="1">
        <v>45598</v>
      </c>
      <c r="K1253" t="s">
        <v>31</v>
      </c>
      <c r="L1253" t="s">
        <v>8</v>
      </c>
      <c r="M1253" t="s">
        <v>46</v>
      </c>
      <c r="N1253" s="1">
        <f t="shared" si="114"/>
        <v>45598</v>
      </c>
      <c r="O1253" s="4">
        <f t="shared" si="115"/>
        <v>1.8821420569123906E-2</v>
      </c>
      <c r="P1253">
        <f t="shared" si="116"/>
        <v>2.3623809523809522</v>
      </c>
      <c r="Q1253" s="2">
        <f t="shared" si="117"/>
        <v>11.672941176470587</v>
      </c>
      <c r="R1253" s="2">
        <f t="shared" si="118"/>
        <v>66.146666666666661</v>
      </c>
      <c r="S1253" s="2">
        <f t="shared" si="119"/>
        <v>5.5936303164684542</v>
      </c>
    </row>
    <row r="1254" spans="1:19" hidden="1">
      <c r="A1254" t="s">
        <v>1307</v>
      </c>
      <c r="B1254" t="s">
        <v>30</v>
      </c>
      <c r="C1254">
        <v>119</v>
      </c>
      <c r="D1254">
        <v>4610</v>
      </c>
      <c r="E1254" s="2">
        <v>222.7</v>
      </c>
      <c r="F1254">
        <v>18</v>
      </c>
      <c r="G1254">
        <v>3</v>
      </c>
      <c r="H1254">
        <v>2.5000000000000001E-2</v>
      </c>
      <c r="I1254" s="3">
        <v>1473</v>
      </c>
      <c r="J1254" s="1">
        <v>45614</v>
      </c>
      <c r="K1254" t="s">
        <v>31</v>
      </c>
      <c r="L1254" t="s">
        <v>7</v>
      </c>
      <c r="M1254" t="s">
        <v>37</v>
      </c>
      <c r="N1254" s="1">
        <f t="shared" si="114"/>
        <v>45614</v>
      </c>
      <c r="O1254" s="4">
        <f t="shared" si="115"/>
        <v>2.5813449023861172E-2</v>
      </c>
      <c r="P1254">
        <f t="shared" si="116"/>
        <v>1.8714285714285714</v>
      </c>
      <c r="Q1254" s="2">
        <f t="shared" si="117"/>
        <v>12.372222222222222</v>
      </c>
      <c r="R1254" s="2">
        <f t="shared" si="118"/>
        <v>74.233333333333334</v>
      </c>
      <c r="S1254" s="2">
        <f t="shared" si="119"/>
        <v>6.6142792995060624</v>
      </c>
    </row>
    <row r="1255" spans="1:19" hidden="1">
      <c r="A1255" t="s">
        <v>1308</v>
      </c>
      <c r="B1255" t="s">
        <v>30</v>
      </c>
      <c r="C1255">
        <v>96</v>
      </c>
      <c r="D1255">
        <v>5957</v>
      </c>
      <c r="E1255" s="2">
        <v>225.59</v>
      </c>
      <c r="F1255">
        <v>27</v>
      </c>
      <c r="G1255">
        <v>10</v>
      </c>
      <c r="H1255">
        <v>0.104</v>
      </c>
      <c r="I1255" s="3">
        <v>1062</v>
      </c>
      <c r="J1255" s="1">
        <v>45617</v>
      </c>
      <c r="K1255" t="s">
        <v>31</v>
      </c>
      <c r="L1255" t="s">
        <v>8</v>
      </c>
      <c r="M1255" t="s">
        <v>37</v>
      </c>
      <c r="N1255" s="1">
        <f t="shared" si="114"/>
        <v>45617</v>
      </c>
      <c r="O1255" s="4">
        <f t="shared" si="115"/>
        <v>1.6115494376363941E-2</v>
      </c>
      <c r="P1255">
        <f t="shared" si="116"/>
        <v>2.3498958333333335</v>
      </c>
      <c r="Q1255" s="2">
        <f t="shared" si="117"/>
        <v>8.355185185185185</v>
      </c>
      <c r="R1255" s="2">
        <f t="shared" si="118"/>
        <v>22.559000000000001</v>
      </c>
      <c r="S1255" s="2">
        <f t="shared" si="119"/>
        <v>4.7076554811826767</v>
      </c>
    </row>
    <row r="1256" spans="1:19" hidden="1">
      <c r="A1256" t="s">
        <v>1309</v>
      </c>
      <c r="B1256" t="s">
        <v>30</v>
      </c>
      <c r="C1256">
        <v>144</v>
      </c>
      <c r="D1256">
        <v>5704</v>
      </c>
      <c r="E1256" s="2">
        <v>196.67</v>
      </c>
      <c r="F1256">
        <v>29</v>
      </c>
      <c r="G1256">
        <v>6</v>
      </c>
      <c r="H1256">
        <v>4.2000000000000003E-2</v>
      </c>
      <c r="I1256" s="3">
        <v>1573</v>
      </c>
      <c r="J1256" s="1" t="s">
        <v>86</v>
      </c>
      <c r="K1256" t="s">
        <v>31</v>
      </c>
      <c r="L1256" t="s">
        <v>8</v>
      </c>
      <c r="M1256" t="s">
        <v>46</v>
      </c>
      <c r="N1256" s="1">
        <f t="shared" si="114"/>
        <v>45625</v>
      </c>
      <c r="O1256" s="4">
        <f t="shared" si="115"/>
        <v>2.5245441795231416E-2</v>
      </c>
      <c r="P1256">
        <f t="shared" si="116"/>
        <v>1.3657638888888888</v>
      </c>
      <c r="Q1256" s="2">
        <f t="shared" si="117"/>
        <v>6.7817241379310342</v>
      </c>
      <c r="R1256" s="2">
        <f t="shared" si="118"/>
        <v>32.778333333333329</v>
      </c>
      <c r="S1256" s="2">
        <f t="shared" si="119"/>
        <v>7.9981695225504659</v>
      </c>
    </row>
    <row r="1257" spans="1:19" hidden="1">
      <c r="A1257" t="s">
        <v>1310</v>
      </c>
      <c r="B1257" t="s">
        <v>30</v>
      </c>
      <c r="C1257">
        <v>148</v>
      </c>
      <c r="D1257">
        <v>5335</v>
      </c>
      <c r="E1257" s="2">
        <v>223.36</v>
      </c>
      <c r="F1257">
        <v>21</v>
      </c>
      <c r="G1257">
        <v>9</v>
      </c>
      <c r="H1257">
        <v>6.0999999999999999E-2</v>
      </c>
      <c r="I1257" s="3">
        <v>1251</v>
      </c>
      <c r="J1257" s="1">
        <v>45616</v>
      </c>
      <c r="K1257" t="s">
        <v>31</v>
      </c>
      <c r="L1257" t="s">
        <v>9</v>
      </c>
      <c r="M1257" t="s">
        <v>37</v>
      </c>
      <c r="N1257" s="1">
        <f t="shared" si="114"/>
        <v>45616</v>
      </c>
      <c r="O1257" s="4">
        <f t="shared" si="115"/>
        <v>2.7741330834114338E-2</v>
      </c>
      <c r="P1257">
        <f t="shared" si="116"/>
        <v>1.5091891891891893</v>
      </c>
      <c r="Q1257" s="2">
        <f t="shared" si="117"/>
        <v>10.636190476190476</v>
      </c>
      <c r="R1257" s="2">
        <f t="shared" si="118"/>
        <v>24.817777777777778</v>
      </c>
      <c r="S1257" s="2">
        <f t="shared" si="119"/>
        <v>5.6008237822349569</v>
      </c>
    </row>
    <row r="1258" spans="1:19">
      <c r="A1258" t="s">
        <v>1311</v>
      </c>
      <c r="B1258" t="s">
        <v>30</v>
      </c>
      <c r="C1258">
        <v>151</v>
      </c>
      <c r="D1258">
        <v>4901</v>
      </c>
      <c r="E1258" s="2">
        <v>224.29</v>
      </c>
      <c r="F1258">
        <v>27</v>
      </c>
      <c r="G1258">
        <v>7</v>
      </c>
      <c r="H1258">
        <v>4.5999999999999999E-2</v>
      </c>
      <c r="I1258" s="3">
        <v>1425</v>
      </c>
      <c r="J1258" s="1">
        <v>45601</v>
      </c>
      <c r="K1258" t="s">
        <v>31</v>
      </c>
      <c r="L1258" t="s">
        <v>8</v>
      </c>
      <c r="M1258" t="s">
        <v>39</v>
      </c>
      <c r="N1258" s="1">
        <f t="shared" si="114"/>
        <v>45601</v>
      </c>
      <c r="O1258" s="4">
        <f t="shared" si="115"/>
        <v>3.0810038767598448E-2</v>
      </c>
      <c r="P1258">
        <f t="shared" si="116"/>
        <v>1.4853642384105961</v>
      </c>
      <c r="Q1258" s="2">
        <f t="shared" si="117"/>
        <v>8.3070370370370359</v>
      </c>
      <c r="R1258" s="2">
        <f t="shared" si="118"/>
        <v>32.041428571428568</v>
      </c>
      <c r="S1258" s="2">
        <f t="shared" si="119"/>
        <v>6.3533817825137104</v>
      </c>
    </row>
    <row r="1259" spans="1:19">
      <c r="A1259" t="s">
        <v>1312</v>
      </c>
      <c r="B1259" t="s">
        <v>30</v>
      </c>
      <c r="C1259">
        <v>175</v>
      </c>
      <c r="D1259">
        <v>5392</v>
      </c>
      <c r="E1259" s="2">
        <v>187.74</v>
      </c>
      <c r="F1259">
        <v>17</v>
      </c>
      <c r="G1259">
        <v>9</v>
      </c>
      <c r="H1259">
        <v>4.5999999999999999E-2</v>
      </c>
      <c r="I1259" s="3">
        <v>1015</v>
      </c>
      <c r="J1259" s="1">
        <v>45617</v>
      </c>
      <c r="K1259" t="s">
        <v>31</v>
      </c>
      <c r="L1259" t="s">
        <v>9</v>
      </c>
      <c r="M1259" t="s">
        <v>37</v>
      </c>
      <c r="N1259" s="1">
        <f t="shared" si="114"/>
        <v>45617</v>
      </c>
      <c r="O1259" s="4">
        <f t="shared" si="115"/>
        <v>3.2455489614243327E-2</v>
      </c>
      <c r="P1259">
        <f t="shared" si="116"/>
        <v>1.0728</v>
      </c>
      <c r="Q1259" s="2">
        <f t="shared" si="117"/>
        <v>11.043529411764707</v>
      </c>
      <c r="R1259" s="2">
        <f t="shared" si="118"/>
        <v>20.86</v>
      </c>
      <c r="S1259" s="2">
        <f t="shared" si="119"/>
        <v>5.4064131245339295</v>
      </c>
    </row>
    <row r="1260" spans="1:19">
      <c r="A1260" t="s">
        <v>1313</v>
      </c>
      <c r="B1260" t="s">
        <v>30</v>
      </c>
      <c r="C1260">
        <v>189</v>
      </c>
      <c r="D1260">
        <v>3461</v>
      </c>
      <c r="E1260" s="2">
        <v>224.72</v>
      </c>
      <c r="F1260">
        <v>20</v>
      </c>
      <c r="G1260">
        <v>7</v>
      </c>
      <c r="H1260">
        <v>4.5999999999999999E-2</v>
      </c>
      <c r="I1260" s="3">
        <v>1390</v>
      </c>
      <c r="J1260" s="1">
        <v>45617</v>
      </c>
      <c r="K1260" t="s">
        <v>31</v>
      </c>
      <c r="L1260" t="s">
        <v>7</v>
      </c>
      <c r="M1260" t="s">
        <v>39</v>
      </c>
      <c r="N1260" s="1">
        <f t="shared" si="114"/>
        <v>45617</v>
      </c>
      <c r="O1260" s="4">
        <f t="shared" si="115"/>
        <v>5.4608494654724067E-2</v>
      </c>
      <c r="P1260">
        <f t="shared" si="116"/>
        <v>1.188994708994709</v>
      </c>
      <c r="Q1260" s="2">
        <f t="shared" si="117"/>
        <v>11.236000000000001</v>
      </c>
      <c r="R1260" s="2">
        <f t="shared" si="118"/>
        <v>32.10285714285714</v>
      </c>
      <c r="S1260" s="2">
        <f t="shared" si="119"/>
        <v>6.1854752580989674</v>
      </c>
    </row>
    <row r="1261" spans="1:19" hidden="1">
      <c r="A1261" t="s">
        <v>1314</v>
      </c>
      <c r="B1261" t="s">
        <v>30</v>
      </c>
      <c r="C1261">
        <v>157</v>
      </c>
      <c r="D1261">
        <v>5451</v>
      </c>
      <c r="E1261" s="2">
        <v>183.89</v>
      </c>
      <c r="F1261">
        <v>12</v>
      </c>
      <c r="G1261">
        <v>10</v>
      </c>
      <c r="H1261">
        <v>6.4000000000000001E-2</v>
      </c>
      <c r="I1261" s="3">
        <v>1180</v>
      </c>
      <c r="J1261" s="1" t="s">
        <v>86</v>
      </c>
      <c r="K1261" t="s">
        <v>31</v>
      </c>
      <c r="L1261" t="s">
        <v>7</v>
      </c>
      <c r="M1261" t="s">
        <v>35</v>
      </c>
      <c r="N1261" s="1">
        <f t="shared" si="114"/>
        <v>45625</v>
      </c>
      <c r="O1261" s="4">
        <f t="shared" si="115"/>
        <v>2.8802054668868097E-2</v>
      </c>
      <c r="P1261">
        <f t="shared" si="116"/>
        <v>1.1712738853503184</v>
      </c>
      <c r="Q1261" s="2">
        <f t="shared" si="117"/>
        <v>15.324166666666665</v>
      </c>
      <c r="R1261" s="2">
        <f t="shared" si="118"/>
        <v>18.388999999999999</v>
      </c>
      <c r="S1261" s="2">
        <f t="shared" si="119"/>
        <v>6.4168796563162767</v>
      </c>
    </row>
    <row r="1262" spans="1:19" hidden="1">
      <c r="A1262" t="s">
        <v>1315</v>
      </c>
      <c r="B1262" t="s">
        <v>30</v>
      </c>
      <c r="C1262">
        <v>126</v>
      </c>
      <c r="D1262">
        <v>4518.5</v>
      </c>
      <c r="E1262" s="2">
        <v>201.56</v>
      </c>
      <c r="F1262">
        <v>27</v>
      </c>
      <c r="G1262">
        <v>10</v>
      </c>
      <c r="H1262">
        <v>7.9000000000000001E-2</v>
      </c>
      <c r="I1262" s="3">
        <v>1122</v>
      </c>
      <c r="J1262" s="1">
        <v>45617</v>
      </c>
      <c r="K1262" t="s">
        <v>31</v>
      </c>
      <c r="L1262" t="s">
        <v>7</v>
      </c>
      <c r="M1262" t="s">
        <v>46</v>
      </c>
      <c r="N1262" s="1">
        <f t="shared" si="114"/>
        <v>45617</v>
      </c>
      <c r="O1262" s="4">
        <f t="shared" si="115"/>
        <v>2.7885360185902403E-2</v>
      </c>
      <c r="P1262">
        <f t="shared" si="116"/>
        <v>1.5996825396825396</v>
      </c>
      <c r="Q1262" s="2">
        <f t="shared" si="117"/>
        <v>7.4651851851851854</v>
      </c>
      <c r="R1262" s="2">
        <f t="shared" si="118"/>
        <v>20.155999999999999</v>
      </c>
      <c r="S1262" s="2">
        <f t="shared" si="119"/>
        <v>5.5665806707680092</v>
      </c>
    </row>
    <row r="1263" spans="1:19">
      <c r="A1263" t="s">
        <v>1316</v>
      </c>
      <c r="B1263" t="s">
        <v>30</v>
      </c>
      <c r="C1263">
        <v>85</v>
      </c>
      <c r="D1263">
        <v>3770</v>
      </c>
      <c r="E1263" s="2">
        <v>204.04</v>
      </c>
      <c r="F1263">
        <v>30</v>
      </c>
      <c r="G1263">
        <v>7</v>
      </c>
      <c r="H1263">
        <v>4.5999999999999999E-2</v>
      </c>
      <c r="I1263" s="3">
        <v>1238</v>
      </c>
      <c r="J1263" s="1" t="s">
        <v>50</v>
      </c>
      <c r="K1263" t="s">
        <v>31</v>
      </c>
      <c r="L1263" t="s">
        <v>8</v>
      </c>
      <c r="M1263" t="s">
        <v>32</v>
      </c>
      <c r="N1263" s="1">
        <f t="shared" si="114"/>
        <v>45610</v>
      </c>
      <c r="O1263" s="4">
        <f t="shared" si="115"/>
        <v>2.2546419098143235E-2</v>
      </c>
      <c r="P1263">
        <f t="shared" si="116"/>
        <v>2.4004705882352941</v>
      </c>
      <c r="Q1263" s="2">
        <f t="shared" si="117"/>
        <v>6.801333333333333</v>
      </c>
      <c r="R1263" s="2">
        <f t="shared" si="118"/>
        <v>29.148571428571426</v>
      </c>
      <c r="S1263" s="2">
        <f t="shared" si="119"/>
        <v>6.06743775730249</v>
      </c>
    </row>
    <row r="1264" spans="1:19" hidden="1">
      <c r="A1264" t="s">
        <v>1317</v>
      </c>
      <c r="B1264" t="s">
        <v>30</v>
      </c>
      <c r="C1264">
        <v>89</v>
      </c>
      <c r="D1264">
        <v>3573</v>
      </c>
      <c r="E1264" s="2">
        <v>193.53</v>
      </c>
      <c r="F1264">
        <v>20</v>
      </c>
      <c r="G1264">
        <v>10</v>
      </c>
      <c r="H1264">
        <v>0.112</v>
      </c>
      <c r="I1264" s="3">
        <v>1926</v>
      </c>
      <c r="J1264" s="1" t="s">
        <v>89</v>
      </c>
      <c r="K1264" t="s">
        <v>31</v>
      </c>
      <c r="L1264" t="s">
        <v>7</v>
      </c>
      <c r="M1264" t="s">
        <v>32</v>
      </c>
      <c r="N1264" s="1">
        <f t="shared" si="114"/>
        <v>45611</v>
      </c>
      <c r="O1264" s="4">
        <f t="shared" si="115"/>
        <v>2.4909040022390149E-2</v>
      </c>
      <c r="P1264">
        <f t="shared" si="116"/>
        <v>2.174494382022472</v>
      </c>
      <c r="Q1264" s="2">
        <f t="shared" si="117"/>
        <v>9.6765000000000008</v>
      </c>
      <c r="R1264" s="2">
        <f t="shared" si="118"/>
        <v>19.353000000000002</v>
      </c>
      <c r="S1264" s="2">
        <f t="shared" si="119"/>
        <v>9.9519454348163077</v>
      </c>
    </row>
    <row r="1265" spans="1:19">
      <c r="A1265" t="s">
        <v>1318</v>
      </c>
      <c r="B1265" t="s">
        <v>30</v>
      </c>
      <c r="C1265">
        <v>152</v>
      </c>
      <c r="D1265">
        <v>4092</v>
      </c>
      <c r="E1265" s="2">
        <v>196.66</v>
      </c>
      <c r="F1265">
        <v>10</v>
      </c>
      <c r="G1265">
        <v>5</v>
      </c>
      <c r="H1265">
        <v>4.5999999999999999E-2</v>
      </c>
      <c r="I1265" s="3">
        <v>1396</v>
      </c>
      <c r="J1265" s="1">
        <v>45607</v>
      </c>
      <c r="K1265" t="s">
        <v>31</v>
      </c>
      <c r="L1265" t="s">
        <v>7</v>
      </c>
      <c r="M1265" t="s">
        <v>46</v>
      </c>
      <c r="N1265" s="1">
        <f t="shared" si="114"/>
        <v>45607</v>
      </c>
      <c r="O1265" s="4">
        <f t="shared" si="115"/>
        <v>3.7145650048875857E-2</v>
      </c>
      <c r="P1265">
        <f t="shared" si="116"/>
        <v>1.2938157894736841</v>
      </c>
      <c r="Q1265" s="2">
        <f t="shared" si="117"/>
        <v>19.666</v>
      </c>
      <c r="R1265" s="2">
        <f t="shared" si="118"/>
        <v>39.332000000000001</v>
      </c>
      <c r="S1265" s="2">
        <f t="shared" si="119"/>
        <v>7.0985457134140137</v>
      </c>
    </row>
    <row r="1266" spans="1:19" hidden="1">
      <c r="A1266" t="s">
        <v>1319</v>
      </c>
      <c r="B1266" t="s">
        <v>30</v>
      </c>
      <c r="C1266">
        <v>126</v>
      </c>
      <c r="D1266">
        <v>3999</v>
      </c>
      <c r="E1266" s="2">
        <v>181.58</v>
      </c>
      <c r="F1266">
        <v>22</v>
      </c>
      <c r="G1266">
        <v>9</v>
      </c>
      <c r="H1266">
        <v>7.0999999999999994E-2</v>
      </c>
      <c r="I1266" s="3">
        <v>1145</v>
      </c>
      <c r="J1266" s="1">
        <v>45623</v>
      </c>
      <c r="K1266" t="s">
        <v>31</v>
      </c>
      <c r="L1266" t="s">
        <v>8</v>
      </c>
      <c r="M1266" t="s">
        <v>41</v>
      </c>
      <c r="N1266" s="1">
        <f t="shared" si="114"/>
        <v>45623</v>
      </c>
      <c r="O1266" s="4">
        <f t="shared" si="115"/>
        <v>3.1507876969242309E-2</v>
      </c>
      <c r="P1266">
        <f t="shared" si="116"/>
        <v>1.4411111111111112</v>
      </c>
      <c r="Q1266" s="2">
        <f t="shared" si="117"/>
        <v>8.2536363636363639</v>
      </c>
      <c r="R1266" s="2">
        <f t="shared" si="118"/>
        <v>20.175555555555558</v>
      </c>
      <c r="S1266" s="2">
        <f t="shared" si="119"/>
        <v>6.305760546315673</v>
      </c>
    </row>
    <row r="1267" spans="1:19" hidden="1">
      <c r="A1267" t="s">
        <v>1320</v>
      </c>
      <c r="B1267" t="s">
        <v>30</v>
      </c>
      <c r="C1267">
        <v>153</v>
      </c>
      <c r="D1267">
        <v>3354</v>
      </c>
      <c r="E1267" s="2">
        <v>243.13</v>
      </c>
      <c r="F1267">
        <v>24</v>
      </c>
      <c r="G1267">
        <v>6</v>
      </c>
      <c r="H1267">
        <v>3.9E-2</v>
      </c>
      <c r="I1267" s="3">
        <v>1536</v>
      </c>
      <c r="J1267" s="1">
        <v>45606</v>
      </c>
      <c r="K1267" t="s">
        <v>31</v>
      </c>
      <c r="L1267" t="s">
        <v>8</v>
      </c>
      <c r="M1267" t="s">
        <v>35</v>
      </c>
      <c r="N1267" s="1">
        <f t="shared" si="114"/>
        <v>45606</v>
      </c>
      <c r="O1267" s="4">
        <f t="shared" si="115"/>
        <v>4.5617173524150269E-2</v>
      </c>
      <c r="P1267">
        <f t="shared" si="116"/>
        <v>1.5890849673202614</v>
      </c>
      <c r="Q1267" s="2">
        <f t="shared" si="117"/>
        <v>10.130416666666667</v>
      </c>
      <c r="R1267" s="2">
        <f t="shared" si="118"/>
        <v>40.521666666666668</v>
      </c>
      <c r="S1267" s="2">
        <f t="shared" si="119"/>
        <v>6.3176078641056224</v>
      </c>
    </row>
    <row r="1268" spans="1:19" hidden="1">
      <c r="A1268" t="s">
        <v>1321</v>
      </c>
      <c r="B1268" t="s">
        <v>30</v>
      </c>
      <c r="C1268">
        <v>98</v>
      </c>
      <c r="D1268">
        <v>4801</v>
      </c>
      <c r="E1268" s="2">
        <v>186.52</v>
      </c>
      <c r="F1268">
        <v>10</v>
      </c>
      <c r="G1268">
        <v>3</v>
      </c>
      <c r="H1268">
        <v>3.1E-2</v>
      </c>
      <c r="I1268" s="3">
        <v>1121</v>
      </c>
      <c r="J1268" s="1">
        <v>45603</v>
      </c>
      <c r="K1268" t="s">
        <v>31</v>
      </c>
      <c r="L1268" t="s">
        <v>7</v>
      </c>
      <c r="M1268" t="s">
        <v>32</v>
      </c>
      <c r="N1268" s="1">
        <f t="shared" si="114"/>
        <v>45603</v>
      </c>
      <c r="O1268" s="4">
        <f t="shared" si="115"/>
        <v>2.0412414080399916E-2</v>
      </c>
      <c r="P1268">
        <f t="shared" si="116"/>
        <v>1.9032653061224492</v>
      </c>
      <c r="Q1268" s="2">
        <f t="shared" si="117"/>
        <v>18.652000000000001</v>
      </c>
      <c r="R1268" s="2">
        <f t="shared" si="118"/>
        <v>62.173333333333339</v>
      </c>
      <c r="S1268" s="2">
        <f t="shared" si="119"/>
        <v>6.0100793480591888</v>
      </c>
    </row>
    <row r="1269" spans="1:19">
      <c r="A1269" t="s">
        <v>1322</v>
      </c>
      <c r="B1269" t="s">
        <v>30</v>
      </c>
      <c r="C1269">
        <v>145</v>
      </c>
      <c r="D1269">
        <v>4799</v>
      </c>
      <c r="E1269" s="2">
        <v>194.74</v>
      </c>
      <c r="F1269">
        <v>17</v>
      </c>
      <c r="G1269">
        <v>6</v>
      </c>
      <c r="H1269">
        <v>4.5999999999999999E-2</v>
      </c>
      <c r="I1269" s="3">
        <v>1381</v>
      </c>
      <c r="J1269" s="1">
        <v>45484</v>
      </c>
      <c r="K1269" t="s">
        <v>31</v>
      </c>
      <c r="L1269" t="s">
        <v>7</v>
      </c>
      <c r="M1269" t="s">
        <v>46</v>
      </c>
      <c r="N1269" s="1">
        <f t="shared" si="114"/>
        <v>45484</v>
      </c>
      <c r="O1269" s="4">
        <f t="shared" si="115"/>
        <v>3.0214628047509899E-2</v>
      </c>
      <c r="P1269">
        <f t="shared" si="116"/>
        <v>1.3430344827586207</v>
      </c>
      <c r="Q1269" s="2">
        <f t="shared" si="117"/>
        <v>11.455294117647059</v>
      </c>
      <c r="R1269" s="2">
        <f t="shared" si="118"/>
        <v>32.456666666666671</v>
      </c>
      <c r="S1269" s="2">
        <f t="shared" si="119"/>
        <v>7.0915066242169047</v>
      </c>
    </row>
    <row r="1270" spans="1:19">
      <c r="A1270" t="s">
        <v>1323</v>
      </c>
      <c r="B1270" t="s">
        <v>30</v>
      </c>
      <c r="C1270">
        <v>179</v>
      </c>
      <c r="D1270">
        <v>3753</v>
      </c>
      <c r="E1270" s="2">
        <v>220.87</v>
      </c>
      <c r="F1270">
        <v>23</v>
      </c>
      <c r="G1270">
        <v>6</v>
      </c>
      <c r="H1270">
        <v>4.5999999999999999E-2</v>
      </c>
      <c r="I1270" s="3">
        <v>1966</v>
      </c>
      <c r="J1270" s="1">
        <v>45610</v>
      </c>
      <c r="K1270" t="s">
        <v>31</v>
      </c>
      <c r="L1270" t="s">
        <v>9</v>
      </c>
      <c r="M1270" t="s">
        <v>35</v>
      </c>
      <c r="N1270" s="1">
        <f t="shared" si="114"/>
        <v>45610</v>
      </c>
      <c r="O1270" s="4">
        <f t="shared" si="115"/>
        <v>4.769517719158007E-2</v>
      </c>
      <c r="P1270">
        <f t="shared" si="116"/>
        <v>1.2339106145251397</v>
      </c>
      <c r="Q1270" s="2">
        <f t="shared" si="117"/>
        <v>9.6030434782608705</v>
      </c>
      <c r="R1270" s="2">
        <f t="shared" si="118"/>
        <v>36.811666666666667</v>
      </c>
      <c r="S1270" s="2">
        <f t="shared" si="119"/>
        <v>8.9011635803866529</v>
      </c>
    </row>
    <row r="1271" spans="1:19">
      <c r="A1271" t="s">
        <v>1324</v>
      </c>
      <c r="B1271" t="s">
        <v>30</v>
      </c>
      <c r="C1271">
        <v>108</v>
      </c>
      <c r="D1271">
        <v>4698</v>
      </c>
      <c r="E1271" s="2">
        <v>187.19</v>
      </c>
      <c r="F1271">
        <v>19</v>
      </c>
      <c r="G1271">
        <v>10</v>
      </c>
      <c r="H1271">
        <v>4.5999999999999999E-2</v>
      </c>
      <c r="I1271" s="3">
        <v>1118</v>
      </c>
      <c r="J1271" s="1" t="s">
        <v>89</v>
      </c>
      <c r="K1271" t="s">
        <v>31</v>
      </c>
      <c r="L1271" t="s">
        <v>8</v>
      </c>
      <c r="M1271" t="s">
        <v>37</v>
      </c>
      <c r="N1271" s="1">
        <f t="shared" si="114"/>
        <v>45611</v>
      </c>
      <c r="O1271" s="4">
        <f t="shared" si="115"/>
        <v>2.2988505747126436E-2</v>
      </c>
      <c r="P1271">
        <f t="shared" si="116"/>
        <v>1.7332407407407406</v>
      </c>
      <c r="Q1271" s="2">
        <f t="shared" si="117"/>
        <v>9.8521052631578954</v>
      </c>
      <c r="R1271" s="2">
        <f t="shared" si="118"/>
        <v>18.719000000000001</v>
      </c>
      <c r="S1271" s="2">
        <f t="shared" si="119"/>
        <v>5.9725412682301409</v>
      </c>
    </row>
    <row r="1272" spans="1:19" hidden="1">
      <c r="A1272" t="s">
        <v>1325</v>
      </c>
      <c r="B1272" t="s">
        <v>30</v>
      </c>
      <c r="C1272">
        <v>191</v>
      </c>
      <c r="D1272">
        <v>3522</v>
      </c>
      <c r="E1272" s="2">
        <v>216.65</v>
      </c>
      <c r="F1272">
        <v>25</v>
      </c>
      <c r="G1272">
        <v>5</v>
      </c>
      <c r="H1272">
        <v>2.5999999999999999E-2</v>
      </c>
      <c r="I1272" s="3">
        <v>1835</v>
      </c>
      <c r="J1272" s="1">
        <v>45620</v>
      </c>
      <c r="K1272" t="s">
        <v>31</v>
      </c>
      <c r="L1272" t="s">
        <v>9</v>
      </c>
      <c r="M1272" t="s">
        <v>39</v>
      </c>
      <c r="N1272" s="1">
        <f t="shared" si="114"/>
        <v>45620</v>
      </c>
      <c r="O1272" s="4">
        <f t="shared" si="115"/>
        <v>5.4230550823395798E-2</v>
      </c>
      <c r="P1272">
        <f t="shared" si="116"/>
        <v>1.1342931937172775</v>
      </c>
      <c r="Q1272" s="2">
        <f t="shared" si="117"/>
        <v>8.6660000000000004</v>
      </c>
      <c r="R1272" s="2">
        <f t="shared" si="118"/>
        <v>43.33</v>
      </c>
      <c r="S1272" s="2">
        <f t="shared" si="119"/>
        <v>8.4698822986383568</v>
      </c>
    </row>
    <row r="1273" spans="1:19" hidden="1">
      <c r="A1273" t="s">
        <v>1326</v>
      </c>
      <c r="B1273" t="s">
        <v>30</v>
      </c>
      <c r="C1273">
        <v>183</v>
      </c>
      <c r="D1273">
        <v>3363</v>
      </c>
      <c r="E1273" s="2">
        <v>212.08</v>
      </c>
      <c r="F1273">
        <v>10</v>
      </c>
      <c r="G1273">
        <v>9</v>
      </c>
      <c r="H1273">
        <v>4.9000000000000002E-2</v>
      </c>
      <c r="I1273" s="3">
        <v>1511</v>
      </c>
      <c r="J1273" s="1">
        <v>45484</v>
      </c>
      <c r="K1273" t="s">
        <v>31</v>
      </c>
      <c r="L1273" t="s">
        <v>9</v>
      </c>
      <c r="M1273" t="s">
        <v>37</v>
      </c>
      <c r="N1273" s="1">
        <f t="shared" si="114"/>
        <v>45484</v>
      </c>
      <c r="O1273" s="4">
        <f t="shared" si="115"/>
        <v>5.4415700267618196E-2</v>
      </c>
      <c r="P1273">
        <f t="shared" si="116"/>
        <v>1.1589071038251366</v>
      </c>
      <c r="Q1273" s="2">
        <f t="shared" si="117"/>
        <v>21.208000000000002</v>
      </c>
      <c r="R1273" s="2">
        <f t="shared" si="118"/>
        <v>23.564444444444447</v>
      </c>
      <c r="S1273" s="2">
        <f t="shared" si="119"/>
        <v>7.1246699358732553</v>
      </c>
    </row>
    <row r="1274" spans="1:19" hidden="1">
      <c r="A1274" t="s">
        <v>1327</v>
      </c>
      <c r="B1274" t="s">
        <v>30</v>
      </c>
      <c r="C1274">
        <v>175</v>
      </c>
      <c r="D1274">
        <v>5924</v>
      </c>
      <c r="E1274" s="2">
        <v>223.3</v>
      </c>
      <c r="F1274">
        <v>14</v>
      </c>
      <c r="G1274">
        <v>3</v>
      </c>
      <c r="H1274">
        <v>1.7000000000000001E-2</v>
      </c>
      <c r="I1274" s="3">
        <v>1505</v>
      </c>
      <c r="J1274" s="1">
        <v>45600</v>
      </c>
      <c r="K1274" t="s">
        <v>31</v>
      </c>
      <c r="L1274" t="s">
        <v>8</v>
      </c>
      <c r="M1274" t="s">
        <v>46</v>
      </c>
      <c r="N1274" s="1">
        <f t="shared" si="114"/>
        <v>45600</v>
      </c>
      <c r="O1274" s="4">
        <f t="shared" si="115"/>
        <v>2.9540850776502363E-2</v>
      </c>
      <c r="P1274">
        <f t="shared" si="116"/>
        <v>1.276</v>
      </c>
      <c r="Q1274" s="2">
        <f t="shared" si="117"/>
        <v>15.950000000000001</v>
      </c>
      <c r="R1274" s="2">
        <f t="shared" si="118"/>
        <v>74.433333333333337</v>
      </c>
      <c r="S1274" s="2">
        <f t="shared" si="119"/>
        <v>6.7398119122257052</v>
      </c>
    </row>
    <row r="1275" spans="1:19" hidden="1">
      <c r="A1275" t="s">
        <v>1328</v>
      </c>
      <c r="B1275" t="s">
        <v>30</v>
      </c>
      <c r="C1275">
        <v>97</v>
      </c>
      <c r="D1275">
        <v>3558</v>
      </c>
      <c r="E1275" s="2">
        <v>195.5</v>
      </c>
      <c r="F1275">
        <v>13</v>
      </c>
      <c r="G1275">
        <v>3</v>
      </c>
      <c r="H1275">
        <v>5.8000000000000003E-2</v>
      </c>
      <c r="I1275" s="3">
        <v>1544</v>
      </c>
      <c r="J1275" s="1">
        <v>45607</v>
      </c>
      <c r="K1275" t="s">
        <v>31</v>
      </c>
      <c r="L1275" t="s">
        <v>7</v>
      </c>
      <c r="M1275" t="s">
        <v>35</v>
      </c>
      <c r="N1275" s="1">
        <f t="shared" si="114"/>
        <v>45607</v>
      </c>
      <c r="O1275" s="4">
        <f t="shared" si="115"/>
        <v>2.7262507026419337E-2</v>
      </c>
      <c r="P1275">
        <f t="shared" si="116"/>
        <v>2.0154639175257731</v>
      </c>
      <c r="Q1275" s="2">
        <f t="shared" si="117"/>
        <v>15.038461538461538</v>
      </c>
      <c r="R1275" s="2">
        <f t="shared" si="118"/>
        <v>65.166666666666671</v>
      </c>
      <c r="S1275" s="2">
        <f t="shared" si="119"/>
        <v>7.8976982097186701</v>
      </c>
    </row>
    <row r="1276" spans="1:19" hidden="1">
      <c r="A1276" t="s">
        <v>1329</v>
      </c>
      <c r="B1276" t="s">
        <v>30</v>
      </c>
      <c r="C1276">
        <v>159</v>
      </c>
      <c r="D1276">
        <v>4208</v>
      </c>
      <c r="E1276" s="2">
        <v>236.75</v>
      </c>
      <c r="F1276">
        <v>13</v>
      </c>
      <c r="G1276">
        <v>8</v>
      </c>
      <c r="H1276">
        <v>0.05</v>
      </c>
      <c r="I1276" s="3">
        <v>1849</v>
      </c>
      <c r="J1276" s="1">
        <v>45612</v>
      </c>
      <c r="K1276" t="s">
        <v>31</v>
      </c>
      <c r="L1276" t="s">
        <v>9</v>
      </c>
      <c r="M1276" t="s">
        <v>39</v>
      </c>
      <c r="N1276" s="1">
        <f t="shared" si="114"/>
        <v>45612</v>
      </c>
      <c r="O1276" s="4">
        <f t="shared" si="115"/>
        <v>3.7785171102661594E-2</v>
      </c>
      <c r="P1276">
        <f t="shared" si="116"/>
        <v>1.4889937106918238</v>
      </c>
      <c r="Q1276" s="2">
        <f t="shared" si="117"/>
        <v>18.21153846153846</v>
      </c>
      <c r="R1276" s="2">
        <f t="shared" si="118"/>
        <v>29.59375</v>
      </c>
      <c r="S1276" s="2">
        <f t="shared" si="119"/>
        <v>7.8099260823653642</v>
      </c>
    </row>
    <row r="1277" spans="1:19" hidden="1">
      <c r="A1277" t="s">
        <v>1330</v>
      </c>
      <c r="B1277" t="s">
        <v>30</v>
      </c>
      <c r="C1277">
        <v>125</v>
      </c>
      <c r="D1277">
        <v>3607</v>
      </c>
      <c r="E1277" s="2">
        <v>224.45</v>
      </c>
      <c r="F1277">
        <v>22</v>
      </c>
      <c r="G1277">
        <v>9</v>
      </c>
      <c r="H1277">
        <v>7.1999999999999995E-2</v>
      </c>
      <c r="I1277" s="3">
        <v>1392</v>
      </c>
      <c r="J1277" s="1">
        <v>45333</v>
      </c>
      <c r="K1277" t="s">
        <v>31</v>
      </c>
      <c r="L1277" t="s">
        <v>9</v>
      </c>
      <c r="M1277" t="s">
        <v>46</v>
      </c>
      <c r="N1277" s="1">
        <f t="shared" si="114"/>
        <v>45333</v>
      </c>
      <c r="O1277" s="4">
        <f t="shared" si="115"/>
        <v>3.4654837815359024E-2</v>
      </c>
      <c r="P1277">
        <f t="shared" si="116"/>
        <v>1.7955999999999999</v>
      </c>
      <c r="Q1277" s="2">
        <f t="shared" si="117"/>
        <v>10.202272727272726</v>
      </c>
      <c r="R1277" s="2">
        <f t="shared" si="118"/>
        <v>24.938888888888886</v>
      </c>
      <c r="S1277" s="2">
        <f t="shared" si="119"/>
        <v>6.2018266874582313</v>
      </c>
    </row>
    <row r="1278" spans="1:19">
      <c r="A1278" t="s">
        <v>1331</v>
      </c>
      <c r="B1278" t="s">
        <v>30</v>
      </c>
      <c r="C1278">
        <v>193</v>
      </c>
      <c r="D1278">
        <v>4518.5</v>
      </c>
      <c r="E1278" s="2">
        <v>199.27</v>
      </c>
      <c r="F1278">
        <v>13</v>
      </c>
      <c r="G1278">
        <v>9</v>
      </c>
      <c r="H1278">
        <v>4.5999999999999999E-2</v>
      </c>
      <c r="I1278" s="3">
        <v>1612</v>
      </c>
      <c r="J1278" s="1">
        <v>45515</v>
      </c>
      <c r="K1278" t="s">
        <v>31</v>
      </c>
      <c r="L1278" t="s">
        <v>8</v>
      </c>
      <c r="M1278" t="s">
        <v>37</v>
      </c>
      <c r="N1278" s="1">
        <f t="shared" si="114"/>
        <v>45515</v>
      </c>
      <c r="O1278" s="4">
        <f t="shared" si="115"/>
        <v>4.2713289808564786E-2</v>
      </c>
      <c r="P1278">
        <f t="shared" si="116"/>
        <v>1.0324870466321243</v>
      </c>
      <c r="Q1278" s="2">
        <f t="shared" si="117"/>
        <v>15.328461538461539</v>
      </c>
      <c r="R1278" s="2">
        <f t="shared" si="118"/>
        <v>22.141111111111112</v>
      </c>
      <c r="S1278" s="2">
        <f t="shared" si="119"/>
        <v>8.0895267727204292</v>
      </c>
    </row>
    <row r="1279" spans="1:19" hidden="1">
      <c r="A1279" t="s">
        <v>1332</v>
      </c>
      <c r="B1279" t="s">
        <v>30</v>
      </c>
      <c r="C1279">
        <v>110</v>
      </c>
      <c r="D1279">
        <v>5220</v>
      </c>
      <c r="E1279" s="2">
        <v>233.06</v>
      </c>
      <c r="F1279">
        <v>16</v>
      </c>
      <c r="G1279">
        <v>4</v>
      </c>
      <c r="H1279">
        <v>3.5999999999999997E-2</v>
      </c>
      <c r="I1279" s="3">
        <v>1711</v>
      </c>
      <c r="J1279" s="1" t="s">
        <v>89</v>
      </c>
      <c r="K1279" t="s">
        <v>31</v>
      </c>
      <c r="L1279" t="s">
        <v>8</v>
      </c>
      <c r="M1279" t="s">
        <v>39</v>
      </c>
      <c r="N1279" s="1">
        <f t="shared" si="114"/>
        <v>45611</v>
      </c>
      <c r="O1279" s="4">
        <f t="shared" si="115"/>
        <v>2.1072796934865901E-2</v>
      </c>
      <c r="P1279">
        <f t="shared" si="116"/>
        <v>2.1187272727272726</v>
      </c>
      <c r="Q1279" s="2">
        <f t="shared" si="117"/>
        <v>14.56625</v>
      </c>
      <c r="R1279" s="2">
        <f t="shared" si="118"/>
        <v>58.265000000000001</v>
      </c>
      <c r="S1279" s="2">
        <f t="shared" si="119"/>
        <v>7.3414571355015878</v>
      </c>
    </row>
    <row r="1280" spans="1:19" hidden="1">
      <c r="A1280" t="s">
        <v>1333</v>
      </c>
      <c r="B1280" t="s">
        <v>30</v>
      </c>
      <c r="C1280">
        <v>83</v>
      </c>
      <c r="D1280">
        <v>5247</v>
      </c>
      <c r="E1280" s="2">
        <v>231.04</v>
      </c>
      <c r="F1280">
        <v>27</v>
      </c>
      <c r="G1280">
        <v>3</v>
      </c>
      <c r="H1280">
        <v>5.3999999999999999E-2</v>
      </c>
      <c r="I1280" s="3">
        <v>1636</v>
      </c>
      <c r="J1280" s="1">
        <v>45600</v>
      </c>
      <c r="K1280" t="s">
        <v>31</v>
      </c>
      <c r="L1280" t="s">
        <v>7</v>
      </c>
      <c r="M1280" t="s">
        <v>37</v>
      </c>
      <c r="N1280" s="1">
        <f t="shared" si="114"/>
        <v>45600</v>
      </c>
      <c r="O1280" s="4">
        <f t="shared" si="115"/>
        <v>1.5818562988374311E-2</v>
      </c>
      <c r="P1280">
        <f t="shared" si="116"/>
        <v>2.7836144578313253</v>
      </c>
      <c r="Q1280" s="2">
        <f t="shared" si="117"/>
        <v>8.5570370370370359</v>
      </c>
      <c r="R1280" s="2">
        <f t="shared" si="118"/>
        <v>77.013333333333335</v>
      </c>
      <c r="S1280" s="2">
        <f t="shared" si="119"/>
        <v>7.0810249307479225</v>
      </c>
    </row>
    <row r="1281" spans="1:19" hidden="1">
      <c r="A1281" t="s">
        <v>1334</v>
      </c>
      <c r="B1281" t="s">
        <v>30</v>
      </c>
      <c r="C1281">
        <v>166</v>
      </c>
      <c r="D1281">
        <v>5522</v>
      </c>
      <c r="E1281" s="2">
        <v>218.34</v>
      </c>
      <c r="F1281">
        <v>13</v>
      </c>
      <c r="G1281">
        <v>3</v>
      </c>
      <c r="H1281">
        <v>1.7999999999999999E-2</v>
      </c>
      <c r="I1281" s="3">
        <v>1235</v>
      </c>
      <c r="J1281" s="1">
        <v>45618</v>
      </c>
      <c r="K1281" t="s">
        <v>31</v>
      </c>
      <c r="L1281" t="s">
        <v>7</v>
      </c>
      <c r="M1281" t="s">
        <v>41</v>
      </c>
      <c r="N1281" s="1">
        <f t="shared" si="114"/>
        <v>45618</v>
      </c>
      <c r="O1281" s="4">
        <f t="shared" si="115"/>
        <v>3.0061571894241218E-2</v>
      </c>
      <c r="P1281">
        <f t="shared" si="116"/>
        <v>1.3153012048192771</v>
      </c>
      <c r="Q1281" s="2">
        <f t="shared" si="117"/>
        <v>16.795384615384616</v>
      </c>
      <c r="R1281" s="2">
        <f t="shared" si="118"/>
        <v>72.78</v>
      </c>
      <c r="S1281" s="2">
        <f t="shared" si="119"/>
        <v>5.6563158376843452</v>
      </c>
    </row>
    <row r="1282" spans="1:19" hidden="1">
      <c r="A1282" t="s">
        <v>1335</v>
      </c>
      <c r="B1282" t="s">
        <v>30</v>
      </c>
      <c r="C1282">
        <v>108</v>
      </c>
      <c r="D1282">
        <v>3682</v>
      </c>
      <c r="E1282" s="2">
        <v>214.43</v>
      </c>
      <c r="F1282">
        <v>20</v>
      </c>
      <c r="G1282">
        <v>3</v>
      </c>
      <c r="H1282">
        <v>2.8000000000000001E-2</v>
      </c>
      <c r="I1282" s="3">
        <v>1553</v>
      </c>
      <c r="J1282" s="1" t="s">
        <v>115</v>
      </c>
      <c r="K1282" t="s">
        <v>31</v>
      </c>
      <c r="L1282" t="s">
        <v>7</v>
      </c>
      <c r="M1282" t="s">
        <v>32</v>
      </c>
      <c r="N1282" s="1">
        <f t="shared" ref="N1282:N1345" si="120">IF(A1282="","",IF(ISNUMBER(J1282),J1282,IF(MID(J1282,5,1)="-",DATE(LEFT(J1282,4),MID(J1282,6,2),RIGHT(J1282,2)),IF(MID(J1282,5,1)="/",DATE(LEFT(J1282,4),MID(J1282,6,2),RIGHT(J1282,2)),DATE(RIGHT(J1282,4),MID(J1282,4,2),LEFT(J1282,2))))))</f>
        <v>45623</v>
      </c>
      <c r="O1282" s="4">
        <f t="shared" ref="O1282:O1345" si="121">IFERROR(C1282/D1282,0)</f>
        <v>2.9331884845192831E-2</v>
      </c>
      <c r="P1282">
        <f t="shared" ref="P1282:P1345" si="122">IFERROR(E1282/C1282,0)</f>
        <v>1.985462962962963</v>
      </c>
      <c r="Q1282" s="2">
        <f t="shared" ref="Q1282:Q1345" si="123">IFERROR(E1282/F1282,0)</f>
        <v>10.721500000000001</v>
      </c>
      <c r="R1282" s="2">
        <f t="shared" ref="R1282:R1345" si="124">IFERROR(E1282/G1282,0)</f>
        <v>71.476666666666674</v>
      </c>
      <c r="S1282" s="2">
        <f t="shared" ref="S1282:S1345" si="125">IFERROR(I1282/E1282,0)</f>
        <v>7.2424567457911673</v>
      </c>
    </row>
    <row r="1283" spans="1:19">
      <c r="A1283" t="s">
        <v>1336</v>
      </c>
      <c r="B1283" t="s">
        <v>30</v>
      </c>
      <c r="C1283">
        <v>84</v>
      </c>
      <c r="D1283">
        <v>4549</v>
      </c>
      <c r="E1283" s="2">
        <v>191.96</v>
      </c>
      <c r="F1283">
        <v>15</v>
      </c>
      <c r="G1283">
        <v>7</v>
      </c>
      <c r="H1283">
        <v>4.5999999999999999E-2</v>
      </c>
      <c r="I1283" s="3">
        <v>1303</v>
      </c>
      <c r="J1283" s="1" t="s">
        <v>217</v>
      </c>
      <c r="K1283" t="s">
        <v>31</v>
      </c>
      <c r="L1283" t="s">
        <v>7</v>
      </c>
      <c r="M1283" t="s">
        <v>35</v>
      </c>
      <c r="N1283" s="1">
        <f t="shared" si="120"/>
        <v>45609</v>
      </c>
      <c r="O1283" s="4">
        <f t="shared" si="121"/>
        <v>1.8465596834469113E-2</v>
      </c>
      <c r="P1283">
        <f t="shared" si="122"/>
        <v>2.2852380952380953</v>
      </c>
      <c r="Q1283" s="2">
        <f t="shared" si="123"/>
        <v>12.797333333333334</v>
      </c>
      <c r="R1283" s="2">
        <f t="shared" si="124"/>
        <v>27.422857142857143</v>
      </c>
      <c r="S1283" s="2">
        <f t="shared" si="125"/>
        <v>6.7878724734319649</v>
      </c>
    </row>
    <row r="1284" spans="1:19" hidden="1">
      <c r="A1284" t="s">
        <v>1337</v>
      </c>
      <c r="B1284" t="s">
        <v>30</v>
      </c>
      <c r="C1284">
        <v>117</v>
      </c>
      <c r="D1284">
        <v>5170</v>
      </c>
      <c r="E1284" s="2">
        <v>215.57</v>
      </c>
      <c r="F1284">
        <v>16</v>
      </c>
      <c r="G1284">
        <v>10</v>
      </c>
      <c r="H1284">
        <v>8.5000000000000006E-2</v>
      </c>
      <c r="I1284" s="3">
        <v>1505</v>
      </c>
      <c r="J1284" s="1" t="s">
        <v>34</v>
      </c>
      <c r="K1284" t="s">
        <v>31</v>
      </c>
      <c r="L1284" t="s">
        <v>9</v>
      </c>
      <c r="M1284" t="s">
        <v>37</v>
      </c>
      <c r="N1284" s="1">
        <f t="shared" si="120"/>
        <v>45616</v>
      </c>
      <c r="O1284" s="4">
        <f t="shared" si="121"/>
        <v>2.2630560928433269E-2</v>
      </c>
      <c r="P1284">
        <f t="shared" si="122"/>
        <v>1.8424786324786324</v>
      </c>
      <c r="Q1284" s="2">
        <f t="shared" si="123"/>
        <v>13.473125</v>
      </c>
      <c r="R1284" s="2">
        <f t="shared" si="124"/>
        <v>21.556999999999999</v>
      </c>
      <c r="S1284" s="2">
        <f t="shared" si="125"/>
        <v>6.9814909310200868</v>
      </c>
    </row>
    <row r="1285" spans="1:19" hidden="1">
      <c r="A1285" t="s">
        <v>1338</v>
      </c>
      <c r="B1285" t="s">
        <v>30</v>
      </c>
      <c r="C1285">
        <v>195</v>
      </c>
      <c r="D1285">
        <v>3122</v>
      </c>
      <c r="E1285" s="2">
        <v>205.3</v>
      </c>
      <c r="F1285">
        <v>24</v>
      </c>
      <c r="G1285">
        <v>4</v>
      </c>
      <c r="H1285">
        <v>4.2999999999999997E-2</v>
      </c>
      <c r="I1285" s="3">
        <v>1326</v>
      </c>
      <c r="J1285" s="1">
        <v>45610</v>
      </c>
      <c r="K1285" t="s">
        <v>31</v>
      </c>
      <c r="L1285" t="s">
        <v>8</v>
      </c>
      <c r="M1285" t="s">
        <v>39</v>
      </c>
      <c r="N1285" s="1">
        <f t="shared" si="120"/>
        <v>45610</v>
      </c>
      <c r="O1285" s="4">
        <f t="shared" si="121"/>
        <v>6.2459961563100574E-2</v>
      </c>
      <c r="P1285">
        <f t="shared" si="122"/>
        <v>1.0528205128205128</v>
      </c>
      <c r="Q1285" s="2">
        <f t="shared" si="123"/>
        <v>8.5541666666666671</v>
      </c>
      <c r="R1285" s="2">
        <f t="shared" si="124"/>
        <v>51.325000000000003</v>
      </c>
      <c r="S1285" s="2">
        <f t="shared" si="125"/>
        <v>6.4588407208962488</v>
      </c>
    </row>
    <row r="1286" spans="1:19" hidden="1">
      <c r="A1286" t="s">
        <v>1339</v>
      </c>
      <c r="B1286" t="s">
        <v>30</v>
      </c>
      <c r="C1286">
        <v>149</v>
      </c>
      <c r="D1286">
        <v>3650</v>
      </c>
      <c r="E1286" s="2">
        <v>220.25</v>
      </c>
      <c r="F1286">
        <v>17</v>
      </c>
      <c r="G1286">
        <v>3</v>
      </c>
      <c r="H1286">
        <v>0.02</v>
      </c>
      <c r="I1286" s="3">
        <v>1505</v>
      </c>
      <c r="J1286" s="1" t="s">
        <v>86</v>
      </c>
      <c r="K1286" t="s">
        <v>31</v>
      </c>
      <c r="L1286" t="s">
        <v>8</v>
      </c>
      <c r="M1286" t="s">
        <v>37</v>
      </c>
      <c r="N1286" s="1">
        <f t="shared" si="120"/>
        <v>45625</v>
      </c>
      <c r="O1286" s="4">
        <f t="shared" si="121"/>
        <v>4.0821917808219178E-2</v>
      </c>
      <c r="P1286">
        <f t="shared" si="122"/>
        <v>1.4781879194630871</v>
      </c>
      <c r="Q1286" s="2">
        <f t="shared" si="123"/>
        <v>12.955882352941176</v>
      </c>
      <c r="R1286" s="2">
        <f t="shared" si="124"/>
        <v>73.416666666666671</v>
      </c>
      <c r="S1286" s="2">
        <f t="shared" si="125"/>
        <v>6.833144154370034</v>
      </c>
    </row>
    <row r="1287" spans="1:19">
      <c r="A1287" t="s">
        <v>1340</v>
      </c>
      <c r="B1287" t="s">
        <v>30</v>
      </c>
      <c r="C1287">
        <v>142</v>
      </c>
      <c r="D1287">
        <v>5436</v>
      </c>
      <c r="E1287" s="2">
        <v>237.09</v>
      </c>
      <c r="F1287">
        <v>14</v>
      </c>
      <c r="G1287">
        <v>7</v>
      </c>
      <c r="H1287">
        <v>4.5999999999999999E-2</v>
      </c>
      <c r="I1287" s="3">
        <v>1269</v>
      </c>
      <c r="J1287" s="1" t="s">
        <v>34</v>
      </c>
      <c r="K1287" t="s">
        <v>31</v>
      </c>
      <c r="L1287" t="s">
        <v>9</v>
      </c>
      <c r="M1287" t="s">
        <v>41</v>
      </c>
      <c r="N1287" s="1">
        <f t="shared" si="120"/>
        <v>45616</v>
      </c>
      <c r="O1287" s="4">
        <f t="shared" si="121"/>
        <v>2.6122148638704931E-2</v>
      </c>
      <c r="P1287">
        <f t="shared" si="122"/>
        <v>1.6696478873239438</v>
      </c>
      <c r="Q1287" s="2">
        <f t="shared" si="123"/>
        <v>16.934999999999999</v>
      </c>
      <c r="R1287" s="2">
        <f t="shared" si="124"/>
        <v>33.869999999999997</v>
      </c>
      <c r="S1287" s="2">
        <f t="shared" si="125"/>
        <v>5.3523978236112866</v>
      </c>
    </row>
    <row r="1288" spans="1:19" hidden="1">
      <c r="A1288" t="s">
        <v>1341</v>
      </c>
      <c r="B1288" t="s">
        <v>30</v>
      </c>
      <c r="C1288">
        <v>98</v>
      </c>
      <c r="D1288">
        <v>5485</v>
      </c>
      <c r="E1288" s="2">
        <v>182.29</v>
      </c>
      <c r="F1288">
        <v>16</v>
      </c>
      <c r="G1288">
        <v>5</v>
      </c>
      <c r="H1288">
        <v>5.0999999999999997E-2</v>
      </c>
      <c r="I1288" s="3">
        <v>1518</v>
      </c>
      <c r="J1288" s="1">
        <v>45615</v>
      </c>
      <c r="K1288" t="s">
        <v>31</v>
      </c>
      <c r="L1288" t="s">
        <v>7</v>
      </c>
      <c r="M1288" t="s">
        <v>32</v>
      </c>
      <c r="N1288" s="1">
        <f t="shared" si="120"/>
        <v>45615</v>
      </c>
      <c r="O1288" s="4">
        <f t="shared" si="121"/>
        <v>1.7866909753874203E-2</v>
      </c>
      <c r="P1288">
        <f t="shared" si="122"/>
        <v>1.8601020408163265</v>
      </c>
      <c r="Q1288" s="2">
        <f t="shared" si="123"/>
        <v>11.393125</v>
      </c>
      <c r="R1288" s="2">
        <f t="shared" si="124"/>
        <v>36.457999999999998</v>
      </c>
      <c r="S1288" s="2">
        <f t="shared" si="125"/>
        <v>8.3273904218552861</v>
      </c>
    </row>
    <row r="1289" spans="1:19" hidden="1">
      <c r="A1289" t="s">
        <v>1342</v>
      </c>
      <c r="B1289" t="s">
        <v>30</v>
      </c>
      <c r="C1289">
        <v>169</v>
      </c>
      <c r="D1289">
        <v>3778</v>
      </c>
      <c r="E1289" s="2">
        <v>215.57</v>
      </c>
      <c r="F1289">
        <v>11</v>
      </c>
      <c r="G1289">
        <v>3</v>
      </c>
      <c r="H1289">
        <v>1.7999999999999999E-2</v>
      </c>
      <c r="I1289" s="3">
        <v>1721</v>
      </c>
      <c r="J1289" s="1" t="s">
        <v>50</v>
      </c>
      <c r="K1289" t="s">
        <v>31</v>
      </c>
      <c r="L1289" t="s">
        <v>7</v>
      </c>
      <c r="M1289" t="s">
        <v>39</v>
      </c>
      <c r="N1289" s="1">
        <f t="shared" si="120"/>
        <v>45610</v>
      </c>
      <c r="O1289" s="4">
        <f t="shared" si="121"/>
        <v>4.4732662784542084E-2</v>
      </c>
      <c r="P1289">
        <f t="shared" si="122"/>
        <v>1.2755621301775149</v>
      </c>
      <c r="Q1289" s="2">
        <f t="shared" si="123"/>
        <v>19.597272727272728</v>
      </c>
      <c r="R1289" s="2">
        <f t="shared" si="124"/>
        <v>71.856666666666669</v>
      </c>
      <c r="S1289" s="2">
        <f t="shared" si="125"/>
        <v>7.9834856427146637</v>
      </c>
    </row>
    <row r="1290" spans="1:19" hidden="1">
      <c r="A1290" t="s">
        <v>1343</v>
      </c>
      <c r="B1290" t="s">
        <v>30</v>
      </c>
      <c r="C1290">
        <v>99</v>
      </c>
      <c r="D1290">
        <v>3051</v>
      </c>
      <c r="E1290" s="2">
        <v>215.57</v>
      </c>
      <c r="F1290">
        <v>18</v>
      </c>
      <c r="G1290">
        <v>6</v>
      </c>
      <c r="H1290">
        <v>5.2999999999999999E-2</v>
      </c>
      <c r="I1290" s="3">
        <v>1762</v>
      </c>
      <c r="J1290" s="1">
        <v>45625</v>
      </c>
      <c r="K1290" t="s">
        <v>31</v>
      </c>
      <c r="L1290" t="s">
        <v>8</v>
      </c>
      <c r="M1290" t="s">
        <v>41</v>
      </c>
      <c r="N1290" s="1">
        <f t="shared" si="120"/>
        <v>45625</v>
      </c>
      <c r="O1290" s="4">
        <f t="shared" si="121"/>
        <v>3.2448377581120944E-2</v>
      </c>
      <c r="P1290">
        <f t="shared" si="122"/>
        <v>2.1774747474747476</v>
      </c>
      <c r="Q1290" s="2">
        <f t="shared" si="123"/>
        <v>11.976111111111111</v>
      </c>
      <c r="R1290" s="2">
        <f t="shared" si="124"/>
        <v>35.928333333333335</v>
      </c>
      <c r="S1290" s="2">
        <f t="shared" si="125"/>
        <v>8.1736790833603941</v>
      </c>
    </row>
    <row r="1291" spans="1:19" hidden="1">
      <c r="A1291" t="s">
        <v>1344</v>
      </c>
      <c r="B1291" t="s">
        <v>30</v>
      </c>
      <c r="C1291">
        <v>170</v>
      </c>
      <c r="D1291">
        <v>5286</v>
      </c>
      <c r="E1291" s="2">
        <v>190.65</v>
      </c>
      <c r="F1291">
        <v>22</v>
      </c>
      <c r="G1291">
        <v>7</v>
      </c>
      <c r="H1291">
        <v>4.1000000000000002E-2</v>
      </c>
      <c r="I1291" s="3">
        <v>1110</v>
      </c>
      <c r="J1291" s="1">
        <v>45605</v>
      </c>
      <c r="K1291" t="s">
        <v>31</v>
      </c>
      <c r="L1291" t="s">
        <v>7</v>
      </c>
      <c r="M1291" t="s">
        <v>37</v>
      </c>
      <c r="N1291" s="1">
        <f t="shared" si="120"/>
        <v>45605</v>
      </c>
      <c r="O1291" s="4">
        <f t="shared" si="121"/>
        <v>3.2160423760877792E-2</v>
      </c>
      <c r="P1291">
        <f t="shared" si="122"/>
        <v>1.1214705882352942</v>
      </c>
      <c r="Q1291" s="2">
        <f t="shared" si="123"/>
        <v>8.665909090909091</v>
      </c>
      <c r="R1291" s="2">
        <f t="shared" si="124"/>
        <v>27.235714285714288</v>
      </c>
      <c r="S1291" s="2">
        <f t="shared" si="125"/>
        <v>5.8221872541306059</v>
      </c>
    </row>
    <row r="1292" spans="1:19">
      <c r="A1292" t="s">
        <v>1345</v>
      </c>
      <c r="B1292" t="s">
        <v>30</v>
      </c>
      <c r="C1292">
        <v>139</v>
      </c>
      <c r="D1292">
        <v>3533</v>
      </c>
      <c r="E1292" s="2">
        <v>248.96</v>
      </c>
      <c r="F1292">
        <v>22</v>
      </c>
      <c r="G1292">
        <v>4</v>
      </c>
      <c r="H1292">
        <v>4.5999999999999999E-2</v>
      </c>
      <c r="I1292" s="3">
        <v>1606</v>
      </c>
      <c r="J1292" s="1">
        <v>45423</v>
      </c>
      <c r="K1292" t="s">
        <v>31</v>
      </c>
      <c r="L1292" t="s">
        <v>8</v>
      </c>
      <c r="M1292" t="s">
        <v>39</v>
      </c>
      <c r="N1292" s="1">
        <f t="shared" si="120"/>
        <v>45423</v>
      </c>
      <c r="O1292" s="4">
        <f t="shared" si="121"/>
        <v>3.9343334276818569E-2</v>
      </c>
      <c r="P1292">
        <f t="shared" si="122"/>
        <v>1.7910791366906476</v>
      </c>
      <c r="Q1292" s="2">
        <f t="shared" si="123"/>
        <v>11.316363636363636</v>
      </c>
      <c r="R1292" s="2">
        <f t="shared" si="124"/>
        <v>62.24</v>
      </c>
      <c r="S1292" s="2">
        <f t="shared" si="125"/>
        <v>6.4508354755784056</v>
      </c>
    </row>
    <row r="1293" spans="1:19" hidden="1">
      <c r="A1293" t="s">
        <v>1346</v>
      </c>
      <c r="B1293" t="s">
        <v>30</v>
      </c>
      <c r="C1293">
        <v>156</v>
      </c>
      <c r="D1293">
        <v>5125</v>
      </c>
      <c r="E1293" s="2">
        <v>182.15</v>
      </c>
      <c r="F1293">
        <v>26</v>
      </c>
      <c r="G1293">
        <v>10</v>
      </c>
      <c r="H1293">
        <v>6.4000000000000001E-2</v>
      </c>
      <c r="I1293" s="3">
        <v>1658</v>
      </c>
      <c r="J1293" s="1" t="s">
        <v>43</v>
      </c>
      <c r="K1293" t="s">
        <v>31</v>
      </c>
      <c r="L1293" t="s">
        <v>8</v>
      </c>
      <c r="M1293" t="s">
        <v>35</v>
      </c>
      <c r="N1293" s="1">
        <f t="shared" si="120"/>
        <v>45612</v>
      </c>
      <c r="O1293" s="4">
        <f t="shared" si="121"/>
        <v>3.0439024390243902E-2</v>
      </c>
      <c r="P1293">
        <f t="shared" si="122"/>
        <v>1.1676282051282052</v>
      </c>
      <c r="Q1293" s="2">
        <f t="shared" si="123"/>
        <v>7.0057692307692312</v>
      </c>
      <c r="R1293" s="2">
        <f t="shared" si="124"/>
        <v>18.215</v>
      </c>
      <c r="S1293" s="2">
        <f t="shared" si="125"/>
        <v>9.1023881416415033</v>
      </c>
    </row>
    <row r="1294" spans="1:19" hidden="1">
      <c r="A1294" t="s">
        <v>1347</v>
      </c>
      <c r="B1294" t="s">
        <v>30</v>
      </c>
      <c r="C1294">
        <v>91</v>
      </c>
      <c r="D1294">
        <v>4500</v>
      </c>
      <c r="E1294" s="2">
        <v>241.81</v>
      </c>
      <c r="F1294">
        <v>20</v>
      </c>
      <c r="G1294">
        <v>3</v>
      </c>
      <c r="H1294">
        <v>3.3000000000000002E-2</v>
      </c>
      <c r="I1294" s="3">
        <v>1902</v>
      </c>
      <c r="J1294" s="1">
        <v>45618</v>
      </c>
      <c r="K1294" t="s">
        <v>31</v>
      </c>
      <c r="L1294" t="s">
        <v>8</v>
      </c>
      <c r="M1294" t="s">
        <v>37</v>
      </c>
      <c r="N1294" s="1">
        <f t="shared" si="120"/>
        <v>45618</v>
      </c>
      <c r="O1294" s="4">
        <f t="shared" si="121"/>
        <v>2.0222222222222221E-2</v>
      </c>
      <c r="P1294">
        <f t="shared" si="122"/>
        <v>2.6572527472527474</v>
      </c>
      <c r="Q1294" s="2">
        <f t="shared" si="123"/>
        <v>12.0905</v>
      </c>
      <c r="R1294" s="2">
        <f t="shared" si="124"/>
        <v>80.603333333333339</v>
      </c>
      <c r="S1294" s="2">
        <f t="shared" si="125"/>
        <v>7.8656796658533557</v>
      </c>
    </row>
    <row r="1295" spans="1:19" hidden="1">
      <c r="A1295" t="s">
        <v>1348</v>
      </c>
      <c r="B1295" t="s">
        <v>30</v>
      </c>
      <c r="C1295">
        <v>140</v>
      </c>
      <c r="D1295">
        <v>4633</v>
      </c>
      <c r="E1295" s="2">
        <v>228.65</v>
      </c>
      <c r="F1295">
        <v>15</v>
      </c>
      <c r="G1295">
        <v>4</v>
      </c>
      <c r="H1295">
        <v>4.9000000000000002E-2</v>
      </c>
      <c r="I1295" s="3">
        <v>1738</v>
      </c>
      <c r="J1295" s="1">
        <v>45616</v>
      </c>
      <c r="K1295" t="s">
        <v>31</v>
      </c>
      <c r="L1295" t="s">
        <v>8</v>
      </c>
      <c r="M1295" t="s">
        <v>37</v>
      </c>
      <c r="N1295" s="1">
        <f t="shared" si="120"/>
        <v>45616</v>
      </c>
      <c r="O1295" s="4">
        <f t="shared" si="121"/>
        <v>3.0218001295057199E-2</v>
      </c>
      <c r="P1295">
        <f t="shared" si="122"/>
        <v>1.6332142857142857</v>
      </c>
      <c r="Q1295" s="2">
        <f t="shared" si="123"/>
        <v>15.243333333333334</v>
      </c>
      <c r="R1295" s="2">
        <f t="shared" si="124"/>
        <v>57.162500000000001</v>
      </c>
      <c r="S1295" s="2">
        <f t="shared" si="125"/>
        <v>7.6011371091187403</v>
      </c>
    </row>
    <row r="1296" spans="1:19" hidden="1">
      <c r="A1296" t="s">
        <v>1349</v>
      </c>
      <c r="B1296" t="s">
        <v>30</v>
      </c>
      <c r="C1296">
        <v>142</v>
      </c>
      <c r="D1296">
        <v>3155</v>
      </c>
      <c r="E1296" s="2">
        <v>229.01</v>
      </c>
      <c r="F1296">
        <v>20</v>
      </c>
      <c r="G1296">
        <v>10</v>
      </c>
      <c r="H1296">
        <v>5.2999999999999999E-2</v>
      </c>
      <c r="I1296" s="3">
        <v>1955</v>
      </c>
      <c r="J1296" s="1">
        <v>45302</v>
      </c>
      <c r="K1296" t="s">
        <v>31</v>
      </c>
      <c r="L1296" t="s">
        <v>8</v>
      </c>
      <c r="M1296" t="s">
        <v>32</v>
      </c>
      <c r="N1296" s="1">
        <f t="shared" si="120"/>
        <v>45302</v>
      </c>
      <c r="O1296" s="4">
        <f t="shared" si="121"/>
        <v>4.5007923930269415E-2</v>
      </c>
      <c r="P1296">
        <f t="shared" si="122"/>
        <v>1.6127464788732393</v>
      </c>
      <c r="Q1296" s="2">
        <f t="shared" si="123"/>
        <v>11.4505</v>
      </c>
      <c r="R1296" s="2">
        <f t="shared" si="124"/>
        <v>22.901</v>
      </c>
      <c r="S1296" s="2">
        <f t="shared" si="125"/>
        <v>8.5367451203004237</v>
      </c>
    </row>
    <row r="1297" spans="1:19" hidden="1">
      <c r="A1297" t="s">
        <v>1350</v>
      </c>
      <c r="B1297" t="s">
        <v>30</v>
      </c>
      <c r="C1297">
        <v>198</v>
      </c>
      <c r="D1297">
        <v>3444</v>
      </c>
      <c r="E1297" s="2">
        <v>195.91</v>
      </c>
      <c r="F1297">
        <v>27</v>
      </c>
      <c r="G1297">
        <v>4</v>
      </c>
      <c r="H1297">
        <v>5.6000000000000001E-2</v>
      </c>
      <c r="I1297" s="3">
        <v>1317</v>
      </c>
      <c r="J1297" s="1">
        <v>45576</v>
      </c>
      <c r="K1297" t="s">
        <v>31</v>
      </c>
      <c r="L1297" t="s">
        <v>7</v>
      </c>
      <c r="M1297" t="s">
        <v>37</v>
      </c>
      <c r="N1297" s="1">
        <f t="shared" si="120"/>
        <v>45576</v>
      </c>
      <c r="O1297" s="4">
        <f t="shared" si="121"/>
        <v>5.7491289198606271E-2</v>
      </c>
      <c r="P1297">
        <f t="shared" si="122"/>
        <v>0.98944444444444446</v>
      </c>
      <c r="Q1297" s="2">
        <f t="shared" si="123"/>
        <v>7.2559259259259257</v>
      </c>
      <c r="R1297" s="2">
        <f t="shared" si="124"/>
        <v>48.977499999999999</v>
      </c>
      <c r="S1297" s="2">
        <f t="shared" si="125"/>
        <v>6.7224746056862843</v>
      </c>
    </row>
    <row r="1298" spans="1:19" hidden="1">
      <c r="A1298" t="s">
        <v>1351</v>
      </c>
      <c r="B1298" t="s">
        <v>30</v>
      </c>
      <c r="C1298">
        <v>88</v>
      </c>
      <c r="D1298">
        <v>4253</v>
      </c>
      <c r="E1298" s="2">
        <v>210.5</v>
      </c>
      <c r="F1298">
        <v>23</v>
      </c>
      <c r="G1298">
        <v>8</v>
      </c>
      <c r="H1298">
        <v>5.0999999999999997E-2</v>
      </c>
      <c r="I1298" s="3">
        <v>1918</v>
      </c>
      <c r="J1298" s="1">
        <v>45607</v>
      </c>
      <c r="K1298" t="s">
        <v>31</v>
      </c>
      <c r="L1298" t="s">
        <v>9</v>
      </c>
      <c r="M1298" t="s">
        <v>37</v>
      </c>
      <c r="N1298" s="1">
        <f t="shared" si="120"/>
        <v>45607</v>
      </c>
      <c r="O1298" s="4">
        <f t="shared" si="121"/>
        <v>2.0691276745826475E-2</v>
      </c>
      <c r="P1298">
        <f t="shared" si="122"/>
        <v>2.3920454545454546</v>
      </c>
      <c r="Q1298" s="2">
        <f t="shared" si="123"/>
        <v>9.1521739130434785</v>
      </c>
      <c r="R1298" s="2">
        <f t="shared" si="124"/>
        <v>26.3125</v>
      </c>
      <c r="S1298" s="2">
        <f t="shared" si="125"/>
        <v>9.1116389548693579</v>
      </c>
    </row>
    <row r="1299" spans="1:19">
      <c r="A1299" t="s">
        <v>1352</v>
      </c>
      <c r="B1299" t="s">
        <v>30</v>
      </c>
      <c r="C1299">
        <v>130</v>
      </c>
      <c r="D1299">
        <v>4925</v>
      </c>
      <c r="E1299" s="2">
        <v>201.1</v>
      </c>
      <c r="F1299">
        <v>26</v>
      </c>
      <c r="G1299">
        <v>5</v>
      </c>
      <c r="H1299">
        <v>4.5999999999999999E-2</v>
      </c>
      <c r="I1299" s="3">
        <v>1301</v>
      </c>
      <c r="J1299" s="1" t="s">
        <v>89</v>
      </c>
      <c r="K1299" t="s">
        <v>31</v>
      </c>
      <c r="L1299" t="s">
        <v>9</v>
      </c>
      <c r="M1299" t="s">
        <v>46</v>
      </c>
      <c r="N1299" s="1">
        <f t="shared" si="120"/>
        <v>45611</v>
      </c>
      <c r="O1299" s="4">
        <f t="shared" si="121"/>
        <v>2.6395939086294416E-2</v>
      </c>
      <c r="P1299">
        <f t="shared" si="122"/>
        <v>1.5469230769230768</v>
      </c>
      <c r="Q1299" s="2">
        <f t="shared" si="123"/>
        <v>7.7346153846153847</v>
      </c>
      <c r="R1299" s="2">
        <f t="shared" si="124"/>
        <v>40.22</v>
      </c>
      <c r="S1299" s="2">
        <f t="shared" si="125"/>
        <v>6.4694181999005469</v>
      </c>
    </row>
    <row r="1300" spans="1:19" hidden="1">
      <c r="A1300" t="s">
        <v>1353</v>
      </c>
      <c r="B1300" t="s">
        <v>30</v>
      </c>
      <c r="C1300">
        <v>186</v>
      </c>
      <c r="D1300">
        <v>3576</v>
      </c>
      <c r="E1300" s="2">
        <v>213.96</v>
      </c>
      <c r="F1300">
        <v>26</v>
      </c>
      <c r="G1300">
        <v>4</v>
      </c>
      <c r="H1300">
        <v>2.1999999999999999E-2</v>
      </c>
      <c r="I1300" s="3">
        <v>1689</v>
      </c>
      <c r="J1300" s="1">
        <v>45333</v>
      </c>
      <c r="K1300" t="s">
        <v>31</v>
      </c>
      <c r="L1300" t="s">
        <v>9</v>
      </c>
      <c r="M1300" t="s">
        <v>32</v>
      </c>
      <c r="N1300" s="1">
        <f t="shared" si="120"/>
        <v>45333</v>
      </c>
      <c r="O1300" s="4">
        <f t="shared" si="121"/>
        <v>5.2013422818791948E-2</v>
      </c>
      <c r="P1300">
        <f t="shared" si="122"/>
        <v>1.1503225806451614</v>
      </c>
      <c r="Q1300" s="2">
        <f t="shared" si="123"/>
        <v>8.2292307692307691</v>
      </c>
      <c r="R1300" s="2">
        <f t="shared" si="124"/>
        <v>53.49</v>
      </c>
      <c r="S1300" s="2">
        <f t="shared" si="125"/>
        <v>7.8939988782950081</v>
      </c>
    </row>
    <row r="1301" spans="1:19" hidden="1">
      <c r="A1301" t="s">
        <v>1354</v>
      </c>
      <c r="B1301" t="s">
        <v>30</v>
      </c>
      <c r="C1301">
        <v>146</v>
      </c>
      <c r="D1301">
        <v>5831</v>
      </c>
      <c r="E1301" s="2">
        <v>203.07</v>
      </c>
      <c r="F1301">
        <v>19</v>
      </c>
      <c r="G1301">
        <v>5</v>
      </c>
      <c r="H1301">
        <v>5.5E-2</v>
      </c>
      <c r="I1301" s="3">
        <v>1216</v>
      </c>
      <c r="J1301" s="1" t="s">
        <v>357</v>
      </c>
      <c r="K1301" t="s">
        <v>31</v>
      </c>
      <c r="L1301" t="s">
        <v>8</v>
      </c>
      <c r="M1301" t="s">
        <v>46</v>
      </c>
      <c r="N1301" s="1">
        <f t="shared" si="120"/>
        <v>45624</v>
      </c>
      <c r="O1301" s="4">
        <f t="shared" si="121"/>
        <v>2.5038586863316756E-2</v>
      </c>
      <c r="P1301">
        <f t="shared" si="122"/>
        <v>1.390890410958904</v>
      </c>
      <c r="Q1301" s="2">
        <f t="shared" si="123"/>
        <v>10.687894736842106</v>
      </c>
      <c r="R1301" s="2">
        <f t="shared" si="124"/>
        <v>40.613999999999997</v>
      </c>
      <c r="S1301" s="2">
        <f t="shared" si="125"/>
        <v>5.9880829270694838</v>
      </c>
    </row>
    <row r="1302" spans="1:19" hidden="1">
      <c r="A1302" t="s">
        <v>1355</v>
      </c>
      <c r="B1302" t="s">
        <v>30</v>
      </c>
      <c r="C1302">
        <v>199</v>
      </c>
      <c r="D1302">
        <v>5147</v>
      </c>
      <c r="E1302" s="2">
        <v>203.08</v>
      </c>
      <c r="F1302">
        <v>27</v>
      </c>
      <c r="G1302">
        <v>10</v>
      </c>
      <c r="H1302">
        <v>0.05</v>
      </c>
      <c r="I1302" s="3">
        <v>1126</v>
      </c>
      <c r="J1302" s="1" t="s">
        <v>64</v>
      </c>
      <c r="K1302" t="s">
        <v>31</v>
      </c>
      <c r="L1302" t="s">
        <v>9</v>
      </c>
      <c r="M1302" t="s">
        <v>35</v>
      </c>
      <c r="N1302" s="1">
        <f t="shared" si="120"/>
        <v>45626</v>
      </c>
      <c r="O1302" s="4">
        <f t="shared" si="121"/>
        <v>3.8663299009131534E-2</v>
      </c>
      <c r="P1302">
        <f t="shared" si="122"/>
        <v>1.0205025125628142</v>
      </c>
      <c r="Q1302" s="2">
        <f t="shared" si="123"/>
        <v>7.5214814814814819</v>
      </c>
      <c r="R1302" s="2">
        <f t="shared" si="124"/>
        <v>20.308</v>
      </c>
      <c r="S1302" s="2">
        <f t="shared" si="125"/>
        <v>5.5446129604096903</v>
      </c>
    </row>
    <row r="1303" spans="1:19" hidden="1">
      <c r="A1303" t="s">
        <v>1356</v>
      </c>
      <c r="B1303" t="s">
        <v>30</v>
      </c>
      <c r="C1303">
        <v>94</v>
      </c>
      <c r="D1303">
        <v>4242</v>
      </c>
      <c r="E1303" s="2">
        <v>208.78</v>
      </c>
      <c r="F1303">
        <v>14</v>
      </c>
      <c r="G1303">
        <v>5</v>
      </c>
      <c r="H1303">
        <v>5.2999999999999999E-2</v>
      </c>
      <c r="I1303" s="3">
        <v>1122</v>
      </c>
      <c r="J1303" s="1">
        <v>45613</v>
      </c>
      <c r="K1303" t="s">
        <v>31</v>
      </c>
      <c r="L1303" t="s">
        <v>9</v>
      </c>
      <c r="M1303" t="s">
        <v>32</v>
      </c>
      <c r="N1303" s="1">
        <f t="shared" si="120"/>
        <v>45613</v>
      </c>
      <c r="O1303" s="4">
        <f t="shared" si="121"/>
        <v>2.2159358793022159E-2</v>
      </c>
      <c r="P1303">
        <f t="shared" si="122"/>
        <v>2.221063829787234</v>
      </c>
      <c r="Q1303" s="2">
        <f t="shared" si="123"/>
        <v>14.912857142857144</v>
      </c>
      <c r="R1303" s="2">
        <f t="shared" si="124"/>
        <v>41.756</v>
      </c>
      <c r="S1303" s="2">
        <f t="shared" si="125"/>
        <v>5.3740779768177029</v>
      </c>
    </row>
    <row r="1304" spans="1:19">
      <c r="A1304" t="s">
        <v>1357</v>
      </c>
      <c r="B1304" t="s">
        <v>30</v>
      </c>
      <c r="C1304">
        <v>119</v>
      </c>
      <c r="D1304">
        <v>5530</v>
      </c>
      <c r="E1304" s="2">
        <v>205.75</v>
      </c>
      <c r="F1304">
        <v>25</v>
      </c>
      <c r="G1304">
        <v>9</v>
      </c>
      <c r="H1304">
        <v>4.5999999999999999E-2</v>
      </c>
      <c r="I1304" s="3">
        <v>1725</v>
      </c>
      <c r="J1304" s="1">
        <v>45610</v>
      </c>
      <c r="K1304" t="s">
        <v>31</v>
      </c>
      <c r="L1304" t="s">
        <v>8</v>
      </c>
      <c r="M1304" t="s">
        <v>46</v>
      </c>
      <c r="N1304" s="1">
        <f t="shared" si="120"/>
        <v>45610</v>
      </c>
      <c r="O1304" s="4">
        <f t="shared" si="121"/>
        <v>2.1518987341772152E-2</v>
      </c>
      <c r="P1304">
        <f t="shared" si="122"/>
        <v>1.7289915966386555</v>
      </c>
      <c r="Q1304" s="2">
        <f t="shared" si="123"/>
        <v>8.23</v>
      </c>
      <c r="R1304" s="2">
        <f t="shared" si="124"/>
        <v>22.861111111111111</v>
      </c>
      <c r="S1304" s="2">
        <f t="shared" si="125"/>
        <v>8.3839611178614817</v>
      </c>
    </row>
    <row r="1305" spans="1:19">
      <c r="A1305" t="s">
        <v>1358</v>
      </c>
      <c r="B1305" t="s">
        <v>30</v>
      </c>
      <c r="C1305">
        <v>168</v>
      </c>
      <c r="D1305">
        <v>4614</v>
      </c>
      <c r="E1305" s="2">
        <v>241.24</v>
      </c>
      <c r="F1305">
        <v>28</v>
      </c>
      <c r="G1305">
        <v>9</v>
      </c>
      <c r="H1305">
        <v>4.5999999999999999E-2</v>
      </c>
      <c r="I1305" s="3">
        <v>1307</v>
      </c>
      <c r="J1305" s="1">
        <v>45597</v>
      </c>
      <c r="K1305" t="s">
        <v>31</v>
      </c>
      <c r="L1305" t="s">
        <v>8</v>
      </c>
      <c r="M1305" t="s">
        <v>41</v>
      </c>
      <c r="N1305" s="1">
        <f t="shared" si="120"/>
        <v>45597</v>
      </c>
      <c r="O1305" s="4">
        <f t="shared" si="121"/>
        <v>3.6410923276983094E-2</v>
      </c>
      <c r="P1305">
        <f t="shared" si="122"/>
        <v>1.4359523809523811</v>
      </c>
      <c r="Q1305" s="2">
        <f t="shared" si="123"/>
        <v>8.6157142857142865</v>
      </c>
      <c r="R1305" s="2">
        <f t="shared" si="124"/>
        <v>26.804444444444446</v>
      </c>
      <c r="S1305" s="2">
        <f t="shared" si="125"/>
        <v>5.4178411540374727</v>
      </c>
    </row>
    <row r="1306" spans="1:19" hidden="1">
      <c r="A1306" t="s">
        <v>1359</v>
      </c>
      <c r="B1306" t="s">
        <v>30</v>
      </c>
      <c r="C1306">
        <v>117</v>
      </c>
      <c r="D1306">
        <v>5016</v>
      </c>
      <c r="E1306" s="2">
        <v>249.38</v>
      </c>
      <c r="F1306">
        <v>10</v>
      </c>
      <c r="G1306">
        <v>9</v>
      </c>
      <c r="H1306">
        <v>7.6999999999999999E-2</v>
      </c>
      <c r="I1306" s="3">
        <v>1832</v>
      </c>
      <c r="J1306" s="1">
        <v>45333</v>
      </c>
      <c r="K1306" t="s">
        <v>31</v>
      </c>
      <c r="L1306" t="s">
        <v>9</v>
      </c>
      <c r="M1306" t="s">
        <v>32</v>
      </c>
      <c r="N1306" s="1">
        <f t="shared" si="120"/>
        <v>45333</v>
      </c>
      <c r="O1306" s="4">
        <f t="shared" si="121"/>
        <v>2.3325358851674641E-2</v>
      </c>
      <c r="P1306">
        <f t="shared" si="122"/>
        <v>2.1314529914529916</v>
      </c>
      <c r="Q1306" s="2">
        <f t="shared" si="123"/>
        <v>24.937999999999999</v>
      </c>
      <c r="R1306" s="2">
        <f t="shared" si="124"/>
        <v>27.70888888888889</v>
      </c>
      <c r="S1306" s="2">
        <f t="shared" si="125"/>
        <v>7.3462186221830139</v>
      </c>
    </row>
    <row r="1307" spans="1:19" hidden="1">
      <c r="A1307" t="s">
        <v>1360</v>
      </c>
      <c r="B1307" t="s">
        <v>30</v>
      </c>
      <c r="C1307">
        <v>156</v>
      </c>
      <c r="D1307">
        <v>5072</v>
      </c>
      <c r="E1307" s="2">
        <v>249.37</v>
      </c>
      <c r="F1307">
        <v>18</v>
      </c>
      <c r="G1307">
        <v>3</v>
      </c>
      <c r="H1307">
        <v>5.8000000000000003E-2</v>
      </c>
      <c r="I1307" s="3">
        <v>1701</v>
      </c>
      <c r="J1307" s="1">
        <v>45608</v>
      </c>
      <c r="K1307" t="s">
        <v>31</v>
      </c>
      <c r="L1307" t="s">
        <v>8</v>
      </c>
      <c r="M1307" t="s">
        <v>32</v>
      </c>
      <c r="N1307" s="1">
        <f t="shared" si="120"/>
        <v>45608</v>
      </c>
      <c r="O1307" s="4">
        <f t="shared" si="121"/>
        <v>3.0757097791798107E-2</v>
      </c>
      <c r="P1307">
        <f t="shared" si="122"/>
        <v>1.598525641025641</v>
      </c>
      <c r="Q1307" s="2">
        <f t="shared" si="123"/>
        <v>13.853888888888889</v>
      </c>
      <c r="R1307" s="2">
        <f t="shared" si="124"/>
        <v>83.123333333333335</v>
      </c>
      <c r="S1307" s="2">
        <f t="shared" si="125"/>
        <v>6.8211893972811488</v>
      </c>
    </row>
    <row r="1308" spans="1:19" hidden="1">
      <c r="A1308" t="s">
        <v>1361</v>
      </c>
      <c r="B1308" t="s">
        <v>30</v>
      </c>
      <c r="C1308">
        <v>151</v>
      </c>
      <c r="D1308">
        <v>4805</v>
      </c>
      <c r="E1308" s="2">
        <v>241.95</v>
      </c>
      <c r="F1308">
        <v>22</v>
      </c>
      <c r="G1308">
        <v>3</v>
      </c>
      <c r="H1308">
        <v>5.6000000000000001E-2</v>
      </c>
      <c r="I1308" s="3">
        <v>1571</v>
      </c>
      <c r="J1308" s="1">
        <v>45599</v>
      </c>
      <c r="K1308" t="s">
        <v>31</v>
      </c>
      <c r="L1308" t="s">
        <v>9</v>
      </c>
      <c r="M1308" t="s">
        <v>41</v>
      </c>
      <c r="N1308" s="1">
        <f t="shared" si="120"/>
        <v>45599</v>
      </c>
      <c r="O1308" s="4">
        <f t="shared" si="121"/>
        <v>3.1425598335067639E-2</v>
      </c>
      <c r="P1308">
        <f t="shared" si="122"/>
        <v>1.6023178807947018</v>
      </c>
      <c r="Q1308" s="2">
        <f t="shared" si="123"/>
        <v>10.997727272727273</v>
      </c>
      <c r="R1308" s="2">
        <f t="shared" si="124"/>
        <v>80.649999999999991</v>
      </c>
      <c r="S1308" s="2">
        <f t="shared" si="125"/>
        <v>6.4930770820417445</v>
      </c>
    </row>
    <row r="1309" spans="1:19">
      <c r="A1309" t="s">
        <v>1362</v>
      </c>
      <c r="B1309" t="s">
        <v>30</v>
      </c>
      <c r="C1309">
        <v>133</v>
      </c>
      <c r="D1309">
        <v>4474</v>
      </c>
      <c r="E1309" s="2">
        <v>198.99</v>
      </c>
      <c r="F1309">
        <v>10</v>
      </c>
      <c r="G1309">
        <v>7</v>
      </c>
      <c r="H1309">
        <v>4.5999999999999999E-2</v>
      </c>
      <c r="I1309" s="3">
        <v>1394</v>
      </c>
      <c r="J1309" s="1">
        <v>45599</v>
      </c>
      <c r="K1309" t="s">
        <v>31</v>
      </c>
      <c r="L1309" t="s">
        <v>8</v>
      </c>
      <c r="M1309" t="s">
        <v>41</v>
      </c>
      <c r="N1309" s="1">
        <f t="shared" si="120"/>
        <v>45599</v>
      </c>
      <c r="O1309" s="4">
        <f t="shared" si="121"/>
        <v>2.9727313366115334E-2</v>
      </c>
      <c r="P1309">
        <f t="shared" si="122"/>
        <v>1.4961654135338347</v>
      </c>
      <c r="Q1309" s="2">
        <f t="shared" si="123"/>
        <v>19.899000000000001</v>
      </c>
      <c r="R1309" s="2">
        <f t="shared" si="124"/>
        <v>28.427142857142858</v>
      </c>
      <c r="S1309" s="2">
        <f t="shared" si="125"/>
        <v>7.0053771546308861</v>
      </c>
    </row>
    <row r="1310" spans="1:19" hidden="1">
      <c r="A1310" t="s">
        <v>1363</v>
      </c>
      <c r="B1310" t="s">
        <v>30</v>
      </c>
      <c r="C1310">
        <v>105</v>
      </c>
      <c r="D1310">
        <v>5151</v>
      </c>
      <c r="E1310" s="2">
        <v>188.18</v>
      </c>
      <c r="F1310">
        <v>14</v>
      </c>
      <c r="G1310">
        <v>9</v>
      </c>
      <c r="H1310">
        <v>3.2000000000000001E-2</v>
      </c>
      <c r="I1310" s="3">
        <v>1595</v>
      </c>
      <c r="J1310" s="1">
        <v>45599</v>
      </c>
      <c r="K1310" t="s">
        <v>31</v>
      </c>
      <c r="L1310" t="s">
        <v>9</v>
      </c>
      <c r="M1310" t="s">
        <v>41</v>
      </c>
      <c r="N1310" s="1">
        <f t="shared" si="120"/>
        <v>45599</v>
      </c>
      <c r="O1310" s="4">
        <f t="shared" si="121"/>
        <v>2.03843913803145E-2</v>
      </c>
      <c r="P1310">
        <f t="shared" si="122"/>
        <v>1.7921904761904763</v>
      </c>
      <c r="Q1310" s="2">
        <f t="shared" si="123"/>
        <v>13.441428571428572</v>
      </c>
      <c r="R1310" s="2">
        <f t="shared" si="124"/>
        <v>20.908888888888889</v>
      </c>
      <c r="S1310" s="2">
        <f t="shared" si="125"/>
        <v>8.4759273036454452</v>
      </c>
    </row>
    <row r="1311" spans="1:19">
      <c r="A1311" t="s">
        <v>1364</v>
      </c>
      <c r="B1311" t="s">
        <v>30</v>
      </c>
      <c r="C1311">
        <v>98</v>
      </c>
      <c r="D1311">
        <v>4515</v>
      </c>
      <c r="E1311" s="2">
        <v>219.39</v>
      </c>
      <c r="F1311">
        <v>12</v>
      </c>
      <c r="G1311">
        <v>7</v>
      </c>
      <c r="H1311">
        <v>4.5999999999999999E-2</v>
      </c>
      <c r="I1311" s="3">
        <v>1805</v>
      </c>
      <c r="J1311" s="1">
        <v>45603</v>
      </c>
      <c r="K1311" t="s">
        <v>31</v>
      </c>
      <c r="L1311" t="s">
        <v>7</v>
      </c>
      <c r="M1311" t="s">
        <v>32</v>
      </c>
      <c r="N1311" s="1">
        <f t="shared" si="120"/>
        <v>45603</v>
      </c>
      <c r="O1311" s="4">
        <f t="shared" si="121"/>
        <v>2.1705426356589147E-2</v>
      </c>
      <c r="P1311">
        <f t="shared" si="122"/>
        <v>2.2386734693877548</v>
      </c>
      <c r="Q1311" s="2">
        <f t="shared" si="123"/>
        <v>18.282499999999999</v>
      </c>
      <c r="R1311" s="2">
        <f t="shared" si="124"/>
        <v>31.341428571428569</v>
      </c>
      <c r="S1311" s="2">
        <f t="shared" si="125"/>
        <v>8.2273576735493883</v>
      </c>
    </row>
    <row r="1312" spans="1:19" hidden="1">
      <c r="A1312" t="s">
        <v>1365</v>
      </c>
      <c r="B1312" t="s">
        <v>30</v>
      </c>
      <c r="C1312">
        <v>93</v>
      </c>
      <c r="D1312">
        <v>4269</v>
      </c>
      <c r="E1312" s="2">
        <v>247.76</v>
      </c>
      <c r="F1312">
        <v>21</v>
      </c>
      <c r="G1312">
        <v>8</v>
      </c>
      <c r="H1312">
        <v>8.5999999999999993E-2</v>
      </c>
      <c r="I1312" s="3">
        <v>1543</v>
      </c>
      <c r="J1312" s="1" t="s">
        <v>348</v>
      </c>
      <c r="K1312" t="s">
        <v>31</v>
      </c>
      <c r="L1312" t="s">
        <v>9</v>
      </c>
      <c r="M1312" t="s">
        <v>32</v>
      </c>
      <c r="N1312" s="1">
        <f t="shared" si="120"/>
        <v>45615</v>
      </c>
      <c r="O1312" s="4">
        <f t="shared" si="121"/>
        <v>2.1784961349262121E-2</v>
      </c>
      <c r="P1312">
        <f t="shared" si="122"/>
        <v>2.6640860215053763</v>
      </c>
      <c r="Q1312" s="2">
        <f t="shared" si="123"/>
        <v>11.798095238095238</v>
      </c>
      <c r="R1312" s="2">
        <f t="shared" si="124"/>
        <v>30.97</v>
      </c>
      <c r="S1312" s="2">
        <f t="shared" si="125"/>
        <v>6.2278010978366165</v>
      </c>
    </row>
    <row r="1313" spans="1:19">
      <c r="A1313" t="s">
        <v>1366</v>
      </c>
      <c r="B1313" t="s">
        <v>30</v>
      </c>
      <c r="C1313">
        <v>165</v>
      </c>
      <c r="D1313">
        <v>3759</v>
      </c>
      <c r="E1313" s="2">
        <v>231.62</v>
      </c>
      <c r="F1313">
        <v>23</v>
      </c>
      <c r="G1313">
        <v>7</v>
      </c>
      <c r="H1313">
        <v>4.5999999999999999E-2</v>
      </c>
      <c r="I1313" s="3">
        <v>1052</v>
      </c>
      <c r="J1313" s="1">
        <v>45624</v>
      </c>
      <c r="K1313" t="s">
        <v>31</v>
      </c>
      <c r="L1313" t="s">
        <v>8</v>
      </c>
      <c r="M1313" t="s">
        <v>46</v>
      </c>
      <c r="N1313" s="1">
        <f t="shared" si="120"/>
        <v>45624</v>
      </c>
      <c r="O1313" s="4">
        <f t="shared" si="121"/>
        <v>4.3894652833200321E-2</v>
      </c>
      <c r="P1313">
        <f t="shared" si="122"/>
        <v>1.4037575757575758</v>
      </c>
      <c r="Q1313" s="2">
        <f t="shared" si="123"/>
        <v>10.070434782608697</v>
      </c>
      <c r="R1313" s="2">
        <f t="shared" si="124"/>
        <v>33.088571428571427</v>
      </c>
      <c r="S1313" s="2">
        <f t="shared" si="125"/>
        <v>4.5419221138070975</v>
      </c>
    </row>
    <row r="1314" spans="1:19" hidden="1">
      <c r="A1314" t="s">
        <v>1367</v>
      </c>
      <c r="B1314" t="s">
        <v>30</v>
      </c>
      <c r="C1314">
        <v>156</v>
      </c>
      <c r="D1314">
        <v>4476</v>
      </c>
      <c r="E1314" s="2">
        <v>186.68</v>
      </c>
      <c r="F1314">
        <v>17</v>
      </c>
      <c r="G1314">
        <v>10</v>
      </c>
      <c r="H1314">
        <v>3.3000000000000002E-2</v>
      </c>
      <c r="I1314" s="3">
        <v>1372</v>
      </c>
      <c r="J1314" s="1">
        <v>45609</v>
      </c>
      <c r="K1314" t="s">
        <v>31</v>
      </c>
      <c r="L1314" t="s">
        <v>9</v>
      </c>
      <c r="M1314" t="s">
        <v>46</v>
      </c>
      <c r="N1314" s="1">
        <f t="shared" si="120"/>
        <v>45609</v>
      </c>
      <c r="O1314" s="4">
        <f t="shared" si="121"/>
        <v>3.4852546916890083E-2</v>
      </c>
      <c r="P1314">
        <f t="shared" si="122"/>
        <v>1.1966666666666668</v>
      </c>
      <c r="Q1314" s="2">
        <f t="shared" si="123"/>
        <v>10.981176470588236</v>
      </c>
      <c r="R1314" s="2">
        <f t="shared" si="124"/>
        <v>18.667999999999999</v>
      </c>
      <c r="S1314" s="2">
        <f t="shared" si="125"/>
        <v>7.3494750374973217</v>
      </c>
    </row>
    <row r="1315" spans="1:19" hidden="1">
      <c r="A1315" t="s">
        <v>1368</v>
      </c>
      <c r="B1315" t="s">
        <v>30</v>
      </c>
      <c r="C1315">
        <v>166</v>
      </c>
      <c r="D1315">
        <v>5749</v>
      </c>
      <c r="E1315" s="2">
        <v>236.52</v>
      </c>
      <c r="F1315">
        <v>11</v>
      </c>
      <c r="G1315">
        <v>5</v>
      </c>
      <c r="H1315">
        <v>3.5999999999999997E-2</v>
      </c>
      <c r="I1315" s="3">
        <v>1780</v>
      </c>
      <c r="J1315" s="1">
        <v>45611</v>
      </c>
      <c r="K1315" t="s">
        <v>31</v>
      </c>
      <c r="L1315" t="s">
        <v>7</v>
      </c>
      <c r="M1315" t="s">
        <v>46</v>
      </c>
      <c r="N1315" s="1">
        <f t="shared" si="120"/>
        <v>45611</v>
      </c>
      <c r="O1315" s="4">
        <f t="shared" si="121"/>
        <v>2.8874586884675597E-2</v>
      </c>
      <c r="P1315">
        <f t="shared" si="122"/>
        <v>1.4248192771084338</v>
      </c>
      <c r="Q1315" s="2">
        <f t="shared" si="123"/>
        <v>21.501818181818184</v>
      </c>
      <c r="R1315" s="2">
        <f t="shared" si="124"/>
        <v>47.304000000000002</v>
      </c>
      <c r="S1315" s="2">
        <f t="shared" si="125"/>
        <v>7.5257906308134617</v>
      </c>
    </row>
    <row r="1316" spans="1:19" hidden="1">
      <c r="A1316" t="s">
        <v>1369</v>
      </c>
      <c r="B1316" t="s">
        <v>30</v>
      </c>
      <c r="C1316">
        <v>134</v>
      </c>
      <c r="D1316">
        <v>5166</v>
      </c>
      <c r="E1316" s="2">
        <v>191.92</v>
      </c>
      <c r="F1316">
        <v>10</v>
      </c>
      <c r="G1316">
        <v>3</v>
      </c>
      <c r="H1316">
        <v>3.6999999999999998E-2</v>
      </c>
      <c r="I1316" s="3">
        <v>1526</v>
      </c>
      <c r="J1316" s="1">
        <v>45600</v>
      </c>
      <c r="K1316" t="s">
        <v>31</v>
      </c>
      <c r="L1316" t="s">
        <v>8</v>
      </c>
      <c r="M1316" t="s">
        <v>32</v>
      </c>
      <c r="N1316" s="1">
        <f t="shared" si="120"/>
        <v>45600</v>
      </c>
      <c r="O1316" s="4">
        <f t="shared" si="121"/>
        <v>2.5938830816879598E-2</v>
      </c>
      <c r="P1316">
        <f t="shared" si="122"/>
        <v>1.4322388059701492</v>
      </c>
      <c r="Q1316" s="2">
        <f t="shared" si="123"/>
        <v>19.192</v>
      </c>
      <c r="R1316" s="2">
        <f t="shared" si="124"/>
        <v>63.973333333333329</v>
      </c>
      <c r="S1316" s="2">
        <f t="shared" si="125"/>
        <v>7.9512296790329309</v>
      </c>
    </row>
    <row r="1317" spans="1:19">
      <c r="A1317" t="s">
        <v>1370</v>
      </c>
      <c r="B1317" t="s">
        <v>30</v>
      </c>
      <c r="C1317">
        <v>103</v>
      </c>
      <c r="D1317">
        <v>3687</v>
      </c>
      <c r="E1317" s="2">
        <v>194.73</v>
      </c>
      <c r="F1317">
        <v>27</v>
      </c>
      <c r="G1317">
        <v>4</v>
      </c>
      <c r="H1317">
        <v>4.5999999999999999E-2</v>
      </c>
      <c r="I1317" s="3">
        <v>1347</v>
      </c>
      <c r="J1317" s="1">
        <v>45611</v>
      </c>
      <c r="K1317" t="s">
        <v>31</v>
      </c>
      <c r="L1317" t="s">
        <v>9</v>
      </c>
      <c r="M1317" t="s">
        <v>32</v>
      </c>
      <c r="N1317" s="1">
        <f t="shared" si="120"/>
        <v>45611</v>
      </c>
      <c r="O1317" s="4">
        <f t="shared" si="121"/>
        <v>2.7935991320857067E-2</v>
      </c>
      <c r="P1317">
        <f t="shared" si="122"/>
        <v>1.8905825242718446</v>
      </c>
      <c r="Q1317" s="2">
        <f t="shared" si="123"/>
        <v>7.2122222222222216</v>
      </c>
      <c r="R1317" s="2">
        <f t="shared" si="124"/>
        <v>48.682499999999997</v>
      </c>
      <c r="S1317" s="2">
        <f t="shared" si="125"/>
        <v>6.9172700662455711</v>
      </c>
    </row>
    <row r="1318" spans="1:19" hidden="1">
      <c r="A1318" t="s">
        <v>1371</v>
      </c>
      <c r="B1318" t="s">
        <v>30</v>
      </c>
      <c r="C1318">
        <v>95</v>
      </c>
      <c r="D1318">
        <v>4939</v>
      </c>
      <c r="E1318" s="2">
        <v>219.43</v>
      </c>
      <c r="F1318">
        <v>26</v>
      </c>
      <c r="G1318">
        <v>3</v>
      </c>
      <c r="H1318">
        <v>3.2000000000000001E-2</v>
      </c>
      <c r="I1318" s="3">
        <v>1785</v>
      </c>
      <c r="J1318" s="1">
        <v>45484</v>
      </c>
      <c r="K1318" t="s">
        <v>31</v>
      </c>
      <c r="L1318" t="s">
        <v>8</v>
      </c>
      <c r="M1318" t="s">
        <v>39</v>
      </c>
      <c r="N1318" s="1">
        <f t="shared" si="120"/>
        <v>45484</v>
      </c>
      <c r="O1318" s="4">
        <f t="shared" si="121"/>
        <v>1.9234662887224134E-2</v>
      </c>
      <c r="P1318">
        <f t="shared" si="122"/>
        <v>2.3097894736842104</v>
      </c>
      <c r="Q1318" s="2">
        <f t="shared" si="123"/>
        <v>8.4396153846153847</v>
      </c>
      <c r="R1318" s="2">
        <f t="shared" si="124"/>
        <v>73.143333333333331</v>
      </c>
      <c r="S1318" s="2">
        <f t="shared" si="125"/>
        <v>8.1347126646310901</v>
      </c>
    </row>
    <row r="1319" spans="1:19" hidden="1">
      <c r="A1319" t="s">
        <v>1372</v>
      </c>
      <c r="B1319" t="s">
        <v>30</v>
      </c>
      <c r="C1319">
        <v>155</v>
      </c>
      <c r="D1319">
        <v>3180</v>
      </c>
      <c r="E1319" s="2">
        <v>229.63</v>
      </c>
      <c r="F1319">
        <v>15</v>
      </c>
      <c r="G1319">
        <v>8</v>
      </c>
      <c r="H1319">
        <v>5.1999999999999998E-2</v>
      </c>
      <c r="I1319" s="3">
        <v>1832</v>
      </c>
      <c r="J1319" s="1" t="s">
        <v>89</v>
      </c>
      <c r="K1319" t="s">
        <v>31</v>
      </c>
      <c r="L1319" t="s">
        <v>7</v>
      </c>
      <c r="M1319" t="s">
        <v>35</v>
      </c>
      <c r="N1319" s="1">
        <f t="shared" si="120"/>
        <v>45611</v>
      </c>
      <c r="O1319" s="4">
        <f t="shared" si="121"/>
        <v>4.8742138364779877E-2</v>
      </c>
      <c r="P1319">
        <f t="shared" si="122"/>
        <v>1.4814838709677418</v>
      </c>
      <c r="Q1319" s="2">
        <f t="shared" si="123"/>
        <v>15.308666666666666</v>
      </c>
      <c r="R1319" s="2">
        <f t="shared" si="124"/>
        <v>28.703749999999999</v>
      </c>
      <c r="S1319" s="2">
        <f t="shared" si="125"/>
        <v>7.9780516483037935</v>
      </c>
    </row>
    <row r="1320" spans="1:19" hidden="1">
      <c r="A1320" t="s">
        <v>1373</v>
      </c>
      <c r="B1320" t="s">
        <v>30</v>
      </c>
      <c r="C1320">
        <v>184</v>
      </c>
      <c r="D1320">
        <v>3981</v>
      </c>
      <c r="E1320" s="2">
        <v>193.25</v>
      </c>
      <c r="F1320">
        <v>16</v>
      </c>
      <c r="G1320">
        <v>3</v>
      </c>
      <c r="H1320">
        <v>3.5000000000000003E-2</v>
      </c>
      <c r="I1320" s="3">
        <v>1359</v>
      </c>
      <c r="J1320" s="1" t="s">
        <v>64</v>
      </c>
      <c r="K1320" t="s">
        <v>31</v>
      </c>
      <c r="L1320" t="s">
        <v>9</v>
      </c>
      <c r="M1320" t="s">
        <v>32</v>
      </c>
      <c r="N1320" s="1">
        <f t="shared" si="120"/>
        <v>45626</v>
      </c>
      <c r="O1320" s="4">
        <f t="shared" si="121"/>
        <v>4.6219542828435066E-2</v>
      </c>
      <c r="P1320">
        <f t="shared" si="122"/>
        <v>1.0502717391304348</v>
      </c>
      <c r="Q1320" s="2">
        <f t="shared" si="123"/>
        <v>12.078125</v>
      </c>
      <c r="R1320" s="2">
        <f t="shared" si="124"/>
        <v>64.416666666666671</v>
      </c>
      <c r="S1320" s="2">
        <f t="shared" si="125"/>
        <v>7.0323415265200522</v>
      </c>
    </row>
    <row r="1321" spans="1:19" hidden="1">
      <c r="A1321" t="s">
        <v>1374</v>
      </c>
      <c r="B1321" t="s">
        <v>30</v>
      </c>
      <c r="C1321">
        <v>186</v>
      </c>
      <c r="D1321">
        <v>3392</v>
      </c>
      <c r="E1321" s="2">
        <v>218.16</v>
      </c>
      <c r="F1321">
        <v>29</v>
      </c>
      <c r="G1321">
        <v>7</v>
      </c>
      <c r="H1321">
        <v>3.7999999999999999E-2</v>
      </c>
      <c r="I1321" s="3">
        <v>1012</v>
      </c>
      <c r="J1321" s="1">
        <v>45515</v>
      </c>
      <c r="K1321" t="s">
        <v>31</v>
      </c>
      <c r="L1321" t="s">
        <v>7</v>
      </c>
      <c r="M1321" t="s">
        <v>46</v>
      </c>
      <c r="N1321" s="1">
        <f t="shared" si="120"/>
        <v>45515</v>
      </c>
      <c r="O1321" s="4">
        <f t="shared" si="121"/>
        <v>5.483490566037736E-2</v>
      </c>
      <c r="P1321">
        <f t="shared" si="122"/>
        <v>1.1729032258064516</v>
      </c>
      <c r="Q1321" s="2">
        <f t="shared" si="123"/>
        <v>7.5227586206896548</v>
      </c>
      <c r="R1321" s="2">
        <f t="shared" si="124"/>
        <v>31.165714285714284</v>
      </c>
      <c r="S1321" s="2">
        <f t="shared" si="125"/>
        <v>4.6387972130546391</v>
      </c>
    </row>
    <row r="1322" spans="1:19" hidden="1">
      <c r="A1322" t="s">
        <v>1375</v>
      </c>
      <c r="B1322" t="s">
        <v>30</v>
      </c>
      <c r="C1322">
        <v>93</v>
      </c>
      <c r="D1322">
        <v>3160</v>
      </c>
      <c r="E1322" s="2">
        <v>220.75</v>
      </c>
      <c r="F1322">
        <v>30</v>
      </c>
      <c r="G1322">
        <v>8</v>
      </c>
      <c r="H1322">
        <v>8.5999999999999993E-2</v>
      </c>
      <c r="I1322" s="3">
        <v>1472</v>
      </c>
      <c r="J1322" s="1">
        <v>45604</v>
      </c>
      <c r="K1322" t="s">
        <v>31</v>
      </c>
      <c r="L1322" t="s">
        <v>7</v>
      </c>
      <c r="M1322" t="s">
        <v>37</v>
      </c>
      <c r="N1322" s="1">
        <f t="shared" si="120"/>
        <v>45604</v>
      </c>
      <c r="O1322" s="4">
        <f t="shared" si="121"/>
        <v>2.9430379746835444E-2</v>
      </c>
      <c r="P1322">
        <f t="shared" si="122"/>
        <v>2.3736559139784945</v>
      </c>
      <c r="Q1322" s="2">
        <f t="shared" si="123"/>
        <v>7.3583333333333334</v>
      </c>
      <c r="R1322" s="2">
        <f t="shared" si="124"/>
        <v>27.59375</v>
      </c>
      <c r="S1322" s="2">
        <f t="shared" si="125"/>
        <v>6.6681766704416763</v>
      </c>
    </row>
    <row r="1323" spans="1:19" hidden="1">
      <c r="A1323" t="s">
        <v>1376</v>
      </c>
      <c r="B1323" t="s">
        <v>30</v>
      </c>
      <c r="C1323">
        <v>138</v>
      </c>
      <c r="D1323">
        <v>4699</v>
      </c>
      <c r="E1323" s="2">
        <v>202.54</v>
      </c>
      <c r="F1323">
        <v>26</v>
      </c>
      <c r="G1323">
        <v>9</v>
      </c>
      <c r="H1323">
        <v>6.5000000000000002E-2</v>
      </c>
      <c r="I1323" s="3">
        <v>1133</v>
      </c>
      <c r="J1323" s="1">
        <v>45621</v>
      </c>
      <c r="K1323" t="s">
        <v>31</v>
      </c>
      <c r="L1323" t="s">
        <v>9</v>
      </c>
      <c r="M1323" t="s">
        <v>41</v>
      </c>
      <c r="N1323" s="1">
        <f t="shared" si="120"/>
        <v>45621</v>
      </c>
      <c r="O1323" s="4">
        <f t="shared" si="121"/>
        <v>2.9367950627793148E-2</v>
      </c>
      <c r="P1323">
        <f t="shared" si="122"/>
        <v>1.4676811594202899</v>
      </c>
      <c r="Q1323" s="2">
        <f t="shared" si="123"/>
        <v>7.79</v>
      </c>
      <c r="R1323" s="2">
        <f t="shared" si="124"/>
        <v>22.504444444444445</v>
      </c>
      <c r="S1323" s="2">
        <f t="shared" si="125"/>
        <v>5.593956749284092</v>
      </c>
    </row>
    <row r="1324" spans="1:19" hidden="1">
      <c r="A1324" t="s">
        <v>1377</v>
      </c>
      <c r="B1324" t="s">
        <v>30</v>
      </c>
      <c r="C1324">
        <v>96</v>
      </c>
      <c r="D1324">
        <v>3730</v>
      </c>
      <c r="E1324" s="2">
        <v>217.61</v>
      </c>
      <c r="F1324">
        <v>16</v>
      </c>
      <c r="G1324">
        <v>4</v>
      </c>
      <c r="H1324">
        <v>4.2000000000000003E-2</v>
      </c>
      <c r="I1324" s="3">
        <v>1283</v>
      </c>
      <c r="J1324" s="1">
        <v>45603</v>
      </c>
      <c r="K1324" t="s">
        <v>31</v>
      </c>
      <c r="L1324" t="s">
        <v>7</v>
      </c>
      <c r="M1324" t="s">
        <v>46</v>
      </c>
      <c r="N1324" s="1">
        <f t="shared" si="120"/>
        <v>45603</v>
      </c>
      <c r="O1324" s="4">
        <f t="shared" si="121"/>
        <v>2.5737265415549597E-2</v>
      </c>
      <c r="P1324">
        <f t="shared" si="122"/>
        <v>2.2667708333333336</v>
      </c>
      <c r="Q1324" s="2">
        <f t="shared" si="123"/>
        <v>13.600625000000001</v>
      </c>
      <c r="R1324" s="2">
        <f t="shared" si="124"/>
        <v>54.402500000000003</v>
      </c>
      <c r="S1324" s="2">
        <f t="shared" si="125"/>
        <v>5.8958687560314322</v>
      </c>
    </row>
    <row r="1325" spans="1:19">
      <c r="A1325" t="s">
        <v>1378</v>
      </c>
      <c r="B1325" t="s">
        <v>30</v>
      </c>
      <c r="C1325">
        <v>127</v>
      </c>
      <c r="D1325">
        <v>5221</v>
      </c>
      <c r="E1325" s="2">
        <v>226.67</v>
      </c>
      <c r="F1325">
        <v>17</v>
      </c>
      <c r="G1325">
        <v>3</v>
      </c>
      <c r="H1325">
        <v>4.5999999999999999E-2</v>
      </c>
      <c r="I1325" s="3">
        <v>1384</v>
      </c>
      <c r="J1325" s="1">
        <v>45599</v>
      </c>
      <c r="K1325" t="s">
        <v>31</v>
      </c>
      <c r="L1325" t="s">
        <v>9</v>
      </c>
      <c r="M1325" t="s">
        <v>39</v>
      </c>
      <c r="N1325" s="1">
        <f t="shared" si="120"/>
        <v>45599</v>
      </c>
      <c r="O1325" s="4">
        <f t="shared" si="121"/>
        <v>2.4324841984294198E-2</v>
      </c>
      <c r="P1325">
        <f t="shared" si="122"/>
        <v>1.784803149606299</v>
      </c>
      <c r="Q1325" s="2">
        <f t="shared" si="123"/>
        <v>13.333529411764705</v>
      </c>
      <c r="R1325" s="2">
        <f t="shared" si="124"/>
        <v>75.556666666666658</v>
      </c>
      <c r="S1325" s="2">
        <f t="shared" si="125"/>
        <v>6.1057925618740905</v>
      </c>
    </row>
    <row r="1326" spans="1:19" hidden="1">
      <c r="A1326" t="s">
        <v>1379</v>
      </c>
      <c r="B1326" t="s">
        <v>30</v>
      </c>
      <c r="C1326">
        <v>92</v>
      </c>
      <c r="D1326">
        <v>3299</v>
      </c>
      <c r="E1326" s="2">
        <v>188.58</v>
      </c>
      <c r="F1326">
        <v>11</v>
      </c>
      <c r="G1326">
        <v>9</v>
      </c>
      <c r="H1326">
        <v>9.8000000000000004E-2</v>
      </c>
      <c r="I1326" s="3">
        <v>1678</v>
      </c>
      <c r="J1326" s="1">
        <v>45623</v>
      </c>
      <c r="K1326" t="s">
        <v>31</v>
      </c>
      <c r="L1326" t="s">
        <v>7</v>
      </c>
      <c r="M1326" t="s">
        <v>37</v>
      </c>
      <c r="N1326" s="1">
        <f t="shared" si="120"/>
        <v>45623</v>
      </c>
      <c r="O1326" s="4">
        <f t="shared" si="121"/>
        <v>2.7887238557138528E-2</v>
      </c>
      <c r="P1326">
        <f t="shared" si="122"/>
        <v>2.0497826086956521</v>
      </c>
      <c r="Q1326" s="2">
        <f t="shared" si="123"/>
        <v>17.143636363636364</v>
      </c>
      <c r="R1326" s="2">
        <f t="shared" si="124"/>
        <v>20.953333333333333</v>
      </c>
      <c r="S1326" s="2">
        <f t="shared" si="125"/>
        <v>8.8980803902852887</v>
      </c>
    </row>
    <row r="1327" spans="1:19" hidden="1">
      <c r="A1327" t="s">
        <v>1380</v>
      </c>
      <c r="B1327" t="s">
        <v>30</v>
      </c>
      <c r="C1327">
        <v>156</v>
      </c>
      <c r="D1327">
        <v>5634</v>
      </c>
      <c r="E1327" s="2">
        <v>247.45</v>
      </c>
      <c r="F1327">
        <v>16</v>
      </c>
      <c r="G1327">
        <v>5</v>
      </c>
      <c r="H1327">
        <v>3.2000000000000001E-2</v>
      </c>
      <c r="I1327" s="3">
        <v>1925</v>
      </c>
      <c r="J1327" s="1">
        <v>45515</v>
      </c>
      <c r="K1327" t="s">
        <v>31</v>
      </c>
      <c r="L1327" t="s">
        <v>9</v>
      </c>
      <c r="M1327" t="s">
        <v>35</v>
      </c>
      <c r="N1327" s="1">
        <f t="shared" si="120"/>
        <v>45515</v>
      </c>
      <c r="O1327" s="4">
        <f t="shared" si="121"/>
        <v>2.7689030883919063E-2</v>
      </c>
      <c r="P1327">
        <f t="shared" si="122"/>
        <v>1.5862179487179486</v>
      </c>
      <c r="Q1327" s="2">
        <f t="shared" si="123"/>
        <v>15.465624999999999</v>
      </c>
      <c r="R1327" s="2">
        <f t="shared" si="124"/>
        <v>49.489999999999995</v>
      </c>
      <c r="S1327" s="2">
        <f t="shared" si="125"/>
        <v>7.7793493635077793</v>
      </c>
    </row>
    <row r="1328" spans="1:19" hidden="1">
      <c r="A1328" t="s">
        <v>1381</v>
      </c>
      <c r="B1328" t="s">
        <v>30</v>
      </c>
      <c r="C1328">
        <v>113</v>
      </c>
      <c r="D1328">
        <v>5991</v>
      </c>
      <c r="E1328" s="2">
        <v>211.28</v>
      </c>
      <c r="F1328">
        <v>16</v>
      </c>
      <c r="G1328">
        <v>3</v>
      </c>
      <c r="H1328">
        <v>2.7E-2</v>
      </c>
      <c r="I1328" s="3">
        <v>1499</v>
      </c>
      <c r="J1328" s="1" t="s">
        <v>43</v>
      </c>
      <c r="K1328" t="s">
        <v>31</v>
      </c>
      <c r="L1328" t="s">
        <v>9</v>
      </c>
      <c r="M1328" t="s">
        <v>32</v>
      </c>
      <c r="N1328" s="1">
        <f t="shared" si="120"/>
        <v>45612</v>
      </c>
      <c r="O1328" s="4">
        <f t="shared" si="121"/>
        <v>1.8861625771991321E-2</v>
      </c>
      <c r="P1328">
        <f t="shared" si="122"/>
        <v>1.8697345132743364</v>
      </c>
      <c r="Q1328" s="2">
        <f t="shared" si="123"/>
        <v>13.205</v>
      </c>
      <c r="R1328" s="2">
        <f t="shared" si="124"/>
        <v>70.426666666666662</v>
      </c>
      <c r="S1328" s="2">
        <f t="shared" si="125"/>
        <v>7.0948504354411206</v>
      </c>
    </row>
    <row r="1329" spans="1:19" hidden="1">
      <c r="A1329" t="s">
        <v>1382</v>
      </c>
      <c r="B1329" t="s">
        <v>30</v>
      </c>
      <c r="C1329">
        <v>84</v>
      </c>
      <c r="D1329">
        <v>3917</v>
      </c>
      <c r="E1329" s="2">
        <v>233.19</v>
      </c>
      <c r="F1329">
        <v>13</v>
      </c>
      <c r="G1329">
        <v>10</v>
      </c>
      <c r="H1329">
        <v>4.9000000000000002E-2</v>
      </c>
      <c r="I1329" s="3">
        <v>1505</v>
      </c>
      <c r="J1329" s="1">
        <v>45607</v>
      </c>
      <c r="K1329" t="s">
        <v>31</v>
      </c>
      <c r="L1329" t="s">
        <v>7</v>
      </c>
      <c r="M1329" t="s">
        <v>35</v>
      </c>
      <c r="N1329" s="1">
        <f t="shared" si="120"/>
        <v>45607</v>
      </c>
      <c r="O1329" s="4">
        <f t="shared" si="121"/>
        <v>2.1444983405667604E-2</v>
      </c>
      <c r="P1329">
        <f t="shared" si="122"/>
        <v>2.7760714285714285</v>
      </c>
      <c r="Q1329" s="2">
        <f t="shared" si="123"/>
        <v>17.937692307692309</v>
      </c>
      <c r="R1329" s="2">
        <f t="shared" si="124"/>
        <v>23.318999999999999</v>
      </c>
      <c r="S1329" s="2">
        <f t="shared" si="125"/>
        <v>6.4539645782409192</v>
      </c>
    </row>
    <row r="1330" spans="1:19" hidden="1">
      <c r="A1330" t="s">
        <v>1383</v>
      </c>
      <c r="B1330" t="s">
        <v>30</v>
      </c>
      <c r="C1330">
        <v>189</v>
      </c>
      <c r="D1330">
        <v>5335</v>
      </c>
      <c r="E1330" s="2">
        <v>181.46</v>
      </c>
      <c r="F1330">
        <v>27</v>
      </c>
      <c r="G1330">
        <v>9</v>
      </c>
      <c r="H1330">
        <v>4.8000000000000001E-2</v>
      </c>
      <c r="I1330" s="3">
        <v>1734</v>
      </c>
      <c r="J1330" s="1">
        <v>45515</v>
      </c>
      <c r="K1330" t="s">
        <v>31</v>
      </c>
      <c r="L1330" t="s">
        <v>8</v>
      </c>
      <c r="M1330" t="s">
        <v>41</v>
      </c>
      <c r="N1330" s="1">
        <f t="shared" si="120"/>
        <v>45515</v>
      </c>
      <c r="O1330" s="4">
        <f t="shared" si="121"/>
        <v>3.5426429240862228E-2</v>
      </c>
      <c r="P1330">
        <f t="shared" si="122"/>
        <v>0.96010582010582013</v>
      </c>
      <c r="Q1330" s="2">
        <f t="shared" si="123"/>
        <v>6.7207407407407409</v>
      </c>
      <c r="R1330" s="2">
        <f t="shared" si="124"/>
        <v>20.162222222222223</v>
      </c>
      <c r="S1330" s="2">
        <f t="shared" si="125"/>
        <v>9.5558249752011459</v>
      </c>
    </row>
    <row r="1331" spans="1:19" hidden="1">
      <c r="A1331" t="s">
        <v>1384</v>
      </c>
      <c r="B1331" t="s">
        <v>30</v>
      </c>
      <c r="C1331">
        <v>149</v>
      </c>
      <c r="D1331">
        <v>4550</v>
      </c>
      <c r="E1331" s="2">
        <v>219.44</v>
      </c>
      <c r="F1331">
        <v>11</v>
      </c>
      <c r="G1331">
        <v>9</v>
      </c>
      <c r="H1331">
        <v>0.06</v>
      </c>
      <c r="I1331" s="3">
        <v>1659</v>
      </c>
      <c r="J1331" s="1">
        <v>45612</v>
      </c>
      <c r="K1331" t="s">
        <v>31</v>
      </c>
      <c r="L1331" t="s">
        <v>9</v>
      </c>
      <c r="M1331" t="s">
        <v>41</v>
      </c>
      <c r="N1331" s="1">
        <f t="shared" si="120"/>
        <v>45612</v>
      </c>
      <c r="O1331" s="4">
        <f t="shared" si="121"/>
        <v>3.274725274725275E-2</v>
      </c>
      <c r="P1331">
        <f t="shared" si="122"/>
        <v>1.4727516778523491</v>
      </c>
      <c r="Q1331" s="2">
        <f t="shared" si="123"/>
        <v>19.949090909090909</v>
      </c>
      <c r="R1331" s="2">
        <f t="shared" si="124"/>
        <v>24.382222222222222</v>
      </c>
      <c r="S1331" s="2">
        <f t="shared" si="125"/>
        <v>7.5601531170251546</v>
      </c>
    </row>
    <row r="1332" spans="1:19" hidden="1">
      <c r="A1332" t="s">
        <v>1385</v>
      </c>
      <c r="B1332" t="s">
        <v>30</v>
      </c>
      <c r="C1332">
        <v>100</v>
      </c>
      <c r="D1332">
        <v>5805</v>
      </c>
      <c r="E1332" s="2">
        <v>181.27</v>
      </c>
      <c r="F1332">
        <v>15</v>
      </c>
      <c r="G1332">
        <v>4</v>
      </c>
      <c r="H1332">
        <v>0.04</v>
      </c>
      <c r="I1332" s="3">
        <v>1195</v>
      </c>
      <c r="J1332" s="1">
        <v>45393</v>
      </c>
      <c r="K1332" t="s">
        <v>31</v>
      </c>
      <c r="L1332" t="s">
        <v>7</v>
      </c>
      <c r="M1332" t="s">
        <v>32</v>
      </c>
      <c r="N1332" s="1">
        <f t="shared" si="120"/>
        <v>45393</v>
      </c>
      <c r="O1332" s="4">
        <f t="shared" si="121"/>
        <v>1.7226528854435832E-2</v>
      </c>
      <c r="P1332">
        <f t="shared" si="122"/>
        <v>1.8127000000000002</v>
      </c>
      <c r="Q1332" s="2">
        <f t="shared" si="123"/>
        <v>12.084666666666667</v>
      </c>
      <c r="R1332" s="2">
        <f t="shared" si="124"/>
        <v>45.317500000000003</v>
      </c>
      <c r="S1332" s="2">
        <f t="shared" si="125"/>
        <v>6.5923760136812488</v>
      </c>
    </row>
    <row r="1333" spans="1:19">
      <c r="A1333" t="s">
        <v>1386</v>
      </c>
      <c r="B1333" t="s">
        <v>30</v>
      </c>
      <c r="C1333">
        <v>105</v>
      </c>
      <c r="D1333">
        <v>5156</v>
      </c>
      <c r="E1333" s="2">
        <v>201.01</v>
      </c>
      <c r="F1333">
        <v>25</v>
      </c>
      <c r="G1333">
        <v>10</v>
      </c>
      <c r="H1333">
        <v>4.5999999999999999E-2</v>
      </c>
      <c r="I1333" s="3">
        <v>1472</v>
      </c>
      <c r="J1333" s="1">
        <v>45607</v>
      </c>
      <c r="K1333" t="s">
        <v>31</v>
      </c>
      <c r="L1333" t="s">
        <v>7</v>
      </c>
      <c r="M1333" t="s">
        <v>46</v>
      </c>
      <c r="N1333" s="1">
        <f t="shared" si="120"/>
        <v>45607</v>
      </c>
      <c r="O1333" s="4">
        <f t="shared" si="121"/>
        <v>2.0364623739332816E-2</v>
      </c>
      <c r="P1333">
        <f t="shared" si="122"/>
        <v>1.9143809523809523</v>
      </c>
      <c r="Q1333" s="2">
        <f t="shared" si="123"/>
        <v>8.0404</v>
      </c>
      <c r="R1333" s="2">
        <f t="shared" si="124"/>
        <v>20.100999999999999</v>
      </c>
      <c r="S1333" s="2">
        <f t="shared" si="125"/>
        <v>7.3230187552858066</v>
      </c>
    </row>
    <row r="1334" spans="1:19" hidden="1">
      <c r="A1334" t="s">
        <v>1387</v>
      </c>
      <c r="B1334" t="s">
        <v>30</v>
      </c>
      <c r="C1334">
        <v>86</v>
      </c>
      <c r="D1334">
        <v>5060</v>
      </c>
      <c r="E1334" s="2">
        <v>249.4</v>
      </c>
      <c r="F1334">
        <v>15</v>
      </c>
      <c r="G1334">
        <v>4</v>
      </c>
      <c r="H1334">
        <v>4.7E-2</v>
      </c>
      <c r="I1334" s="3">
        <v>1761</v>
      </c>
      <c r="J1334" s="1" t="s">
        <v>89</v>
      </c>
      <c r="K1334" t="s">
        <v>31</v>
      </c>
      <c r="L1334" t="s">
        <v>9</v>
      </c>
      <c r="M1334" t="s">
        <v>37</v>
      </c>
      <c r="N1334" s="1">
        <f t="shared" si="120"/>
        <v>45611</v>
      </c>
      <c r="O1334" s="4">
        <f t="shared" si="121"/>
        <v>1.6996047430830039E-2</v>
      </c>
      <c r="P1334">
        <f t="shared" si="122"/>
        <v>2.9</v>
      </c>
      <c r="Q1334" s="2">
        <f t="shared" si="123"/>
        <v>16.626666666666669</v>
      </c>
      <c r="R1334" s="2">
        <f t="shared" si="124"/>
        <v>62.35</v>
      </c>
      <c r="S1334" s="2">
        <f t="shared" si="125"/>
        <v>7.0609462710505211</v>
      </c>
    </row>
    <row r="1335" spans="1:19" hidden="1">
      <c r="A1335" t="s">
        <v>1388</v>
      </c>
      <c r="B1335" t="s">
        <v>30</v>
      </c>
      <c r="C1335">
        <v>93</v>
      </c>
      <c r="D1335">
        <v>5178</v>
      </c>
      <c r="E1335" s="2">
        <v>245.13</v>
      </c>
      <c r="F1335">
        <v>14</v>
      </c>
      <c r="G1335">
        <v>5</v>
      </c>
      <c r="H1335">
        <v>5.3999999999999999E-2</v>
      </c>
      <c r="I1335" s="3">
        <v>1080</v>
      </c>
      <c r="J1335" s="1">
        <v>45604</v>
      </c>
      <c r="K1335" t="s">
        <v>31</v>
      </c>
      <c r="L1335" t="s">
        <v>8</v>
      </c>
      <c r="M1335" t="s">
        <v>37</v>
      </c>
      <c r="N1335" s="1">
        <f t="shared" si="120"/>
        <v>45604</v>
      </c>
      <c r="O1335" s="4">
        <f t="shared" si="121"/>
        <v>1.7960602549246814E-2</v>
      </c>
      <c r="P1335">
        <f t="shared" si="122"/>
        <v>2.6358064516129032</v>
      </c>
      <c r="Q1335" s="2">
        <f t="shared" si="123"/>
        <v>17.509285714285713</v>
      </c>
      <c r="R1335" s="2">
        <f t="shared" si="124"/>
        <v>49.025999999999996</v>
      </c>
      <c r="S1335" s="2">
        <f t="shared" si="125"/>
        <v>4.4058254803573611</v>
      </c>
    </row>
    <row r="1336" spans="1:19" hidden="1">
      <c r="A1336" t="s">
        <v>1389</v>
      </c>
      <c r="B1336" t="s">
        <v>30</v>
      </c>
      <c r="C1336">
        <v>180</v>
      </c>
      <c r="D1336">
        <v>3076</v>
      </c>
      <c r="E1336" s="2">
        <v>227.91</v>
      </c>
      <c r="F1336">
        <v>12</v>
      </c>
      <c r="G1336">
        <v>10</v>
      </c>
      <c r="H1336">
        <v>5.6000000000000001E-2</v>
      </c>
      <c r="I1336" s="3">
        <v>1505</v>
      </c>
      <c r="J1336" s="1">
        <v>45423</v>
      </c>
      <c r="K1336" t="s">
        <v>31</v>
      </c>
      <c r="L1336" t="s">
        <v>7</v>
      </c>
      <c r="M1336" t="s">
        <v>41</v>
      </c>
      <c r="N1336" s="1">
        <f t="shared" si="120"/>
        <v>45423</v>
      </c>
      <c r="O1336" s="4">
        <f t="shared" si="121"/>
        <v>5.8517555266579972E-2</v>
      </c>
      <c r="P1336">
        <f t="shared" si="122"/>
        <v>1.2661666666666667</v>
      </c>
      <c r="Q1336" s="2">
        <f t="shared" si="123"/>
        <v>18.9925</v>
      </c>
      <c r="R1336" s="2">
        <f t="shared" si="124"/>
        <v>22.791</v>
      </c>
      <c r="S1336" s="2">
        <f t="shared" si="125"/>
        <v>6.6034838313369315</v>
      </c>
    </row>
    <row r="1337" spans="1:19" hidden="1">
      <c r="A1337" t="s">
        <v>1390</v>
      </c>
      <c r="B1337" t="s">
        <v>30</v>
      </c>
      <c r="C1337">
        <v>156</v>
      </c>
      <c r="D1337">
        <v>3218</v>
      </c>
      <c r="E1337" s="2">
        <v>235.69</v>
      </c>
      <c r="F1337">
        <v>28</v>
      </c>
      <c r="G1337">
        <v>6</v>
      </c>
      <c r="H1337">
        <v>3.7999999999999999E-2</v>
      </c>
      <c r="I1337" s="3">
        <v>1289</v>
      </c>
      <c r="J1337" s="1">
        <v>45612</v>
      </c>
      <c r="K1337" t="s">
        <v>31</v>
      </c>
      <c r="L1337" t="s">
        <v>9</v>
      </c>
      <c r="M1337" t="s">
        <v>37</v>
      </c>
      <c r="N1337" s="1">
        <f t="shared" si="120"/>
        <v>45612</v>
      </c>
      <c r="O1337" s="4">
        <f t="shared" si="121"/>
        <v>4.8477315102548164E-2</v>
      </c>
      <c r="P1337">
        <f t="shared" si="122"/>
        <v>1.5108333333333333</v>
      </c>
      <c r="Q1337" s="2">
        <f t="shared" si="123"/>
        <v>8.4175000000000004</v>
      </c>
      <c r="R1337" s="2">
        <f t="shared" si="124"/>
        <v>39.281666666666666</v>
      </c>
      <c r="S1337" s="2">
        <f t="shared" si="125"/>
        <v>5.4690483261911833</v>
      </c>
    </row>
    <row r="1338" spans="1:19" hidden="1">
      <c r="A1338" t="s">
        <v>1391</v>
      </c>
      <c r="B1338" t="s">
        <v>30</v>
      </c>
      <c r="C1338">
        <v>124</v>
      </c>
      <c r="D1338">
        <v>4682</v>
      </c>
      <c r="E1338" s="2">
        <v>207.53</v>
      </c>
      <c r="F1338">
        <v>20</v>
      </c>
      <c r="G1338">
        <v>3</v>
      </c>
      <c r="H1338">
        <v>3.3000000000000002E-2</v>
      </c>
      <c r="I1338" s="3">
        <v>1550</v>
      </c>
      <c r="J1338" s="1">
        <v>45599</v>
      </c>
      <c r="K1338" t="s">
        <v>31</v>
      </c>
      <c r="L1338" t="s">
        <v>9</v>
      </c>
      <c r="M1338" t="s">
        <v>41</v>
      </c>
      <c r="N1338" s="1">
        <f t="shared" si="120"/>
        <v>45599</v>
      </c>
      <c r="O1338" s="4">
        <f t="shared" si="121"/>
        <v>2.648440837249039E-2</v>
      </c>
      <c r="P1338">
        <f t="shared" si="122"/>
        <v>1.6736290322580645</v>
      </c>
      <c r="Q1338" s="2">
        <f t="shared" si="123"/>
        <v>10.3765</v>
      </c>
      <c r="R1338" s="2">
        <f t="shared" si="124"/>
        <v>69.176666666666662</v>
      </c>
      <c r="S1338" s="2">
        <f t="shared" si="125"/>
        <v>7.468799691610851</v>
      </c>
    </row>
    <row r="1339" spans="1:19" hidden="1">
      <c r="A1339" t="s">
        <v>1392</v>
      </c>
      <c r="B1339" t="s">
        <v>30</v>
      </c>
      <c r="C1339">
        <v>177</v>
      </c>
      <c r="D1339">
        <v>3592</v>
      </c>
      <c r="E1339" s="2">
        <v>205.25</v>
      </c>
      <c r="F1339">
        <v>29</v>
      </c>
      <c r="G1339">
        <v>9</v>
      </c>
      <c r="H1339">
        <v>5.0999999999999997E-2</v>
      </c>
      <c r="I1339" s="3">
        <v>1271</v>
      </c>
      <c r="J1339" s="1">
        <v>45611</v>
      </c>
      <c r="K1339" t="s">
        <v>31</v>
      </c>
      <c r="L1339" t="s">
        <v>7</v>
      </c>
      <c r="M1339" t="s">
        <v>39</v>
      </c>
      <c r="N1339" s="1">
        <f t="shared" si="120"/>
        <v>45611</v>
      </c>
      <c r="O1339" s="4">
        <f t="shared" si="121"/>
        <v>4.9276169265033407E-2</v>
      </c>
      <c r="P1339">
        <f t="shared" si="122"/>
        <v>1.1596045197740112</v>
      </c>
      <c r="Q1339" s="2">
        <f t="shared" si="123"/>
        <v>7.0775862068965516</v>
      </c>
      <c r="R1339" s="2">
        <f t="shared" si="124"/>
        <v>22.805555555555557</v>
      </c>
      <c r="S1339" s="2">
        <f t="shared" si="125"/>
        <v>6.1924482338611453</v>
      </c>
    </row>
    <row r="1340" spans="1:19">
      <c r="A1340" t="s">
        <v>1393</v>
      </c>
      <c r="B1340" t="s">
        <v>30</v>
      </c>
      <c r="C1340">
        <v>156</v>
      </c>
      <c r="D1340">
        <v>3506</v>
      </c>
      <c r="E1340" s="2">
        <v>242.9</v>
      </c>
      <c r="F1340">
        <v>13</v>
      </c>
      <c r="G1340">
        <v>7</v>
      </c>
      <c r="H1340">
        <v>4.5999999999999999E-2</v>
      </c>
      <c r="I1340" s="3">
        <v>1208</v>
      </c>
      <c r="J1340" s="1">
        <v>45597</v>
      </c>
      <c r="K1340" t="s">
        <v>31</v>
      </c>
      <c r="L1340" t="s">
        <v>7</v>
      </c>
      <c r="M1340" t="s">
        <v>46</v>
      </c>
      <c r="N1340" s="1">
        <f t="shared" si="120"/>
        <v>45597</v>
      </c>
      <c r="O1340" s="4">
        <f t="shared" si="121"/>
        <v>4.4495151169423847E-2</v>
      </c>
      <c r="P1340">
        <f t="shared" si="122"/>
        <v>1.5570512820512821</v>
      </c>
      <c r="Q1340" s="2">
        <f t="shared" si="123"/>
        <v>18.684615384615384</v>
      </c>
      <c r="R1340" s="2">
        <f t="shared" si="124"/>
        <v>34.700000000000003</v>
      </c>
      <c r="S1340" s="2">
        <f t="shared" si="125"/>
        <v>4.973240016467682</v>
      </c>
    </row>
    <row r="1341" spans="1:19" hidden="1">
      <c r="A1341" t="s">
        <v>1394</v>
      </c>
      <c r="B1341" t="s">
        <v>30</v>
      </c>
      <c r="C1341">
        <v>132</v>
      </c>
      <c r="D1341">
        <v>3562</v>
      </c>
      <c r="E1341" s="2">
        <v>238.34</v>
      </c>
      <c r="F1341">
        <v>23</v>
      </c>
      <c r="G1341">
        <v>4</v>
      </c>
      <c r="H1341">
        <v>0.03</v>
      </c>
      <c r="I1341" s="3">
        <v>1033</v>
      </c>
      <c r="J1341" s="1" t="s">
        <v>86</v>
      </c>
      <c r="K1341" t="s">
        <v>31</v>
      </c>
      <c r="L1341" t="s">
        <v>9</v>
      </c>
      <c r="M1341" t="s">
        <v>35</v>
      </c>
      <c r="N1341" s="1">
        <f t="shared" si="120"/>
        <v>45625</v>
      </c>
      <c r="O1341" s="4">
        <f t="shared" si="121"/>
        <v>3.7057832678270633E-2</v>
      </c>
      <c r="P1341">
        <f t="shared" si="122"/>
        <v>1.8056060606060607</v>
      </c>
      <c r="Q1341" s="2">
        <f t="shared" si="123"/>
        <v>10.362608695652174</v>
      </c>
      <c r="R1341" s="2">
        <f t="shared" si="124"/>
        <v>59.585000000000001</v>
      </c>
      <c r="S1341" s="2">
        <f t="shared" si="125"/>
        <v>4.3341444994545606</v>
      </c>
    </row>
    <row r="1342" spans="1:19" hidden="1">
      <c r="A1342" t="s">
        <v>1395</v>
      </c>
      <c r="B1342" t="s">
        <v>30</v>
      </c>
      <c r="C1342">
        <v>178</v>
      </c>
      <c r="D1342">
        <v>4518.5</v>
      </c>
      <c r="E1342" s="2">
        <v>203.6</v>
      </c>
      <c r="F1342">
        <v>12</v>
      </c>
      <c r="G1342">
        <v>3</v>
      </c>
      <c r="H1342">
        <v>1.7000000000000001E-2</v>
      </c>
      <c r="I1342" s="3">
        <v>1155</v>
      </c>
      <c r="J1342" s="1">
        <v>45598</v>
      </c>
      <c r="K1342" t="s">
        <v>31</v>
      </c>
      <c r="L1342" t="s">
        <v>9</v>
      </c>
      <c r="M1342" t="s">
        <v>46</v>
      </c>
      <c r="N1342" s="1">
        <f t="shared" si="120"/>
        <v>45598</v>
      </c>
      <c r="O1342" s="4">
        <f t="shared" si="121"/>
        <v>3.9393604072147835E-2</v>
      </c>
      <c r="P1342">
        <f t="shared" si="122"/>
        <v>1.1438202247191012</v>
      </c>
      <c r="Q1342" s="2">
        <f t="shared" si="123"/>
        <v>16.966666666666665</v>
      </c>
      <c r="R1342" s="2">
        <f t="shared" si="124"/>
        <v>67.86666666666666</v>
      </c>
      <c r="S1342" s="2">
        <f t="shared" si="125"/>
        <v>5.6728880157170929</v>
      </c>
    </row>
    <row r="1343" spans="1:19" hidden="1">
      <c r="A1343" t="s">
        <v>1396</v>
      </c>
      <c r="B1343" t="s">
        <v>30</v>
      </c>
      <c r="C1343">
        <v>153</v>
      </c>
      <c r="D1343">
        <v>3953</v>
      </c>
      <c r="E1343" s="2">
        <v>237.56</v>
      </c>
      <c r="F1343">
        <v>20</v>
      </c>
      <c r="G1343">
        <v>6</v>
      </c>
      <c r="H1343">
        <v>5.2999999999999999E-2</v>
      </c>
      <c r="I1343" s="3">
        <v>1388</v>
      </c>
      <c r="J1343" s="1" t="s">
        <v>100</v>
      </c>
      <c r="K1343" t="s">
        <v>31</v>
      </c>
      <c r="L1343" t="s">
        <v>9</v>
      </c>
      <c r="M1343" t="s">
        <v>32</v>
      </c>
      <c r="N1343" s="1">
        <f t="shared" si="120"/>
        <v>45622</v>
      </c>
      <c r="O1343" s="4">
        <f t="shared" si="121"/>
        <v>3.8704781178851504E-2</v>
      </c>
      <c r="P1343">
        <f t="shared" si="122"/>
        <v>1.5526797385620916</v>
      </c>
      <c r="Q1343" s="2">
        <f t="shared" si="123"/>
        <v>11.878</v>
      </c>
      <c r="R1343" s="2">
        <f t="shared" si="124"/>
        <v>39.593333333333334</v>
      </c>
      <c r="S1343" s="2">
        <f t="shared" si="125"/>
        <v>5.8427344670819998</v>
      </c>
    </row>
    <row r="1344" spans="1:19" hidden="1">
      <c r="A1344" t="s">
        <v>1397</v>
      </c>
      <c r="B1344" t="s">
        <v>30</v>
      </c>
      <c r="C1344">
        <v>187</v>
      </c>
      <c r="D1344">
        <v>4891</v>
      </c>
      <c r="E1344" s="2">
        <v>223.99</v>
      </c>
      <c r="F1344">
        <v>14</v>
      </c>
      <c r="G1344">
        <v>8</v>
      </c>
      <c r="H1344">
        <v>4.2999999999999997E-2</v>
      </c>
      <c r="I1344" s="3">
        <v>1014</v>
      </c>
      <c r="J1344" s="1">
        <v>45622</v>
      </c>
      <c r="K1344" t="s">
        <v>31</v>
      </c>
      <c r="L1344" t="s">
        <v>8</v>
      </c>
      <c r="M1344" t="s">
        <v>41</v>
      </c>
      <c r="N1344" s="1">
        <f t="shared" si="120"/>
        <v>45622</v>
      </c>
      <c r="O1344" s="4">
        <f t="shared" si="121"/>
        <v>3.823349008382744E-2</v>
      </c>
      <c r="P1344">
        <f t="shared" si="122"/>
        <v>1.197807486631016</v>
      </c>
      <c r="Q1344" s="2">
        <f t="shared" si="123"/>
        <v>15.999285714285715</v>
      </c>
      <c r="R1344" s="2">
        <f t="shared" si="124"/>
        <v>27.998750000000001</v>
      </c>
      <c r="S1344" s="2">
        <f t="shared" si="125"/>
        <v>4.5269878119558911</v>
      </c>
    </row>
    <row r="1345" spans="1:19" hidden="1">
      <c r="A1345" t="s">
        <v>1398</v>
      </c>
      <c r="B1345" t="s">
        <v>30</v>
      </c>
      <c r="C1345">
        <v>155</v>
      </c>
      <c r="D1345">
        <v>4976</v>
      </c>
      <c r="E1345" s="2">
        <v>183.21</v>
      </c>
      <c r="F1345">
        <v>10</v>
      </c>
      <c r="G1345">
        <v>5</v>
      </c>
      <c r="H1345">
        <v>5.2999999999999999E-2</v>
      </c>
      <c r="I1345" s="3">
        <v>1554</v>
      </c>
      <c r="J1345" s="1" t="s">
        <v>217</v>
      </c>
      <c r="K1345" t="s">
        <v>31</v>
      </c>
      <c r="L1345" t="s">
        <v>9</v>
      </c>
      <c r="M1345" t="s">
        <v>41</v>
      </c>
      <c r="N1345" s="1">
        <f t="shared" si="120"/>
        <v>45609</v>
      </c>
      <c r="O1345" s="4">
        <f t="shared" si="121"/>
        <v>3.1149517684887461E-2</v>
      </c>
      <c r="P1345">
        <f t="shared" si="122"/>
        <v>1.1820000000000002</v>
      </c>
      <c r="Q1345" s="2">
        <f t="shared" si="123"/>
        <v>18.321000000000002</v>
      </c>
      <c r="R1345" s="2">
        <f t="shared" si="124"/>
        <v>36.642000000000003</v>
      </c>
      <c r="S1345" s="2">
        <f t="shared" si="125"/>
        <v>8.482069756017685</v>
      </c>
    </row>
    <row r="1346" spans="1:19" hidden="1">
      <c r="A1346" t="s">
        <v>1399</v>
      </c>
      <c r="B1346" t="s">
        <v>30</v>
      </c>
      <c r="C1346">
        <v>90</v>
      </c>
      <c r="D1346">
        <v>5781</v>
      </c>
      <c r="E1346" s="2">
        <v>200.71</v>
      </c>
      <c r="F1346">
        <v>28</v>
      </c>
      <c r="G1346">
        <v>5</v>
      </c>
      <c r="H1346">
        <v>4.5999999999999999E-2</v>
      </c>
      <c r="I1346" s="3">
        <v>1505</v>
      </c>
      <c r="J1346" s="1">
        <v>45484</v>
      </c>
      <c r="K1346" t="s">
        <v>31</v>
      </c>
      <c r="L1346" t="s">
        <v>8</v>
      </c>
      <c r="M1346" t="s">
        <v>37</v>
      </c>
      <c r="N1346" s="1">
        <f t="shared" ref="N1346:N1409" si="126">IF(A1346="","",IF(ISNUMBER(J1346),J1346,IF(MID(J1346,5,1)="-",DATE(LEFT(J1346,4),MID(J1346,6,2),RIGHT(J1346,2)),IF(MID(J1346,5,1)="/",DATE(LEFT(J1346,4),MID(J1346,6,2),RIGHT(J1346,2)),DATE(RIGHT(J1346,4),MID(J1346,4,2),LEFT(J1346,2))))))</f>
        <v>45484</v>
      </c>
      <c r="O1346" s="4">
        <f t="shared" ref="O1346:O1409" si="127">IFERROR(C1346/D1346,0)</f>
        <v>1.5568240788790867E-2</v>
      </c>
      <c r="P1346">
        <f t="shared" ref="P1346:P1409" si="128">IFERROR(E1346/C1346,0)</f>
        <v>2.2301111111111114</v>
      </c>
      <c r="Q1346" s="2">
        <f t="shared" ref="Q1346:Q1409" si="129">IFERROR(E1346/F1346,0)</f>
        <v>7.1682142857142859</v>
      </c>
      <c r="R1346" s="2">
        <f t="shared" ref="R1346:R1409" si="130">IFERROR(E1346/G1346,0)</f>
        <v>40.142000000000003</v>
      </c>
      <c r="S1346" s="2">
        <f t="shared" ref="S1346:S1409" si="131">IFERROR(I1346/E1346,0)</f>
        <v>7.4983807483433811</v>
      </c>
    </row>
    <row r="1347" spans="1:19" hidden="1">
      <c r="A1347" t="s">
        <v>1400</v>
      </c>
      <c r="B1347" t="s">
        <v>30</v>
      </c>
      <c r="C1347">
        <v>172</v>
      </c>
      <c r="D1347">
        <v>3001</v>
      </c>
      <c r="E1347" s="2">
        <v>210.62</v>
      </c>
      <c r="F1347">
        <v>14</v>
      </c>
      <c r="G1347">
        <v>4</v>
      </c>
      <c r="H1347">
        <v>2.3E-2</v>
      </c>
      <c r="I1347" s="3">
        <v>1192</v>
      </c>
      <c r="J1347" s="1">
        <v>45621</v>
      </c>
      <c r="K1347" t="s">
        <v>31</v>
      </c>
      <c r="L1347" t="s">
        <v>9</v>
      </c>
      <c r="M1347" t="s">
        <v>37</v>
      </c>
      <c r="N1347" s="1">
        <f t="shared" si="126"/>
        <v>45621</v>
      </c>
      <c r="O1347" s="4">
        <f t="shared" si="127"/>
        <v>5.7314228590469841E-2</v>
      </c>
      <c r="P1347">
        <f t="shared" si="128"/>
        <v>1.2245348837209302</v>
      </c>
      <c r="Q1347" s="2">
        <f t="shared" si="129"/>
        <v>15.044285714285715</v>
      </c>
      <c r="R1347" s="2">
        <f t="shared" si="130"/>
        <v>52.655000000000001</v>
      </c>
      <c r="S1347" s="2">
        <f t="shared" si="131"/>
        <v>5.6594815307188302</v>
      </c>
    </row>
    <row r="1348" spans="1:19" hidden="1">
      <c r="A1348" t="s">
        <v>1401</v>
      </c>
      <c r="B1348" t="s">
        <v>30</v>
      </c>
      <c r="C1348">
        <v>92</v>
      </c>
      <c r="D1348">
        <v>5728</v>
      </c>
      <c r="E1348" s="2">
        <v>224.5</v>
      </c>
      <c r="F1348">
        <v>14</v>
      </c>
      <c r="G1348">
        <v>9</v>
      </c>
      <c r="H1348">
        <v>9.8000000000000004E-2</v>
      </c>
      <c r="I1348" s="3">
        <v>1876</v>
      </c>
      <c r="J1348" s="1" t="s">
        <v>100</v>
      </c>
      <c r="K1348" t="s">
        <v>31</v>
      </c>
      <c r="L1348" t="s">
        <v>9</v>
      </c>
      <c r="M1348" t="s">
        <v>41</v>
      </c>
      <c r="N1348" s="1">
        <f t="shared" si="126"/>
        <v>45622</v>
      </c>
      <c r="O1348" s="4">
        <f t="shared" si="127"/>
        <v>1.6061452513966481E-2</v>
      </c>
      <c r="P1348">
        <f t="shared" si="128"/>
        <v>2.4402173913043477</v>
      </c>
      <c r="Q1348" s="2">
        <f t="shared" si="129"/>
        <v>16.035714285714285</v>
      </c>
      <c r="R1348" s="2">
        <f t="shared" si="130"/>
        <v>24.944444444444443</v>
      </c>
      <c r="S1348" s="2">
        <f t="shared" si="131"/>
        <v>8.3563474387527847</v>
      </c>
    </row>
    <row r="1349" spans="1:19" hidden="1">
      <c r="A1349" t="s">
        <v>1402</v>
      </c>
      <c r="B1349" t="s">
        <v>30</v>
      </c>
      <c r="C1349">
        <v>162</v>
      </c>
      <c r="D1349">
        <v>5103</v>
      </c>
      <c r="E1349" s="2">
        <v>188.15</v>
      </c>
      <c r="F1349">
        <v>13</v>
      </c>
      <c r="G1349">
        <v>9</v>
      </c>
      <c r="H1349">
        <v>5.6000000000000001E-2</v>
      </c>
      <c r="I1349" s="3">
        <v>1264</v>
      </c>
      <c r="J1349" s="1">
        <v>45624</v>
      </c>
      <c r="K1349" t="s">
        <v>31</v>
      </c>
      <c r="L1349" t="s">
        <v>8</v>
      </c>
      <c r="M1349" t="s">
        <v>46</v>
      </c>
      <c r="N1349" s="1">
        <f t="shared" si="126"/>
        <v>45624</v>
      </c>
      <c r="O1349" s="4">
        <f t="shared" si="127"/>
        <v>3.1746031746031744E-2</v>
      </c>
      <c r="P1349">
        <f t="shared" si="128"/>
        <v>1.1614197530864199</v>
      </c>
      <c r="Q1349" s="2">
        <f t="shared" si="129"/>
        <v>14.473076923076924</v>
      </c>
      <c r="R1349" s="2">
        <f t="shared" si="130"/>
        <v>20.905555555555555</v>
      </c>
      <c r="S1349" s="2">
        <f t="shared" si="131"/>
        <v>6.7180441137390376</v>
      </c>
    </row>
    <row r="1350" spans="1:19" hidden="1">
      <c r="A1350" t="s">
        <v>1403</v>
      </c>
      <c r="B1350" t="s">
        <v>30</v>
      </c>
      <c r="C1350">
        <v>193</v>
      </c>
      <c r="D1350">
        <v>3131</v>
      </c>
      <c r="E1350" s="2">
        <v>198.1</v>
      </c>
      <c r="F1350">
        <v>22</v>
      </c>
      <c r="G1350">
        <v>5</v>
      </c>
      <c r="H1350">
        <v>3.5000000000000003E-2</v>
      </c>
      <c r="I1350" s="3">
        <v>1870</v>
      </c>
      <c r="J1350" s="1">
        <v>45615</v>
      </c>
      <c r="K1350" t="s">
        <v>31</v>
      </c>
      <c r="L1350" t="s">
        <v>9</v>
      </c>
      <c r="M1350" t="s">
        <v>35</v>
      </c>
      <c r="N1350" s="1">
        <f t="shared" si="126"/>
        <v>45615</v>
      </c>
      <c r="O1350" s="4">
        <f t="shared" si="127"/>
        <v>6.1641648035771317E-2</v>
      </c>
      <c r="P1350">
        <f t="shared" si="128"/>
        <v>1.0264248704663212</v>
      </c>
      <c r="Q1350" s="2">
        <f t="shared" si="129"/>
        <v>9.004545454545454</v>
      </c>
      <c r="R1350" s="2">
        <f t="shared" si="130"/>
        <v>39.619999999999997</v>
      </c>
      <c r="S1350" s="2">
        <f t="shared" si="131"/>
        <v>9.4396769308430084</v>
      </c>
    </row>
    <row r="1351" spans="1:19">
      <c r="A1351" t="s">
        <v>1404</v>
      </c>
      <c r="B1351" t="s">
        <v>30</v>
      </c>
      <c r="C1351">
        <v>139</v>
      </c>
      <c r="D1351">
        <v>3547</v>
      </c>
      <c r="E1351" s="2">
        <v>238.34</v>
      </c>
      <c r="F1351">
        <v>13</v>
      </c>
      <c r="G1351">
        <v>5</v>
      </c>
      <c r="H1351">
        <v>4.5999999999999999E-2</v>
      </c>
      <c r="I1351" s="3">
        <v>1130</v>
      </c>
      <c r="J1351" s="1">
        <v>45598</v>
      </c>
      <c r="K1351" t="s">
        <v>31</v>
      </c>
      <c r="L1351" t="s">
        <v>7</v>
      </c>
      <c r="M1351" t="s">
        <v>37</v>
      </c>
      <c r="N1351" s="1">
        <f t="shared" si="126"/>
        <v>45598</v>
      </c>
      <c r="O1351" s="4">
        <f t="shared" si="127"/>
        <v>3.9188046236255991E-2</v>
      </c>
      <c r="P1351">
        <f t="shared" si="128"/>
        <v>1.7146762589928057</v>
      </c>
      <c r="Q1351" s="2">
        <f t="shared" si="129"/>
        <v>18.333846153846153</v>
      </c>
      <c r="R1351" s="2">
        <f t="shared" si="130"/>
        <v>47.667999999999999</v>
      </c>
      <c r="S1351" s="2">
        <f t="shared" si="131"/>
        <v>4.7411261223462278</v>
      </c>
    </row>
    <row r="1352" spans="1:19" hidden="1">
      <c r="A1352" t="s">
        <v>1405</v>
      </c>
      <c r="B1352" t="s">
        <v>30</v>
      </c>
      <c r="C1352">
        <v>185</v>
      </c>
      <c r="D1352">
        <v>4070</v>
      </c>
      <c r="E1352" s="2">
        <v>200.95</v>
      </c>
      <c r="F1352">
        <v>21</v>
      </c>
      <c r="G1352">
        <v>5</v>
      </c>
      <c r="H1352">
        <v>2.7E-2</v>
      </c>
      <c r="I1352" s="3">
        <v>1503</v>
      </c>
      <c r="J1352" s="1">
        <v>45603</v>
      </c>
      <c r="K1352" t="s">
        <v>31</v>
      </c>
      <c r="L1352" t="s">
        <v>8</v>
      </c>
      <c r="M1352" t="s">
        <v>41</v>
      </c>
      <c r="N1352" s="1">
        <f t="shared" si="126"/>
        <v>45603</v>
      </c>
      <c r="O1352" s="4">
        <f t="shared" si="127"/>
        <v>4.5454545454545456E-2</v>
      </c>
      <c r="P1352">
        <f t="shared" si="128"/>
        <v>1.0862162162162161</v>
      </c>
      <c r="Q1352" s="2">
        <f t="shared" si="129"/>
        <v>9.5690476190476179</v>
      </c>
      <c r="R1352" s="2">
        <f t="shared" si="130"/>
        <v>40.19</v>
      </c>
      <c r="S1352" s="2">
        <f t="shared" si="131"/>
        <v>7.4794725055984079</v>
      </c>
    </row>
    <row r="1353" spans="1:19" hidden="1">
      <c r="A1353" t="s">
        <v>1406</v>
      </c>
      <c r="B1353" t="s">
        <v>30</v>
      </c>
      <c r="C1353">
        <v>117</v>
      </c>
      <c r="D1353">
        <v>3350</v>
      </c>
      <c r="E1353" s="2">
        <v>243.68</v>
      </c>
      <c r="F1353">
        <v>23</v>
      </c>
      <c r="G1353">
        <v>5</v>
      </c>
      <c r="H1353">
        <v>5.6000000000000001E-2</v>
      </c>
      <c r="I1353" s="3">
        <v>1204</v>
      </c>
      <c r="J1353" s="1">
        <v>45610</v>
      </c>
      <c r="K1353" t="s">
        <v>31</v>
      </c>
      <c r="L1353" t="s">
        <v>7</v>
      </c>
      <c r="M1353" t="s">
        <v>46</v>
      </c>
      <c r="N1353" s="1">
        <f t="shared" si="126"/>
        <v>45610</v>
      </c>
      <c r="O1353" s="4">
        <f t="shared" si="127"/>
        <v>3.4925373134328357E-2</v>
      </c>
      <c r="P1353">
        <f t="shared" si="128"/>
        <v>2.0827350427350426</v>
      </c>
      <c r="Q1353" s="2">
        <f t="shared" si="129"/>
        <v>10.594782608695652</v>
      </c>
      <c r="R1353" s="2">
        <f t="shared" si="130"/>
        <v>48.736000000000004</v>
      </c>
      <c r="S1353" s="2">
        <f t="shared" si="131"/>
        <v>4.9409061063690087</v>
      </c>
    </row>
    <row r="1354" spans="1:19" hidden="1">
      <c r="A1354" t="s">
        <v>1407</v>
      </c>
      <c r="B1354" t="s">
        <v>30</v>
      </c>
      <c r="C1354">
        <v>123</v>
      </c>
      <c r="D1354">
        <v>4976</v>
      </c>
      <c r="E1354" s="2">
        <v>244.49</v>
      </c>
      <c r="F1354">
        <v>14</v>
      </c>
      <c r="G1354">
        <v>4</v>
      </c>
      <c r="H1354">
        <v>3.3000000000000002E-2</v>
      </c>
      <c r="I1354" s="3">
        <v>1579</v>
      </c>
      <c r="J1354" s="1">
        <v>45598</v>
      </c>
      <c r="K1354" t="s">
        <v>31</v>
      </c>
      <c r="L1354" t="s">
        <v>7</v>
      </c>
      <c r="M1354" t="s">
        <v>46</v>
      </c>
      <c r="N1354" s="1">
        <f t="shared" si="126"/>
        <v>45598</v>
      </c>
      <c r="O1354" s="4">
        <f t="shared" si="127"/>
        <v>2.4718649517684887E-2</v>
      </c>
      <c r="P1354">
        <f t="shared" si="128"/>
        <v>1.9877235772357724</v>
      </c>
      <c r="Q1354" s="2">
        <f t="shared" si="129"/>
        <v>17.463571428571431</v>
      </c>
      <c r="R1354" s="2">
        <f t="shared" si="130"/>
        <v>61.122500000000002</v>
      </c>
      <c r="S1354" s="2">
        <f t="shared" si="131"/>
        <v>6.4583418544725752</v>
      </c>
    </row>
    <row r="1355" spans="1:19" hidden="1">
      <c r="A1355" t="s">
        <v>1408</v>
      </c>
      <c r="B1355" t="s">
        <v>30</v>
      </c>
      <c r="C1355">
        <v>181</v>
      </c>
      <c r="D1355">
        <v>5612</v>
      </c>
      <c r="E1355" s="2">
        <v>203.66</v>
      </c>
      <c r="F1355">
        <v>17</v>
      </c>
      <c r="G1355">
        <v>3</v>
      </c>
      <c r="H1355">
        <v>1.7000000000000001E-2</v>
      </c>
      <c r="I1355" s="3">
        <v>1505</v>
      </c>
      <c r="J1355" s="1">
        <v>45484</v>
      </c>
      <c r="K1355" t="s">
        <v>31</v>
      </c>
      <c r="L1355" t="s">
        <v>9</v>
      </c>
      <c r="M1355" t="s">
        <v>39</v>
      </c>
      <c r="N1355" s="1">
        <f t="shared" si="126"/>
        <v>45484</v>
      </c>
      <c r="O1355" s="4">
        <f t="shared" si="127"/>
        <v>3.2252316464718461E-2</v>
      </c>
      <c r="P1355">
        <f t="shared" si="128"/>
        <v>1.1251933701657459</v>
      </c>
      <c r="Q1355" s="2">
        <f t="shared" si="129"/>
        <v>11.98</v>
      </c>
      <c r="R1355" s="2">
        <f t="shared" si="130"/>
        <v>67.88666666666667</v>
      </c>
      <c r="S1355" s="2">
        <f t="shared" si="131"/>
        <v>7.3897672591574191</v>
      </c>
    </row>
    <row r="1356" spans="1:19" hidden="1">
      <c r="A1356" t="s">
        <v>1409</v>
      </c>
      <c r="B1356" t="s">
        <v>30</v>
      </c>
      <c r="C1356">
        <v>118</v>
      </c>
      <c r="D1356">
        <v>4390</v>
      </c>
      <c r="E1356" s="2">
        <v>214.04</v>
      </c>
      <c r="F1356">
        <v>24</v>
      </c>
      <c r="G1356">
        <v>8</v>
      </c>
      <c r="H1356">
        <v>6.8000000000000005E-2</v>
      </c>
      <c r="I1356" s="3">
        <v>1071</v>
      </c>
      <c r="J1356" s="1">
        <v>45614</v>
      </c>
      <c r="K1356" t="s">
        <v>31</v>
      </c>
      <c r="L1356" t="s">
        <v>9</v>
      </c>
      <c r="M1356" t="s">
        <v>46</v>
      </c>
      <c r="N1356" s="1">
        <f t="shared" si="126"/>
        <v>45614</v>
      </c>
      <c r="O1356" s="4">
        <f t="shared" si="127"/>
        <v>2.6879271070615034E-2</v>
      </c>
      <c r="P1356">
        <f t="shared" si="128"/>
        <v>1.8138983050847457</v>
      </c>
      <c r="Q1356" s="2">
        <f t="shared" si="129"/>
        <v>8.918333333333333</v>
      </c>
      <c r="R1356" s="2">
        <f t="shared" si="130"/>
        <v>26.754999999999999</v>
      </c>
      <c r="S1356" s="2">
        <f t="shared" si="131"/>
        <v>5.0037376191366105</v>
      </c>
    </row>
    <row r="1357" spans="1:19" hidden="1">
      <c r="A1357" t="s">
        <v>1410</v>
      </c>
      <c r="B1357" t="s">
        <v>30</v>
      </c>
      <c r="C1357">
        <v>82</v>
      </c>
      <c r="D1357">
        <v>3698</v>
      </c>
      <c r="E1357" s="2">
        <v>229.12</v>
      </c>
      <c r="F1357">
        <v>30</v>
      </c>
      <c r="G1357">
        <v>9</v>
      </c>
      <c r="H1357">
        <v>0.11</v>
      </c>
      <c r="I1357" s="3">
        <v>1246</v>
      </c>
      <c r="J1357" s="1">
        <v>45616</v>
      </c>
      <c r="K1357" t="s">
        <v>31</v>
      </c>
      <c r="L1357" t="s">
        <v>8</v>
      </c>
      <c r="M1357" t="s">
        <v>32</v>
      </c>
      <c r="N1357" s="1">
        <f t="shared" si="126"/>
        <v>45616</v>
      </c>
      <c r="O1357" s="4">
        <f t="shared" si="127"/>
        <v>2.2174148188209845E-2</v>
      </c>
      <c r="P1357">
        <f t="shared" si="128"/>
        <v>2.7941463414634149</v>
      </c>
      <c r="Q1357" s="2">
        <f t="shared" si="129"/>
        <v>7.6373333333333333</v>
      </c>
      <c r="R1357" s="2">
        <f t="shared" si="130"/>
        <v>25.457777777777778</v>
      </c>
      <c r="S1357" s="2">
        <f t="shared" si="131"/>
        <v>5.4381983240223466</v>
      </c>
    </row>
    <row r="1358" spans="1:19">
      <c r="A1358" t="s">
        <v>1411</v>
      </c>
      <c r="B1358" t="s">
        <v>30</v>
      </c>
      <c r="C1358">
        <v>175</v>
      </c>
      <c r="D1358">
        <v>4295</v>
      </c>
      <c r="E1358" s="2">
        <v>195.17</v>
      </c>
      <c r="F1358">
        <v>18</v>
      </c>
      <c r="G1358">
        <v>6</v>
      </c>
      <c r="H1358">
        <v>4.5999999999999999E-2</v>
      </c>
      <c r="I1358" s="3">
        <v>1939</v>
      </c>
      <c r="J1358" s="1" t="s">
        <v>115</v>
      </c>
      <c r="K1358" t="s">
        <v>31</v>
      </c>
      <c r="L1358" t="s">
        <v>9</v>
      </c>
      <c r="M1358" t="s">
        <v>37</v>
      </c>
      <c r="N1358" s="1">
        <f t="shared" si="126"/>
        <v>45623</v>
      </c>
      <c r="O1358" s="4">
        <f t="shared" si="127"/>
        <v>4.0745052386495922E-2</v>
      </c>
      <c r="P1358">
        <f t="shared" si="128"/>
        <v>1.1152571428571427</v>
      </c>
      <c r="Q1358" s="2">
        <f t="shared" si="129"/>
        <v>10.842777777777776</v>
      </c>
      <c r="R1358" s="2">
        <f t="shared" si="130"/>
        <v>32.528333333333329</v>
      </c>
      <c r="S1358" s="2">
        <f t="shared" si="131"/>
        <v>9.9349285238510028</v>
      </c>
    </row>
    <row r="1359" spans="1:19" hidden="1">
      <c r="A1359" t="s">
        <v>1412</v>
      </c>
      <c r="B1359" t="s">
        <v>30</v>
      </c>
      <c r="C1359">
        <v>130</v>
      </c>
      <c r="D1359">
        <v>3332</v>
      </c>
      <c r="E1359" s="2">
        <v>202.06</v>
      </c>
      <c r="F1359">
        <v>14</v>
      </c>
      <c r="G1359">
        <v>5</v>
      </c>
      <c r="H1359">
        <v>3.7999999999999999E-2</v>
      </c>
      <c r="I1359" s="3">
        <v>1184</v>
      </c>
      <c r="J1359" s="1">
        <v>45610</v>
      </c>
      <c r="K1359" t="s">
        <v>31</v>
      </c>
      <c r="L1359" t="s">
        <v>7</v>
      </c>
      <c r="M1359" t="s">
        <v>41</v>
      </c>
      <c r="N1359" s="1">
        <f t="shared" si="126"/>
        <v>45610</v>
      </c>
      <c r="O1359" s="4">
        <f t="shared" si="127"/>
        <v>3.9015606242496996E-2</v>
      </c>
      <c r="P1359">
        <f t="shared" si="128"/>
        <v>1.5543076923076924</v>
      </c>
      <c r="Q1359" s="2">
        <f t="shared" si="129"/>
        <v>14.432857142857143</v>
      </c>
      <c r="R1359" s="2">
        <f t="shared" si="130"/>
        <v>40.411999999999999</v>
      </c>
      <c r="S1359" s="2">
        <f t="shared" si="131"/>
        <v>5.8596456498069882</v>
      </c>
    </row>
    <row r="1360" spans="1:19" hidden="1">
      <c r="A1360" t="s">
        <v>1413</v>
      </c>
      <c r="B1360" t="s">
        <v>30</v>
      </c>
      <c r="C1360">
        <v>92</v>
      </c>
      <c r="D1360">
        <v>4082</v>
      </c>
      <c r="E1360" s="2">
        <v>186.29</v>
      </c>
      <c r="F1360">
        <v>25</v>
      </c>
      <c r="G1360">
        <v>5</v>
      </c>
      <c r="H1360">
        <v>5.3999999999999999E-2</v>
      </c>
      <c r="I1360" s="3">
        <v>1046</v>
      </c>
      <c r="J1360" s="1">
        <v>45620</v>
      </c>
      <c r="K1360" t="s">
        <v>31</v>
      </c>
      <c r="L1360" t="s">
        <v>9</v>
      </c>
      <c r="M1360" t="s">
        <v>41</v>
      </c>
      <c r="N1360" s="1">
        <f t="shared" si="126"/>
        <v>45620</v>
      </c>
      <c r="O1360" s="4">
        <f t="shared" si="127"/>
        <v>2.2537971582557569E-2</v>
      </c>
      <c r="P1360">
        <f t="shared" si="128"/>
        <v>2.0248913043478258</v>
      </c>
      <c r="Q1360" s="2">
        <f t="shared" si="129"/>
        <v>7.4516</v>
      </c>
      <c r="R1360" s="2">
        <f t="shared" si="130"/>
        <v>37.257999999999996</v>
      </c>
      <c r="S1360" s="2">
        <f t="shared" si="131"/>
        <v>5.6149014976649312</v>
      </c>
    </row>
    <row r="1361" spans="1:19">
      <c r="A1361" t="s">
        <v>1414</v>
      </c>
      <c r="B1361" t="s">
        <v>30</v>
      </c>
      <c r="C1361">
        <v>159</v>
      </c>
      <c r="D1361">
        <v>4464</v>
      </c>
      <c r="E1361" s="2">
        <v>204.86</v>
      </c>
      <c r="F1361">
        <v>27</v>
      </c>
      <c r="G1361">
        <v>3</v>
      </c>
      <c r="H1361">
        <v>4.5999999999999999E-2</v>
      </c>
      <c r="I1361" s="3">
        <v>1963</v>
      </c>
      <c r="J1361" s="1" t="s">
        <v>34</v>
      </c>
      <c r="K1361" t="s">
        <v>31</v>
      </c>
      <c r="L1361" t="s">
        <v>9</v>
      </c>
      <c r="M1361" t="s">
        <v>46</v>
      </c>
      <c r="N1361" s="1">
        <f t="shared" si="126"/>
        <v>45616</v>
      </c>
      <c r="O1361" s="4">
        <f t="shared" si="127"/>
        <v>3.5618279569892476E-2</v>
      </c>
      <c r="P1361">
        <f t="shared" si="128"/>
        <v>1.2884276729559749</v>
      </c>
      <c r="Q1361" s="2">
        <f t="shared" si="129"/>
        <v>7.587407407407408</v>
      </c>
      <c r="R1361" s="2">
        <f t="shared" si="130"/>
        <v>68.286666666666676</v>
      </c>
      <c r="S1361" s="2">
        <f t="shared" si="131"/>
        <v>9.5821536659181881</v>
      </c>
    </row>
    <row r="1362" spans="1:19" hidden="1">
      <c r="A1362" t="s">
        <v>1415</v>
      </c>
      <c r="B1362" t="s">
        <v>30</v>
      </c>
      <c r="C1362">
        <v>193</v>
      </c>
      <c r="D1362">
        <v>5263</v>
      </c>
      <c r="E1362" s="2">
        <v>240.5</v>
      </c>
      <c r="F1362">
        <v>18</v>
      </c>
      <c r="G1362">
        <v>6</v>
      </c>
      <c r="H1362">
        <v>5.3999999999999999E-2</v>
      </c>
      <c r="I1362" s="3">
        <v>1670</v>
      </c>
      <c r="J1362" s="1">
        <v>45617</v>
      </c>
      <c r="K1362" t="s">
        <v>31</v>
      </c>
      <c r="L1362" t="s">
        <v>9</v>
      </c>
      <c r="M1362" t="s">
        <v>41</v>
      </c>
      <c r="N1362" s="1">
        <f t="shared" si="126"/>
        <v>45617</v>
      </c>
      <c r="O1362" s="4">
        <f t="shared" si="127"/>
        <v>3.6671100133003988E-2</v>
      </c>
      <c r="P1362">
        <f t="shared" si="128"/>
        <v>1.2461139896373057</v>
      </c>
      <c r="Q1362" s="2">
        <f t="shared" si="129"/>
        <v>13.361111111111111</v>
      </c>
      <c r="R1362" s="2">
        <f t="shared" si="130"/>
        <v>40.083333333333336</v>
      </c>
      <c r="S1362" s="2">
        <f t="shared" si="131"/>
        <v>6.9438669438669436</v>
      </c>
    </row>
    <row r="1363" spans="1:19" hidden="1">
      <c r="A1363" t="s">
        <v>1416</v>
      </c>
      <c r="B1363" t="s">
        <v>30</v>
      </c>
      <c r="C1363">
        <v>98</v>
      </c>
      <c r="D1363">
        <v>4371</v>
      </c>
      <c r="E1363" s="2">
        <v>246.23</v>
      </c>
      <c r="F1363">
        <v>25</v>
      </c>
      <c r="G1363">
        <v>7</v>
      </c>
      <c r="H1363">
        <v>7.0999999999999994E-2</v>
      </c>
      <c r="I1363" s="3">
        <v>1114</v>
      </c>
      <c r="J1363" s="1">
        <v>45610</v>
      </c>
      <c r="K1363" t="s">
        <v>31</v>
      </c>
      <c r="L1363" t="s">
        <v>9</v>
      </c>
      <c r="M1363" t="s">
        <v>46</v>
      </c>
      <c r="N1363" s="1">
        <f t="shared" si="126"/>
        <v>45610</v>
      </c>
      <c r="O1363" s="4">
        <f t="shared" si="127"/>
        <v>2.2420498741706704E-2</v>
      </c>
      <c r="P1363">
        <f t="shared" si="128"/>
        <v>2.5125510204081634</v>
      </c>
      <c r="Q1363" s="2">
        <f t="shared" si="129"/>
        <v>9.8491999999999997</v>
      </c>
      <c r="R1363" s="2">
        <f t="shared" si="130"/>
        <v>35.175714285714285</v>
      </c>
      <c r="S1363" s="2">
        <f t="shared" si="131"/>
        <v>4.5242253177923084</v>
      </c>
    </row>
    <row r="1364" spans="1:19" hidden="1">
      <c r="A1364" t="s">
        <v>1417</v>
      </c>
      <c r="B1364" t="s">
        <v>30</v>
      </c>
      <c r="C1364">
        <v>176</v>
      </c>
      <c r="D1364">
        <v>3657</v>
      </c>
      <c r="E1364" s="2">
        <v>209.44</v>
      </c>
      <c r="F1364">
        <v>19</v>
      </c>
      <c r="G1364">
        <v>3</v>
      </c>
      <c r="H1364">
        <v>1.7000000000000001E-2</v>
      </c>
      <c r="I1364" s="3">
        <v>1171</v>
      </c>
      <c r="J1364" s="1">
        <v>45603</v>
      </c>
      <c r="K1364" t="s">
        <v>31</v>
      </c>
      <c r="L1364" t="s">
        <v>7</v>
      </c>
      <c r="M1364" t="s">
        <v>41</v>
      </c>
      <c r="N1364" s="1">
        <f t="shared" si="126"/>
        <v>45603</v>
      </c>
      <c r="O1364" s="4">
        <f t="shared" si="127"/>
        <v>4.8126879956248293E-2</v>
      </c>
      <c r="P1364">
        <f t="shared" si="128"/>
        <v>1.19</v>
      </c>
      <c r="Q1364" s="2">
        <f t="shared" si="129"/>
        <v>11.023157894736842</v>
      </c>
      <c r="R1364" s="2">
        <f t="shared" si="130"/>
        <v>69.813333333333333</v>
      </c>
      <c r="S1364" s="2">
        <f t="shared" si="131"/>
        <v>5.591100076394194</v>
      </c>
    </row>
    <row r="1365" spans="1:19" hidden="1">
      <c r="A1365" t="s">
        <v>1418</v>
      </c>
      <c r="B1365" t="s">
        <v>30</v>
      </c>
      <c r="C1365">
        <v>182</v>
      </c>
      <c r="D1365">
        <v>5833</v>
      </c>
      <c r="E1365" s="2">
        <v>243.72</v>
      </c>
      <c r="F1365">
        <v>20</v>
      </c>
      <c r="G1365">
        <v>5</v>
      </c>
      <c r="H1365">
        <v>2.7E-2</v>
      </c>
      <c r="I1365" s="3">
        <v>1206</v>
      </c>
      <c r="J1365" s="1" t="s">
        <v>50</v>
      </c>
      <c r="K1365" t="s">
        <v>31</v>
      </c>
      <c r="L1365" t="s">
        <v>7</v>
      </c>
      <c r="M1365" t="s">
        <v>35</v>
      </c>
      <c r="N1365" s="1">
        <f t="shared" si="126"/>
        <v>45610</v>
      </c>
      <c r="O1365" s="4">
        <f t="shared" si="127"/>
        <v>3.1201782959026231E-2</v>
      </c>
      <c r="P1365">
        <f t="shared" si="128"/>
        <v>1.3391208791208791</v>
      </c>
      <c r="Q1365" s="2">
        <f t="shared" si="129"/>
        <v>12.186</v>
      </c>
      <c r="R1365" s="2">
        <f t="shared" si="130"/>
        <v>48.744</v>
      </c>
      <c r="S1365" s="2">
        <f t="shared" si="131"/>
        <v>4.9483013293943872</v>
      </c>
    </row>
    <row r="1366" spans="1:19" hidden="1">
      <c r="A1366" t="s">
        <v>1419</v>
      </c>
      <c r="B1366" t="s">
        <v>30</v>
      </c>
      <c r="C1366">
        <v>85</v>
      </c>
      <c r="D1366">
        <v>3077</v>
      </c>
      <c r="E1366" s="2">
        <v>200.16</v>
      </c>
      <c r="F1366">
        <v>11</v>
      </c>
      <c r="G1366">
        <v>10</v>
      </c>
      <c r="H1366">
        <v>0.11799999999999999</v>
      </c>
      <c r="I1366" s="3">
        <v>1876</v>
      </c>
      <c r="J1366" s="1">
        <v>45619</v>
      </c>
      <c r="K1366" t="s">
        <v>31</v>
      </c>
      <c r="L1366" t="s">
        <v>8</v>
      </c>
      <c r="M1366" t="s">
        <v>46</v>
      </c>
      <c r="N1366" s="1">
        <f t="shared" si="126"/>
        <v>45619</v>
      </c>
      <c r="O1366" s="4">
        <f t="shared" si="127"/>
        <v>2.7624309392265192E-2</v>
      </c>
      <c r="P1366">
        <f t="shared" si="128"/>
        <v>2.3548235294117648</v>
      </c>
      <c r="Q1366" s="2">
        <f t="shared" si="129"/>
        <v>18.196363636363635</v>
      </c>
      <c r="R1366" s="2">
        <f t="shared" si="130"/>
        <v>20.015999999999998</v>
      </c>
      <c r="S1366" s="2">
        <f t="shared" si="131"/>
        <v>9.3725019984012796</v>
      </c>
    </row>
    <row r="1367" spans="1:19" hidden="1">
      <c r="A1367" t="s">
        <v>1420</v>
      </c>
      <c r="B1367" t="s">
        <v>30</v>
      </c>
      <c r="C1367">
        <v>98</v>
      </c>
      <c r="D1367">
        <v>3646</v>
      </c>
      <c r="E1367" s="2">
        <v>239.05</v>
      </c>
      <c r="F1367">
        <v>14</v>
      </c>
      <c r="G1367">
        <v>6</v>
      </c>
      <c r="H1367">
        <v>3.4000000000000002E-2</v>
      </c>
      <c r="I1367" s="3">
        <v>1586</v>
      </c>
      <c r="J1367" s="1" t="s">
        <v>50</v>
      </c>
      <c r="K1367" t="s">
        <v>31</v>
      </c>
      <c r="L1367" t="s">
        <v>7</v>
      </c>
      <c r="M1367" t="s">
        <v>35</v>
      </c>
      <c r="N1367" s="1">
        <f t="shared" si="126"/>
        <v>45610</v>
      </c>
      <c r="O1367" s="4">
        <f t="shared" si="127"/>
        <v>2.6878771256171146E-2</v>
      </c>
      <c r="P1367">
        <f t="shared" si="128"/>
        <v>2.4392857142857145</v>
      </c>
      <c r="Q1367" s="2">
        <f t="shared" si="129"/>
        <v>17.074999999999999</v>
      </c>
      <c r="R1367" s="2">
        <f t="shared" si="130"/>
        <v>39.841666666666669</v>
      </c>
      <c r="S1367" s="2">
        <f t="shared" si="131"/>
        <v>6.6345952729554485</v>
      </c>
    </row>
    <row r="1368" spans="1:19" hidden="1">
      <c r="A1368" t="s">
        <v>1421</v>
      </c>
      <c r="B1368" t="s">
        <v>30</v>
      </c>
      <c r="C1368">
        <v>160</v>
      </c>
      <c r="D1368">
        <v>3139</v>
      </c>
      <c r="E1368" s="2">
        <v>230.55</v>
      </c>
      <c r="F1368">
        <v>28</v>
      </c>
      <c r="G1368">
        <v>5</v>
      </c>
      <c r="H1368">
        <v>3.1E-2</v>
      </c>
      <c r="I1368" s="3">
        <v>1449</v>
      </c>
      <c r="J1368" s="1" t="s">
        <v>89</v>
      </c>
      <c r="K1368" t="s">
        <v>31</v>
      </c>
      <c r="L1368" t="s">
        <v>7</v>
      </c>
      <c r="M1368" t="s">
        <v>46</v>
      </c>
      <c r="N1368" s="1">
        <f t="shared" si="126"/>
        <v>45611</v>
      </c>
      <c r="O1368" s="4">
        <f t="shared" si="127"/>
        <v>5.097164702134438E-2</v>
      </c>
      <c r="P1368">
        <f t="shared" si="128"/>
        <v>1.4409375</v>
      </c>
      <c r="Q1368" s="2">
        <f t="shared" si="129"/>
        <v>8.2339285714285726</v>
      </c>
      <c r="R1368" s="2">
        <f t="shared" si="130"/>
        <v>46.11</v>
      </c>
      <c r="S1368" s="2">
        <f t="shared" si="131"/>
        <v>6.2849707221860767</v>
      </c>
    </row>
    <row r="1369" spans="1:19" hidden="1">
      <c r="A1369" t="s">
        <v>1422</v>
      </c>
      <c r="B1369" t="s">
        <v>30</v>
      </c>
      <c r="C1369">
        <v>179</v>
      </c>
      <c r="D1369">
        <v>4005</v>
      </c>
      <c r="E1369" s="2">
        <v>232.47</v>
      </c>
      <c r="F1369">
        <v>16</v>
      </c>
      <c r="G1369">
        <v>10</v>
      </c>
      <c r="H1369">
        <v>5.6000000000000001E-2</v>
      </c>
      <c r="I1369" s="3">
        <v>1553</v>
      </c>
      <c r="J1369" s="1">
        <v>45620</v>
      </c>
      <c r="K1369" t="s">
        <v>31</v>
      </c>
      <c r="L1369" t="s">
        <v>7</v>
      </c>
      <c r="M1369" t="s">
        <v>46</v>
      </c>
      <c r="N1369" s="1">
        <f t="shared" si="126"/>
        <v>45620</v>
      </c>
      <c r="O1369" s="4">
        <f t="shared" si="127"/>
        <v>4.469413233458177E-2</v>
      </c>
      <c r="P1369">
        <f t="shared" si="128"/>
        <v>1.2987150837988828</v>
      </c>
      <c r="Q1369" s="2">
        <f t="shared" si="129"/>
        <v>14.529375</v>
      </c>
      <c r="R1369" s="2">
        <f t="shared" si="130"/>
        <v>23.247</v>
      </c>
      <c r="S1369" s="2">
        <f t="shared" si="131"/>
        <v>6.6804318836839158</v>
      </c>
    </row>
    <row r="1370" spans="1:19">
      <c r="A1370" t="s">
        <v>1423</v>
      </c>
      <c r="B1370" t="s">
        <v>30</v>
      </c>
      <c r="C1370">
        <v>139</v>
      </c>
      <c r="D1370">
        <v>4315</v>
      </c>
      <c r="E1370" s="2">
        <v>196.3</v>
      </c>
      <c r="F1370">
        <v>24</v>
      </c>
      <c r="G1370">
        <v>5</v>
      </c>
      <c r="H1370">
        <v>4.5999999999999999E-2</v>
      </c>
      <c r="I1370" s="3">
        <v>1364</v>
      </c>
      <c r="J1370" s="1">
        <v>45622</v>
      </c>
      <c r="K1370" t="s">
        <v>31</v>
      </c>
      <c r="L1370" t="s">
        <v>8</v>
      </c>
      <c r="M1370" t="s">
        <v>35</v>
      </c>
      <c r="N1370" s="1">
        <f t="shared" si="126"/>
        <v>45622</v>
      </c>
      <c r="O1370" s="4">
        <f t="shared" si="127"/>
        <v>3.2213209733487833E-2</v>
      </c>
      <c r="P1370">
        <f t="shared" si="128"/>
        <v>1.4122302158273383</v>
      </c>
      <c r="Q1370" s="2">
        <f t="shared" si="129"/>
        <v>8.1791666666666671</v>
      </c>
      <c r="R1370" s="2">
        <f t="shared" si="130"/>
        <v>39.260000000000005</v>
      </c>
      <c r="S1370" s="2">
        <f t="shared" si="131"/>
        <v>6.9485481406011207</v>
      </c>
    </row>
    <row r="1371" spans="1:19">
      <c r="A1371" t="s">
        <v>1424</v>
      </c>
      <c r="B1371" t="s">
        <v>30</v>
      </c>
      <c r="C1371">
        <v>195</v>
      </c>
      <c r="D1371">
        <v>3876</v>
      </c>
      <c r="E1371" s="2">
        <v>187.59</v>
      </c>
      <c r="F1371">
        <v>28</v>
      </c>
      <c r="G1371">
        <v>3</v>
      </c>
      <c r="H1371">
        <v>4.5999999999999999E-2</v>
      </c>
      <c r="I1371" s="3">
        <v>1828</v>
      </c>
      <c r="J1371" s="1" t="s">
        <v>94</v>
      </c>
      <c r="K1371" t="s">
        <v>31</v>
      </c>
      <c r="L1371" t="s">
        <v>8</v>
      </c>
      <c r="M1371" t="s">
        <v>35</v>
      </c>
      <c r="N1371" s="1">
        <f t="shared" si="126"/>
        <v>45617</v>
      </c>
      <c r="O1371" s="4">
        <f t="shared" si="127"/>
        <v>5.0309597523219812E-2</v>
      </c>
      <c r="P1371">
        <f t="shared" si="128"/>
        <v>0.96199999999999997</v>
      </c>
      <c r="Q1371" s="2">
        <f t="shared" si="129"/>
        <v>6.699642857142857</v>
      </c>
      <c r="R1371" s="2">
        <f t="shared" si="130"/>
        <v>62.53</v>
      </c>
      <c r="S1371" s="2">
        <f t="shared" si="131"/>
        <v>9.744655898502053</v>
      </c>
    </row>
    <row r="1372" spans="1:19" hidden="1">
      <c r="A1372" t="s">
        <v>1425</v>
      </c>
      <c r="B1372" t="s">
        <v>30</v>
      </c>
      <c r="C1372">
        <v>197</v>
      </c>
      <c r="D1372">
        <v>3174</v>
      </c>
      <c r="E1372" s="2">
        <v>215.57</v>
      </c>
      <c r="F1372">
        <v>22</v>
      </c>
      <c r="G1372">
        <v>7</v>
      </c>
      <c r="H1372">
        <v>3.5999999999999997E-2</v>
      </c>
      <c r="I1372" s="3">
        <v>1527</v>
      </c>
      <c r="J1372" s="1">
        <v>45610</v>
      </c>
      <c r="K1372" t="s">
        <v>31</v>
      </c>
      <c r="L1372" t="s">
        <v>9</v>
      </c>
      <c r="M1372" t="s">
        <v>37</v>
      </c>
      <c r="N1372" s="1">
        <f t="shared" si="126"/>
        <v>45610</v>
      </c>
      <c r="O1372" s="4">
        <f t="shared" si="127"/>
        <v>6.2066792690611217E-2</v>
      </c>
      <c r="P1372">
        <f t="shared" si="128"/>
        <v>1.094263959390863</v>
      </c>
      <c r="Q1372" s="2">
        <f t="shared" si="129"/>
        <v>9.7986363636363638</v>
      </c>
      <c r="R1372" s="2">
        <f t="shared" si="130"/>
        <v>30.795714285714286</v>
      </c>
      <c r="S1372" s="2">
        <f t="shared" si="131"/>
        <v>7.0835459479519418</v>
      </c>
    </row>
    <row r="1373" spans="1:19" hidden="1">
      <c r="A1373" t="s">
        <v>1426</v>
      </c>
      <c r="B1373" t="s">
        <v>30</v>
      </c>
      <c r="C1373">
        <v>92</v>
      </c>
      <c r="D1373">
        <v>5550</v>
      </c>
      <c r="E1373" s="2">
        <v>226.38</v>
      </c>
      <c r="F1373">
        <v>28</v>
      </c>
      <c r="G1373">
        <v>8</v>
      </c>
      <c r="H1373">
        <v>8.6999999999999994E-2</v>
      </c>
      <c r="I1373" s="3">
        <v>1322</v>
      </c>
      <c r="J1373" s="1" t="s">
        <v>94</v>
      </c>
      <c r="K1373" t="s">
        <v>31</v>
      </c>
      <c r="L1373" t="s">
        <v>9</v>
      </c>
      <c r="M1373" t="s">
        <v>32</v>
      </c>
      <c r="N1373" s="1">
        <f t="shared" si="126"/>
        <v>45617</v>
      </c>
      <c r="O1373" s="4">
        <f t="shared" si="127"/>
        <v>1.6576576576576577E-2</v>
      </c>
      <c r="P1373">
        <f t="shared" si="128"/>
        <v>2.4606521739130436</v>
      </c>
      <c r="Q1373" s="2">
        <f t="shared" si="129"/>
        <v>8.0849999999999991</v>
      </c>
      <c r="R1373" s="2">
        <f t="shared" si="130"/>
        <v>28.297499999999999</v>
      </c>
      <c r="S1373" s="2">
        <f t="shared" si="131"/>
        <v>5.8397384927997171</v>
      </c>
    </row>
    <row r="1374" spans="1:19" hidden="1">
      <c r="A1374" t="s">
        <v>1427</v>
      </c>
      <c r="B1374" t="s">
        <v>30</v>
      </c>
      <c r="C1374">
        <v>90</v>
      </c>
      <c r="D1374">
        <v>3526</v>
      </c>
      <c r="E1374" s="2">
        <v>211.39</v>
      </c>
      <c r="F1374">
        <v>10</v>
      </c>
      <c r="G1374">
        <v>3</v>
      </c>
      <c r="H1374">
        <v>3.6999999999999998E-2</v>
      </c>
      <c r="I1374" s="3">
        <v>1395</v>
      </c>
      <c r="J1374" s="1">
        <v>45616</v>
      </c>
      <c r="K1374" t="s">
        <v>31</v>
      </c>
      <c r="L1374" t="s">
        <v>7</v>
      </c>
      <c r="M1374" t="s">
        <v>41</v>
      </c>
      <c r="N1374" s="1">
        <f t="shared" si="126"/>
        <v>45616</v>
      </c>
      <c r="O1374" s="4">
        <f t="shared" si="127"/>
        <v>2.5524673851389675E-2</v>
      </c>
      <c r="P1374">
        <f t="shared" si="128"/>
        <v>2.3487777777777774</v>
      </c>
      <c r="Q1374" s="2">
        <f t="shared" si="129"/>
        <v>21.138999999999999</v>
      </c>
      <c r="R1374" s="2">
        <f t="shared" si="130"/>
        <v>70.463333333333324</v>
      </c>
      <c r="S1374" s="2">
        <f t="shared" si="131"/>
        <v>6.5991768768626713</v>
      </c>
    </row>
    <row r="1375" spans="1:19" hidden="1">
      <c r="A1375" t="s">
        <v>1428</v>
      </c>
      <c r="B1375" t="s">
        <v>30</v>
      </c>
      <c r="C1375">
        <v>149</v>
      </c>
      <c r="D1375">
        <v>3192</v>
      </c>
      <c r="E1375" s="2">
        <v>215.57</v>
      </c>
      <c r="F1375">
        <v>20</v>
      </c>
      <c r="G1375">
        <v>4</v>
      </c>
      <c r="H1375">
        <v>3.7999999999999999E-2</v>
      </c>
      <c r="I1375" s="3">
        <v>1708</v>
      </c>
      <c r="J1375" s="1">
        <v>45610</v>
      </c>
      <c r="K1375" t="s">
        <v>31</v>
      </c>
      <c r="L1375" t="s">
        <v>9</v>
      </c>
      <c r="M1375" t="s">
        <v>41</v>
      </c>
      <c r="N1375" s="1">
        <f t="shared" si="126"/>
        <v>45610</v>
      </c>
      <c r="O1375" s="4">
        <f t="shared" si="127"/>
        <v>4.6679197994987466E-2</v>
      </c>
      <c r="P1375">
        <f t="shared" si="128"/>
        <v>1.4467785234899329</v>
      </c>
      <c r="Q1375" s="2">
        <f t="shared" si="129"/>
        <v>10.778499999999999</v>
      </c>
      <c r="R1375" s="2">
        <f t="shared" si="130"/>
        <v>53.892499999999998</v>
      </c>
      <c r="S1375" s="2">
        <f t="shared" si="131"/>
        <v>7.9231804054367494</v>
      </c>
    </row>
    <row r="1376" spans="1:19" hidden="1">
      <c r="A1376" t="s">
        <v>1429</v>
      </c>
      <c r="B1376" t="s">
        <v>30</v>
      </c>
      <c r="C1376">
        <v>82</v>
      </c>
      <c r="D1376">
        <v>4132</v>
      </c>
      <c r="E1376" s="2">
        <v>247.13</v>
      </c>
      <c r="F1376">
        <v>11</v>
      </c>
      <c r="G1376">
        <v>6</v>
      </c>
      <c r="H1376">
        <v>7.2999999999999995E-2</v>
      </c>
      <c r="I1376" s="3">
        <v>1091</v>
      </c>
      <c r="J1376" s="1">
        <v>45608</v>
      </c>
      <c r="K1376" t="s">
        <v>31</v>
      </c>
      <c r="L1376" t="s">
        <v>9</v>
      </c>
      <c r="M1376" t="s">
        <v>39</v>
      </c>
      <c r="N1376" s="1">
        <f t="shared" si="126"/>
        <v>45608</v>
      </c>
      <c r="O1376" s="4">
        <f t="shared" si="127"/>
        <v>1.9845111326234271E-2</v>
      </c>
      <c r="P1376">
        <f t="shared" si="128"/>
        <v>3.0137804878048779</v>
      </c>
      <c r="Q1376" s="2">
        <f t="shared" si="129"/>
        <v>22.466363636363635</v>
      </c>
      <c r="R1376" s="2">
        <f t="shared" si="130"/>
        <v>41.188333333333333</v>
      </c>
      <c r="S1376" s="2">
        <f t="shared" si="131"/>
        <v>4.4146805325132519</v>
      </c>
    </row>
    <row r="1377" spans="1:19" hidden="1">
      <c r="A1377" t="s">
        <v>1430</v>
      </c>
      <c r="B1377" t="s">
        <v>30</v>
      </c>
      <c r="C1377">
        <v>151</v>
      </c>
      <c r="D1377">
        <v>5826</v>
      </c>
      <c r="E1377" s="2">
        <v>226.53</v>
      </c>
      <c r="F1377">
        <v>16</v>
      </c>
      <c r="G1377">
        <v>8</v>
      </c>
      <c r="H1377">
        <v>5.2999999999999999E-2</v>
      </c>
      <c r="I1377" s="3">
        <v>1511</v>
      </c>
      <c r="J1377" s="1">
        <v>45621</v>
      </c>
      <c r="K1377" t="s">
        <v>31</v>
      </c>
      <c r="L1377" t="s">
        <v>7</v>
      </c>
      <c r="M1377" t="s">
        <v>32</v>
      </c>
      <c r="N1377" s="1">
        <f t="shared" si="126"/>
        <v>45621</v>
      </c>
      <c r="O1377" s="4">
        <f t="shared" si="127"/>
        <v>2.5918297288019223E-2</v>
      </c>
      <c r="P1377">
        <f t="shared" si="128"/>
        <v>1.5001986754966887</v>
      </c>
      <c r="Q1377" s="2">
        <f t="shared" si="129"/>
        <v>14.158125</v>
      </c>
      <c r="R1377" s="2">
        <f t="shared" si="130"/>
        <v>28.31625</v>
      </c>
      <c r="S1377" s="2">
        <f t="shared" si="131"/>
        <v>6.6701982077429038</v>
      </c>
    </row>
    <row r="1378" spans="1:19" hidden="1">
      <c r="A1378" t="s">
        <v>1431</v>
      </c>
      <c r="B1378" t="s">
        <v>30</v>
      </c>
      <c r="C1378">
        <v>162</v>
      </c>
      <c r="D1378">
        <v>5997</v>
      </c>
      <c r="E1378" s="2">
        <v>240.29</v>
      </c>
      <c r="F1378">
        <v>20</v>
      </c>
      <c r="G1378">
        <v>5</v>
      </c>
      <c r="H1378">
        <v>3.5000000000000003E-2</v>
      </c>
      <c r="I1378" s="3">
        <v>1144</v>
      </c>
      <c r="J1378" s="1" t="s">
        <v>167</v>
      </c>
      <c r="K1378" t="s">
        <v>31</v>
      </c>
      <c r="L1378" t="s">
        <v>8</v>
      </c>
      <c r="M1378" t="s">
        <v>37</v>
      </c>
      <c r="N1378" s="1">
        <f t="shared" si="126"/>
        <v>45620</v>
      </c>
      <c r="O1378" s="4">
        <f t="shared" si="127"/>
        <v>2.7013506753376687E-2</v>
      </c>
      <c r="P1378">
        <f t="shared" si="128"/>
        <v>1.4832716049382715</v>
      </c>
      <c r="Q1378" s="2">
        <f t="shared" si="129"/>
        <v>12.0145</v>
      </c>
      <c r="R1378" s="2">
        <f t="shared" si="130"/>
        <v>48.058</v>
      </c>
      <c r="S1378" s="2">
        <f t="shared" si="131"/>
        <v>4.7609138957093515</v>
      </c>
    </row>
    <row r="1379" spans="1:19" hidden="1">
      <c r="A1379" t="s">
        <v>1432</v>
      </c>
      <c r="B1379" t="s">
        <v>30</v>
      </c>
      <c r="C1379">
        <v>197</v>
      </c>
      <c r="D1379">
        <v>4541</v>
      </c>
      <c r="E1379" s="2">
        <v>243.81</v>
      </c>
      <c r="F1379">
        <v>19</v>
      </c>
      <c r="G1379">
        <v>9</v>
      </c>
      <c r="H1379">
        <v>5.7000000000000002E-2</v>
      </c>
      <c r="I1379" s="3">
        <v>1701</v>
      </c>
      <c r="J1379" s="1">
        <v>45607</v>
      </c>
      <c r="K1379" t="s">
        <v>31</v>
      </c>
      <c r="L1379" t="s">
        <v>7</v>
      </c>
      <c r="M1379" t="s">
        <v>39</v>
      </c>
      <c r="N1379" s="1">
        <f t="shared" si="126"/>
        <v>45607</v>
      </c>
      <c r="O1379" s="4">
        <f t="shared" si="127"/>
        <v>4.3382514864567276E-2</v>
      </c>
      <c r="P1379">
        <f t="shared" si="128"/>
        <v>1.2376142131979695</v>
      </c>
      <c r="Q1379" s="2">
        <f t="shared" si="129"/>
        <v>12.832105263157894</v>
      </c>
      <c r="R1379" s="2">
        <f t="shared" si="130"/>
        <v>27.09</v>
      </c>
      <c r="S1379" s="2">
        <f t="shared" si="131"/>
        <v>6.9767441860465116</v>
      </c>
    </row>
    <row r="1380" spans="1:19" hidden="1">
      <c r="A1380" t="s">
        <v>1433</v>
      </c>
      <c r="B1380" t="s">
        <v>30</v>
      </c>
      <c r="C1380">
        <v>133</v>
      </c>
      <c r="D1380">
        <v>4642</v>
      </c>
      <c r="E1380" s="2">
        <v>184.52</v>
      </c>
      <c r="F1380">
        <v>22</v>
      </c>
      <c r="G1380">
        <v>4</v>
      </c>
      <c r="H1380">
        <v>3.2000000000000001E-2</v>
      </c>
      <c r="I1380" s="3">
        <v>1074</v>
      </c>
      <c r="J1380" s="1">
        <v>45610</v>
      </c>
      <c r="K1380" t="s">
        <v>31</v>
      </c>
      <c r="L1380" t="s">
        <v>7</v>
      </c>
      <c r="M1380" t="s">
        <v>41</v>
      </c>
      <c r="N1380" s="1">
        <f t="shared" si="126"/>
        <v>45610</v>
      </c>
      <c r="O1380" s="4">
        <f t="shared" si="127"/>
        <v>2.8651443343386471E-2</v>
      </c>
      <c r="P1380">
        <f t="shared" si="128"/>
        <v>1.3873684210526316</v>
      </c>
      <c r="Q1380" s="2">
        <f t="shared" si="129"/>
        <v>8.3872727272727285</v>
      </c>
      <c r="R1380" s="2">
        <f t="shared" si="130"/>
        <v>46.13</v>
      </c>
      <c r="S1380" s="2">
        <f t="shared" si="131"/>
        <v>5.8205072620854104</v>
      </c>
    </row>
    <row r="1381" spans="1:19">
      <c r="A1381" t="s">
        <v>1434</v>
      </c>
      <c r="B1381" t="s">
        <v>30</v>
      </c>
      <c r="C1381">
        <v>194</v>
      </c>
      <c r="D1381">
        <v>5509</v>
      </c>
      <c r="E1381" s="2">
        <v>235.45</v>
      </c>
      <c r="F1381">
        <v>18</v>
      </c>
      <c r="G1381">
        <v>5</v>
      </c>
      <c r="H1381">
        <v>4.5999999999999999E-2</v>
      </c>
      <c r="I1381" s="3">
        <v>1025</v>
      </c>
      <c r="J1381" s="1">
        <v>45608</v>
      </c>
      <c r="K1381" t="s">
        <v>31</v>
      </c>
      <c r="L1381" t="s">
        <v>9</v>
      </c>
      <c r="M1381" t="s">
        <v>41</v>
      </c>
      <c r="N1381" s="1">
        <f t="shared" si="126"/>
        <v>45608</v>
      </c>
      <c r="O1381" s="4">
        <f t="shared" si="127"/>
        <v>3.5215102559448173E-2</v>
      </c>
      <c r="P1381">
        <f t="shared" si="128"/>
        <v>1.2136597938144329</v>
      </c>
      <c r="Q1381" s="2">
        <f t="shared" si="129"/>
        <v>13.080555555555556</v>
      </c>
      <c r="R1381" s="2">
        <f t="shared" si="130"/>
        <v>47.089999999999996</v>
      </c>
      <c r="S1381" s="2">
        <f t="shared" si="131"/>
        <v>4.3533658950945</v>
      </c>
    </row>
    <row r="1382" spans="1:19" hidden="1">
      <c r="A1382" t="s">
        <v>1435</v>
      </c>
      <c r="B1382" t="s">
        <v>30</v>
      </c>
      <c r="C1382">
        <v>169</v>
      </c>
      <c r="D1382">
        <v>3647</v>
      </c>
      <c r="E1382" s="2">
        <v>194.12</v>
      </c>
      <c r="F1382">
        <v>12</v>
      </c>
      <c r="G1382">
        <v>6</v>
      </c>
      <c r="H1382">
        <v>3.5999999999999997E-2</v>
      </c>
      <c r="I1382" s="3">
        <v>1697</v>
      </c>
      <c r="J1382" s="1">
        <v>45618</v>
      </c>
      <c r="K1382" t="s">
        <v>31</v>
      </c>
      <c r="L1382" t="s">
        <v>7</v>
      </c>
      <c r="M1382" t="s">
        <v>32</v>
      </c>
      <c r="N1382" s="1">
        <f t="shared" si="126"/>
        <v>45618</v>
      </c>
      <c r="O1382" s="4">
        <f t="shared" si="127"/>
        <v>4.6339457088017545E-2</v>
      </c>
      <c r="P1382">
        <f t="shared" si="128"/>
        <v>1.1486390532544379</v>
      </c>
      <c r="Q1382" s="2">
        <f t="shared" si="129"/>
        <v>16.176666666666666</v>
      </c>
      <c r="R1382" s="2">
        <f t="shared" si="130"/>
        <v>32.353333333333332</v>
      </c>
      <c r="S1382" s="2">
        <f t="shared" si="131"/>
        <v>8.7420152483000209</v>
      </c>
    </row>
    <row r="1383" spans="1:19">
      <c r="A1383" t="s">
        <v>1436</v>
      </c>
      <c r="B1383" t="s">
        <v>30</v>
      </c>
      <c r="C1383">
        <v>149</v>
      </c>
      <c r="D1383">
        <v>5209</v>
      </c>
      <c r="E1383" s="2">
        <v>183.91</v>
      </c>
      <c r="F1383">
        <v>18</v>
      </c>
      <c r="G1383">
        <v>10</v>
      </c>
      <c r="H1383">
        <v>4.5999999999999999E-2</v>
      </c>
      <c r="I1383" s="3">
        <v>1799</v>
      </c>
      <c r="J1383" s="1" t="s">
        <v>86</v>
      </c>
      <c r="K1383" t="s">
        <v>31</v>
      </c>
      <c r="L1383" t="s">
        <v>7</v>
      </c>
      <c r="M1383" t="s">
        <v>32</v>
      </c>
      <c r="N1383" s="1">
        <f t="shared" si="126"/>
        <v>45625</v>
      </c>
      <c r="O1383" s="4">
        <f t="shared" si="127"/>
        <v>2.8604338644653483E-2</v>
      </c>
      <c r="P1383">
        <f t="shared" si="128"/>
        <v>1.2342953020134229</v>
      </c>
      <c r="Q1383" s="2">
        <f t="shared" si="129"/>
        <v>10.217222222222222</v>
      </c>
      <c r="R1383" s="2">
        <f t="shared" si="130"/>
        <v>18.390999999999998</v>
      </c>
      <c r="S1383" s="2">
        <f t="shared" si="131"/>
        <v>9.7819585666902285</v>
      </c>
    </row>
    <row r="1384" spans="1:19" hidden="1">
      <c r="A1384" t="s">
        <v>1437</v>
      </c>
      <c r="B1384" t="s">
        <v>30</v>
      </c>
      <c r="C1384">
        <v>124</v>
      </c>
      <c r="D1384">
        <v>5980</v>
      </c>
      <c r="E1384" s="2">
        <v>200.65</v>
      </c>
      <c r="F1384">
        <v>25</v>
      </c>
      <c r="G1384">
        <v>4</v>
      </c>
      <c r="H1384">
        <v>3.2000000000000001E-2</v>
      </c>
      <c r="I1384" s="3">
        <v>1768</v>
      </c>
      <c r="J1384" s="1">
        <v>45600</v>
      </c>
      <c r="K1384" t="s">
        <v>31</v>
      </c>
      <c r="L1384" t="s">
        <v>7</v>
      </c>
      <c r="M1384" t="s">
        <v>32</v>
      </c>
      <c r="N1384" s="1">
        <f t="shared" si="126"/>
        <v>45600</v>
      </c>
      <c r="O1384" s="4">
        <f t="shared" si="127"/>
        <v>2.0735785953177259E-2</v>
      </c>
      <c r="P1384">
        <f t="shared" si="128"/>
        <v>1.6181451612903226</v>
      </c>
      <c r="Q1384" s="2">
        <f t="shared" si="129"/>
        <v>8.0259999999999998</v>
      </c>
      <c r="R1384" s="2">
        <f t="shared" si="130"/>
        <v>50.162500000000001</v>
      </c>
      <c r="S1384" s="2">
        <f t="shared" si="131"/>
        <v>8.811363070022427</v>
      </c>
    </row>
    <row r="1385" spans="1:19">
      <c r="A1385" t="s">
        <v>1438</v>
      </c>
      <c r="B1385" t="s">
        <v>30</v>
      </c>
      <c r="C1385">
        <v>170</v>
      </c>
      <c r="D1385">
        <v>5443</v>
      </c>
      <c r="E1385" s="2">
        <v>235.99</v>
      </c>
      <c r="F1385">
        <v>23</v>
      </c>
      <c r="G1385">
        <v>5</v>
      </c>
      <c r="H1385">
        <v>4.5999999999999999E-2</v>
      </c>
      <c r="I1385" s="3">
        <v>1314</v>
      </c>
      <c r="J1385" s="1" t="s">
        <v>94</v>
      </c>
      <c r="K1385" t="s">
        <v>31</v>
      </c>
      <c r="L1385" t="s">
        <v>8</v>
      </c>
      <c r="M1385" t="s">
        <v>46</v>
      </c>
      <c r="N1385" s="1">
        <f t="shared" si="126"/>
        <v>45617</v>
      </c>
      <c r="O1385" s="4">
        <f t="shared" si="127"/>
        <v>3.1232776042623554E-2</v>
      </c>
      <c r="P1385">
        <f t="shared" si="128"/>
        <v>1.3881764705882353</v>
      </c>
      <c r="Q1385" s="2">
        <f t="shared" si="129"/>
        <v>10.260434782608696</v>
      </c>
      <c r="R1385" s="2">
        <f t="shared" si="130"/>
        <v>47.198</v>
      </c>
      <c r="S1385" s="2">
        <f t="shared" si="131"/>
        <v>5.5680325437518539</v>
      </c>
    </row>
    <row r="1386" spans="1:19" hidden="1">
      <c r="A1386" t="s">
        <v>1439</v>
      </c>
      <c r="B1386" t="s">
        <v>30</v>
      </c>
      <c r="C1386">
        <v>127</v>
      </c>
      <c r="D1386">
        <v>5326</v>
      </c>
      <c r="E1386" s="2">
        <v>226.11</v>
      </c>
      <c r="F1386">
        <v>18</v>
      </c>
      <c r="G1386">
        <v>10</v>
      </c>
      <c r="H1386">
        <v>0.04</v>
      </c>
      <c r="I1386" s="3">
        <v>1040</v>
      </c>
      <c r="J1386" s="1" t="s">
        <v>94</v>
      </c>
      <c r="K1386" t="s">
        <v>31</v>
      </c>
      <c r="L1386" t="s">
        <v>8</v>
      </c>
      <c r="M1386" t="s">
        <v>41</v>
      </c>
      <c r="N1386" s="1">
        <f t="shared" si="126"/>
        <v>45617</v>
      </c>
      <c r="O1386" s="4">
        <f t="shared" si="127"/>
        <v>2.3845287269996244E-2</v>
      </c>
      <c r="P1386">
        <f t="shared" si="128"/>
        <v>1.7803937007874018</v>
      </c>
      <c r="Q1386" s="2">
        <f t="shared" si="129"/>
        <v>12.561666666666667</v>
      </c>
      <c r="R1386" s="2">
        <f t="shared" si="130"/>
        <v>22.611000000000001</v>
      </c>
      <c r="S1386" s="2">
        <f t="shared" si="131"/>
        <v>4.599531201627526</v>
      </c>
    </row>
    <row r="1387" spans="1:19" hidden="1">
      <c r="A1387" t="s">
        <v>1440</v>
      </c>
      <c r="B1387" t="s">
        <v>30</v>
      </c>
      <c r="C1387">
        <v>114</v>
      </c>
      <c r="D1387">
        <v>5565</v>
      </c>
      <c r="E1387" s="2">
        <v>210.04</v>
      </c>
      <c r="F1387">
        <v>16</v>
      </c>
      <c r="G1387">
        <v>4</v>
      </c>
      <c r="H1387">
        <v>3.5000000000000003E-2</v>
      </c>
      <c r="I1387" s="3">
        <v>1800</v>
      </c>
      <c r="J1387" s="1">
        <v>45603</v>
      </c>
      <c r="K1387" t="s">
        <v>31</v>
      </c>
      <c r="L1387" t="s">
        <v>7</v>
      </c>
      <c r="M1387" t="s">
        <v>39</v>
      </c>
      <c r="N1387" s="1">
        <f t="shared" si="126"/>
        <v>45603</v>
      </c>
      <c r="O1387" s="4">
        <f t="shared" si="127"/>
        <v>2.0485175202156335E-2</v>
      </c>
      <c r="P1387">
        <f t="shared" si="128"/>
        <v>1.842456140350877</v>
      </c>
      <c r="Q1387" s="2">
        <f t="shared" si="129"/>
        <v>13.1275</v>
      </c>
      <c r="R1387" s="2">
        <f t="shared" si="130"/>
        <v>52.51</v>
      </c>
      <c r="S1387" s="2">
        <f t="shared" si="131"/>
        <v>8.5697962292896595</v>
      </c>
    </row>
    <row r="1388" spans="1:19" hidden="1">
      <c r="A1388" t="s">
        <v>1441</v>
      </c>
      <c r="B1388" t="s">
        <v>30</v>
      </c>
      <c r="C1388">
        <v>154</v>
      </c>
      <c r="D1388">
        <v>3312</v>
      </c>
      <c r="E1388" s="2">
        <v>203.23</v>
      </c>
      <c r="F1388">
        <v>16</v>
      </c>
      <c r="G1388">
        <v>5</v>
      </c>
      <c r="H1388">
        <v>4.2000000000000003E-2</v>
      </c>
      <c r="I1388" s="3">
        <v>1977</v>
      </c>
      <c r="J1388" s="1">
        <v>45600</v>
      </c>
      <c r="K1388" t="s">
        <v>31</v>
      </c>
      <c r="L1388" t="s">
        <v>7</v>
      </c>
      <c r="M1388" t="s">
        <v>39</v>
      </c>
      <c r="N1388" s="1">
        <f t="shared" si="126"/>
        <v>45600</v>
      </c>
      <c r="O1388" s="4">
        <f t="shared" si="127"/>
        <v>4.64975845410628E-2</v>
      </c>
      <c r="P1388">
        <f t="shared" si="128"/>
        <v>1.3196753246753246</v>
      </c>
      <c r="Q1388" s="2">
        <f t="shared" si="129"/>
        <v>12.701874999999999</v>
      </c>
      <c r="R1388" s="2">
        <f t="shared" si="130"/>
        <v>40.646000000000001</v>
      </c>
      <c r="S1388" s="2">
        <f t="shared" si="131"/>
        <v>9.7278945037642082</v>
      </c>
    </row>
    <row r="1389" spans="1:19">
      <c r="A1389" t="s">
        <v>1442</v>
      </c>
      <c r="B1389" t="s">
        <v>30</v>
      </c>
      <c r="C1389">
        <v>139</v>
      </c>
      <c r="D1389">
        <v>4369</v>
      </c>
      <c r="E1389" s="2">
        <v>225.53</v>
      </c>
      <c r="F1389">
        <v>28</v>
      </c>
      <c r="G1389">
        <v>4</v>
      </c>
      <c r="H1389">
        <v>4.5999999999999999E-2</v>
      </c>
      <c r="I1389" s="3">
        <v>1241</v>
      </c>
      <c r="J1389" s="1">
        <v>45619</v>
      </c>
      <c r="K1389" t="s">
        <v>31</v>
      </c>
      <c r="L1389" t="s">
        <v>9</v>
      </c>
      <c r="M1389" t="s">
        <v>37</v>
      </c>
      <c r="N1389" s="1">
        <f t="shared" si="126"/>
        <v>45619</v>
      </c>
      <c r="O1389" s="4">
        <f t="shared" si="127"/>
        <v>3.1815060654612037E-2</v>
      </c>
      <c r="P1389">
        <f t="shared" si="128"/>
        <v>1.6225179856115108</v>
      </c>
      <c r="Q1389" s="2">
        <f t="shared" si="129"/>
        <v>8.0546428571428574</v>
      </c>
      <c r="R1389" s="2">
        <f t="shared" si="130"/>
        <v>56.3825</v>
      </c>
      <c r="S1389" s="2">
        <f t="shared" si="131"/>
        <v>5.5025938899481224</v>
      </c>
    </row>
    <row r="1390" spans="1:19" hidden="1">
      <c r="A1390" t="s">
        <v>1443</v>
      </c>
      <c r="B1390" t="s">
        <v>30</v>
      </c>
      <c r="C1390">
        <v>126</v>
      </c>
      <c r="D1390">
        <v>3570</v>
      </c>
      <c r="E1390" s="2">
        <v>214.78</v>
      </c>
      <c r="F1390">
        <v>28</v>
      </c>
      <c r="G1390">
        <v>9</v>
      </c>
      <c r="H1390">
        <v>7.0999999999999994E-2</v>
      </c>
      <c r="I1390" s="3">
        <v>1078</v>
      </c>
      <c r="J1390" s="1">
        <v>45637</v>
      </c>
      <c r="K1390" t="s">
        <v>31</v>
      </c>
      <c r="L1390" t="s">
        <v>9</v>
      </c>
      <c r="M1390" t="s">
        <v>39</v>
      </c>
      <c r="N1390" s="1">
        <f t="shared" si="126"/>
        <v>45637</v>
      </c>
      <c r="O1390" s="4">
        <f t="shared" si="127"/>
        <v>3.5294117647058823E-2</v>
      </c>
      <c r="P1390">
        <f t="shared" si="128"/>
        <v>1.7046031746031747</v>
      </c>
      <c r="Q1390" s="2">
        <f t="shared" si="129"/>
        <v>7.6707142857142854</v>
      </c>
      <c r="R1390" s="2">
        <f t="shared" si="130"/>
        <v>23.864444444444445</v>
      </c>
      <c r="S1390" s="2">
        <f t="shared" si="131"/>
        <v>5.0190893006797657</v>
      </c>
    </row>
    <row r="1391" spans="1:19">
      <c r="A1391" t="s">
        <v>1444</v>
      </c>
      <c r="B1391" t="s">
        <v>30</v>
      </c>
      <c r="C1391">
        <v>139</v>
      </c>
      <c r="D1391">
        <v>3883</v>
      </c>
      <c r="E1391" s="2">
        <v>225.89</v>
      </c>
      <c r="F1391">
        <v>23</v>
      </c>
      <c r="G1391">
        <v>5</v>
      </c>
      <c r="H1391">
        <v>4.5999999999999999E-2</v>
      </c>
      <c r="I1391" s="3">
        <v>1183</v>
      </c>
      <c r="J1391" s="1" t="s">
        <v>94</v>
      </c>
      <c r="K1391" t="s">
        <v>31</v>
      </c>
      <c r="L1391" t="s">
        <v>8</v>
      </c>
      <c r="M1391" t="s">
        <v>41</v>
      </c>
      <c r="N1391" s="1">
        <f t="shared" si="126"/>
        <v>45617</v>
      </c>
      <c r="O1391" s="4">
        <f t="shared" si="127"/>
        <v>3.5797064125676022E-2</v>
      </c>
      <c r="P1391">
        <f t="shared" si="128"/>
        <v>1.6251079136690647</v>
      </c>
      <c r="Q1391" s="2">
        <f t="shared" si="129"/>
        <v>9.8213043478260857</v>
      </c>
      <c r="R1391" s="2">
        <f t="shared" si="130"/>
        <v>45.177999999999997</v>
      </c>
      <c r="S1391" s="2">
        <f t="shared" si="131"/>
        <v>5.2370622869538277</v>
      </c>
    </row>
    <row r="1392" spans="1:19" hidden="1">
      <c r="A1392" t="s">
        <v>1445</v>
      </c>
      <c r="B1392" t="s">
        <v>30</v>
      </c>
      <c r="C1392">
        <v>125</v>
      </c>
      <c r="D1392">
        <v>5736</v>
      </c>
      <c r="E1392" s="2">
        <v>197.28</v>
      </c>
      <c r="F1392">
        <v>30</v>
      </c>
      <c r="G1392">
        <v>5</v>
      </c>
      <c r="H1392">
        <v>0.04</v>
      </c>
      <c r="I1392" s="3">
        <v>1265</v>
      </c>
      <c r="J1392" s="1" t="s">
        <v>105</v>
      </c>
      <c r="K1392" t="s">
        <v>31</v>
      </c>
      <c r="L1392" t="s">
        <v>8</v>
      </c>
      <c r="M1392" t="s">
        <v>46</v>
      </c>
      <c r="N1392" s="1">
        <f t="shared" si="126"/>
        <v>45614</v>
      </c>
      <c r="O1392" s="4">
        <f t="shared" si="127"/>
        <v>2.1792189679218969E-2</v>
      </c>
      <c r="P1392">
        <f t="shared" si="128"/>
        <v>1.5782400000000001</v>
      </c>
      <c r="Q1392" s="2">
        <f t="shared" si="129"/>
        <v>6.5759999999999996</v>
      </c>
      <c r="R1392" s="2">
        <f t="shared" si="130"/>
        <v>39.456000000000003</v>
      </c>
      <c r="S1392" s="2">
        <f t="shared" si="131"/>
        <v>6.4122060016220601</v>
      </c>
    </row>
    <row r="1393" spans="1:19" hidden="1">
      <c r="A1393" t="s">
        <v>1446</v>
      </c>
      <c r="B1393" t="s">
        <v>30</v>
      </c>
      <c r="C1393">
        <v>197</v>
      </c>
      <c r="D1393">
        <v>5921</v>
      </c>
      <c r="E1393" s="2">
        <v>214.97</v>
      </c>
      <c r="F1393">
        <v>18</v>
      </c>
      <c r="G1393">
        <v>6</v>
      </c>
      <c r="H1393">
        <v>0.03</v>
      </c>
      <c r="I1393" s="3">
        <v>1975</v>
      </c>
      <c r="J1393" s="1">
        <v>45610</v>
      </c>
      <c r="K1393" t="s">
        <v>31</v>
      </c>
      <c r="L1393" t="s">
        <v>7</v>
      </c>
      <c r="M1393" t="s">
        <v>32</v>
      </c>
      <c r="N1393" s="1">
        <f t="shared" si="126"/>
        <v>45610</v>
      </c>
      <c r="O1393" s="4">
        <f t="shared" si="127"/>
        <v>3.3271406856949841E-2</v>
      </c>
      <c r="P1393">
        <f t="shared" si="128"/>
        <v>1.0912182741116752</v>
      </c>
      <c r="Q1393" s="2">
        <f t="shared" si="129"/>
        <v>11.942777777777778</v>
      </c>
      <c r="R1393" s="2">
        <f t="shared" si="130"/>
        <v>35.828333333333333</v>
      </c>
      <c r="S1393" s="2">
        <f t="shared" si="131"/>
        <v>9.1873284644368987</v>
      </c>
    </row>
    <row r="1394" spans="1:19">
      <c r="A1394" t="s">
        <v>1447</v>
      </c>
      <c r="B1394" t="s">
        <v>30</v>
      </c>
      <c r="C1394">
        <v>98</v>
      </c>
      <c r="D1394">
        <v>3687</v>
      </c>
      <c r="E1394" s="2">
        <v>206.7</v>
      </c>
      <c r="F1394">
        <v>12</v>
      </c>
      <c r="G1394">
        <v>10</v>
      </c>
      <c r="H1394">
        <v>4.5999999999999999E-2</v>
      </c>
      <c r="I1394" s="3">
        <v>1640</v>
      </c>
      <c r="J1394" s="1">
        <v>45603</v>
      </c>
      <c r="K1394" t="s">
        <v>31</v>
      </c>
      <c r="L1394" t="s">
        <v>8</v>
      </c>
      <c r="M1394" t="s">
        <v>41</v>
      </c>
      <c r="N1394" s="1">
        <f t="shared" si="126"/>
        <v>45603</v>
      </c>
      <c r="O1394" s="4">
        <f t="shared" si="127"/>
        <v>2.6579875237320316E-2</v>
      </c>
      <c r="P1394">
        <f t="shared" si="128"/>
        <v>2.1091836734693876</v>
      </c>
      <c r="Q1394" s="2">
        <f t="shared" si="129"/>
        <v>17.224999999999998</v>
      </c>
      <c r="R1394" s="2">
        <f t="shared" si="130"/>
        <v>20.669999999999998</v>
      </c>
      <c r="S1394" s="2">
        <f t="shared" si="131"/>
        <v>7.934204160619255</v>
      </c>
    </row>
    <row r="1395" spans="1:19" hidden="1">
      <c r="A1395" t="s">
        <v>1448</v>
      </c>
      <c r="B1395" t="s">
        <v>30</v>
      </c>
      <c r="C1395">
        <v>164</v>
      </c>
      <c r="D1395">
        <v>5334</v>
      </c>
      <c r="E1395" s="2">
        <v>203.91</v>
      </c>
      <c r="F1395">
        <v>18</v>
      </c>
      <c r="G1395">
        <v>6</v>
      </c>
      <c r="H1395">
        <v>5.7000000000000002E-2</v>
      </c>
      <c r="I1395" s="3">
        <v>1128</v>
      </c>
      <c r="J1395" s="1" t="s">
        <v>105</v>
      </c>
      <c r="K1395" t="s">
        <v>31</v>
      </c>
      <c r="L1395" t="s">
        <v>7</v>
      </c>
      <c r="M1395" t="s">
        <v>35</v>
      </c>
      <c r="N1395" s="1">
        <f t="shared" si="126"/>
        <v>45614</v>
      </c>
      <c r="O1395" s="4">
        <f t="shared" si="127"/>
        <v>3.0746156730408699E-2</v>
      </c>
      <c r="P1395">
        <f t="shared" si="128"/>
        <v>1.2433536585365854</v>
      </c>
      <c r="Q1395" s="2">
        <f t="shared" si="129"/>
        <v>11.328333333333333</v>
      </c>
      <c r="R1395" s="2">
        <f t="shared" si="130"/>
        <v>33.984999999999999</v>
      </c>
      <c r="S1395" s="2">
        <f t="shared" si="131"/>
        <v>5.5318522877740177</v>
      </c>
    </row>
    <row r="1396" spans="1:19">
      <c r="A1396" t="s">
        <v>1449</v>
      </c>
      <c r="B1396" t="s">
        <v>30</v>
      </c>
      <c r="C1396">
        <v>111</v>
      </c>
      <c r="D1396">
        <v>4647</v>
      </c>
      <c r="E1396" s="2">
        <v>247</v>
      </c>
      <c r="F1396">
        <v>15</v>
      </c>
      <c r="G1396">
        <v>4</v>
      </c>
      <c r="H1396">
        <v>4.5999999999999999E-2</v>
      </c>
      <c r="I1396" s="3">
        <v>1601</v>
      </c>
      <c r="J1396" s="1">
        <v>45625</v>
      </c>
      <c r="K1396" t="s">
        <v>31</v>
      </c>
      <c r="L1396" t="s">
        <v>7</v>
      </c>
      <c r="M1396" t="s">
        <v>32</v>
      </c>
      <c r="N1396" s="1">
        <f t="shared" si="126"/>
        <v>45625</v>
      </c>
      <c r="O1396" s="4">
        <f t="shared" si="127"/>
        <v>2.3886378308586184E-2</v>
      </c>
      <c r="P1396">
        <f t="shared" si="128"/>
        <v>2.2252252252252251</v>
      </c>
      <c r="Q1396" s="2">
        <f t="shared" si="129"/>
        <v>16.466666666666665</v>
      </c>
      <c r="R1396" s="2">
        <f t="shared" si="130"/>
        <v>61.75</v>
      </c>
      <c r="S1396" s="2">
        <f t="shared" si="131"/>
        <v>6.4817813765182191</v>
      </c>
    </row>
    <row r="1397" spans="1:19">
      <c r="A1397" t="s">
        <v>1450</v>
      </c>
      <c r="B1397" t="s">
        <v>30</v>
      </c>
      <c r="C1397">
        <v>191</v>
      </c>
      <c r="D1397">
        <v>3485</v>
      </c>
      <c r="E1397" s="2">
        <v>212.43</v>
      </c>
      <c r="F1397">
        <v>10</v>
      </c>
      <c r="G1397">
        <v>7</v>
      </c>
      <c r="H1397">
        <v>4.5999999999999999E-2</v>
      </c>
      <c r="I1397" s="3">
        <v>1813</v>
      </c>
      <c r="J1397" s="1" t="s">
        <v>357</v>
      </c>
      <c r="K1397" t="s">
        <v>31</v>
      </c>
      <c r="L1397" t="s">
        <v>8</v>
      </c>
      <c r="M1397" t="s">
        <v>46</v>
      </c>
      <c r="N1397" s="1">
        <f t="shared" si="126"/>
        <v>45624</v>
      </c>
      <c r="O1397" s="4">
        <f t="shared" si="127"/>
        <v>5.4806312769010046E-2</v>
      </c>
      <c r="P1397">
        <f t="shared" si="128"/>
        <v>1.1121989528795813</v>
      </c>
      <c r="Q1397" s="2">
        <f t="shared" si="129"/>
        <v>21.243000000000002</v>
      </c>
      <c r="R1397" s="2">
        <f t="shared" si="130"/>
        <v>30.34714285714286</v>
      </c>
      <c r="S1397" s="2">
        <f t="shared" si="131"/>
        <v>8.5345760956550389</v>
      </c>
    </row>
    <row r="1398" spans="1:19" hidden="1">
      <c r="A1398" t="s">
        <v>1451</v>
      </c>
      <c r="B1398" t="s">
        <v>30</v>
      </c>
      <c r="C1398">
        <v>149</v>
      </c>
      <c r="D1398">
        <v>5720</v>
      </c>
      <c r="E1398" s="2">
        <v>211.54</v>
      </c>
      <c r="F1398">
        <v>14</v>
      </c>
      <c r="G1398">
        <v>5</v>
      </c>
      <c r="H1398">
        <v>3.4000000000000002E-2</v>
      </c>
      <c r="I1398" s="3">
        <v>1612</v>
      </c>
      <c r="J1398" s="1">
        <v>45625</v>
      </c>
      <c r="K1398" t="s">
        <v>31</v>
      </c>
      <c r="L1398" t="s">
        <v>7</v>
      </c>
      <c r="M1398" t="s">
        <v>35</v>
      </c>
      <c r="N1398" s="1">
        <f t="shared" si="126"/>
        <v>45625</v>
      </c>
      <c r="O1398" s="4">
        <f t="shared" si="127"/>
        <v>2.6048951048951049E-2</v>
      </c>
      <c r="P1398">
        <f t="shared" si="128"/>
        <v>1.4197315436241611</v>
      </c>
      <c r="Q1398" s="2">
        <f t="shared" si="129"/>
        <v>15.11</v>
      </c>
      <c r="R1398" s="2">
        <f t="shared" si="130"/>
        <v>42.308</v>
      </c>
      <c r="S1398" s="2">
        <f t="shared" si="131"/>
        <v>7.6203082159402484</v>
      </c>
    </row>
    <row r="1399" spans="1:19" hidden="1">
      <c r="A1399" t="s">
        <v>1452</v>
      </c>
      <c r="B1399" t="s">
        <v>30</v>
      </c>
      <c r="C1399">
        <v>183</v>
      </c>
      <c r="D1399">
        <v>3540</v>
      </c>
      <c r="E1399" s="2">
        <v>222.14</v>
      </c>
      <c r="F1399">
        <v>15</v>
      </c>
      <c r="G1399">
        <v>3</v>
      </c>
      <c r="H1399">
        <v>1.6E-2</v>
      </c>
      <c r="I1399" s="3">
        <v>1248</v>
      </c>
      <c r="J1399" s="1">
        <v>45607</v>
      </c>
      <c r="K1399" t="s">
        <v>31</v>
      </c>
      <c r="L1399" t="s">
        <v>8</v>
      </c>
      <c r="M1399" t="s">
        <v>32</v>
      </c>
      <c r="N1399" s="1">
        <f t="shared" si="126"/>
        <v>45607</v>
      </c>
      <c r="O1399" s="4">
        <f t="shared" si="127"/>
        <v>5.1694915254237285E-2</v>
      </c>
      <c r="P1399">
        <f t="shared" si="128"/>
        <v>1.2138797814207649</v>
      </c>
      <c r="Q1399" s="2">
        <f t="shared" si="129"/>
        <v>14.809333333333333</v>
      </c>
      <c r="R1399" s="2">
        <f t="shared" si="130"/>
        <v>74.046666666666667</v>
      </c>
      <c r="S1399" s="2">
        <f t="shared" si="131"/>
        <v>5.6180786891149728</v>
      </c>
    </row>
    <row r="1400" spans="1:19">
      <c r="A1400" t="s">
        <v>1453</v>
      </c>
      <c r="B1400" t="s">
        <v>30</v>
      </c>
      <c r="C1400">
        <v>198</v>
      </c>
      <c r="D1400">
        <v>4035</v>
      </c>
      <c r="E1400" s="2">
        <v>215.94</v>
      </c>
      <c r="F1400">
        <v>22</v>
      </c>
      <c r="G1400">
        <v>8</v>
      </c>
      <c r="H1400">
        <v>4.5999999999999999E-2</v>
      </c>
      <c r="I1400" s="3">
        <v>1505</v>
      </c>
      <c r="J1400" s="1">
        <v>45576</v>
      </c>
      <c r="K1400" t="s">
        <v>31</v>
      </c>
      <c r="L1400" t="s">
        <v>8</v>
      </c>
      <c r="M1400" t="s">
        <v>32</v>
      </c>
      <c r="N1400" s="1">
        <f t="shared" si="126"/>
        <v>45576</v>
      </c>
      <c r="O1400" s="4">
        <f t="shared" si="127"/>
        <v>4.9070631970260223E-2</v>
      </c>
      <c r="P1400">
        <f t="shared" si="128"/>
        <v>1.0906060606060606</v>
      </c>
      <c r="Q1400" s="2">
        <f t="shared" si="129"/>
        <v>9.8154545454545445</v>
      </c>
      <c r="R1400" s="2">
        <f t="shared" si="130"/>
        <v>26.9925</v>
      </c>
      <c r="S1400" s="2">
        <f t="shared" si="131"/>
        <v>6.96952857275169</v>
      </c>
    </row>
    <row r="1401" spans="1:19">
      <c r="A1401" t="s">
        <v>1454</v>
      </c>
      <c r="B1401" t="s">
        <v>30</v>
      </c>
      <c r="C1401">
        <v>170</v>
      </c>
      <c r="D1401">
        <v>3024</v>
      </c>
      <c r="E1401" s="2">
        <v>234.76</v>
      </c>
      <c r="F1401">
        <v>11</v>
      </c>
      <c r="G1401">
        <v>10</v>
      </c>
      <c r="H1401">
        <v>4.5999999999999999E-2</v>
      </c>
      <c r="I1401" s="3">
        <v>1941</v>
      </c>
      <c r="J1401" s="1">
        <v>45454</v>
      </c>
      <c r="K1401" t="s">
        <v>31</v>
      </c>
      <c r="L1401" t="s">
        <v>8</v>
      </c>
      <c r="M1401" t="s">
        <v>32</v>
      </c>
      <c r="N1401" s="1">
        <f t="shared" si="126"/>
        <v>45454</v>
      </c>
      <c r="O1401" s="4">
        <f t="shared" si="127"/>
        <v>5.6216931216931214E-2</v>
      </c>
      <c r="P1401">
        <f t="shared" si="128"/>
        <v>1.3809411764705881</v>
      </c>
      <c r="Q1401" s="2">
        <f t="shared" si="129"/>
        <v>21.34181818181818</v>
      </c>
      <c r="R1401" s="2">
        <f t="shared" si="130"/>
        <v>23.475999999999999</v>
      </c>
      <c r="S1401" s="2">
        <f t="shared" si="131"/>
        <v>8.2680184017720233</v>
      </c>
    </row>
    <row r="1402" spans="1:19" hidden="1">
      <c r="A1402" t="s">
        <v>1455</v>
      </c>
      <c r="B1402" t="s">
        <v>30</v>
      </c>
      <c r="C1402">
        <v>174</v>
      </c>
      <c r="D1402">
        <v>4334</v>
      </c>
      <c r="E1402" s="2">
        <v>186.29</v>
      </c>
      <c r="F1402">
        <v>12</v>
      </c>
      <c r="G1402">
        <v>4</v>
      </c>
      <c r="H1402">
        <v>2.3E-2</v>
      </c>
      <c r="I1402" s="3">
        <v>1457</v>
      </c>
      <c r="J1402" s="1">
        <v>45618</v>
      </c>
      <c r="K1402" t="s">
        <v>31</v>
      </c>
      <c r="L1402" t="s">
        <v>8</v>
      </c>
      <c r="M1402" t="s">
        <v>46</v>
      </c>
      <c r="N1402" s="1">
        <f t="shared" si="126"/>
        <v>45618</v>
      </c>
      <c r="O1402" s="4">
        <f t="shared" si="127"/>
        <v>4.0147669589293958E-2</v>
      </c>
      <c r="P1402">
        <f t="shared" si="128"/>
        <v>1.0706321839080459</v>
      </c>
      <c r="Q1402" s="2">
        <f t="shared" si="129"/>
        <v>15.524166666666666</v>
      </c>
      <c r="R1402" s="2">
        <f t="shared" si="130"/>
        <v>46.572499999999998</v>
      </c>
      <c r="S1402" s="2">
        <f t="shared" si="131"/>
        <v>7.8211390842235229</v>
      </c>
    </row>
    <row r="1403" spans="1:19" hidden="1">
      <c r="A1403" t="s">
        <v>1456</v>
      </c>
      <c r="B1403" t="s">
        <v>30</v>
      </c>
      <c r="C1403">
        <v>91</v>
      </c>
      <c r="D1403">
        <v>4038</v>
      </c>
      <c r="E1403" s="2">
        <v>197.15</v>
      </c>
      <c r="F1403">
        <v>23</v>
      </c>
      <c r="G1403">
        <v>6</v>
      </c>
      <c r="H1403">
        <v>6.6000000000000003E-2</v>
      </c>
      <c r="I1403" s="3">
        <v>1000</v>
      </c>
      <c r="J1403" s="1">
        <v>45625</v>
      </c>
      <c r="K1403" t="s">
        <v>31</v>
      </c>
      <c r="L1403" t="s">
        <v>8</v>
      </c>
      <c r="M1403" t="s">
        <v>37</v>
      </c>
      <c r="N1403" s="1">
        <f t="shared" si="126"/>
        <v>45625</v>
      </c>
      <c r="O1403" s="4">
        <f t="shared" si="127"/>
        <v>2.2535908865775136E-2</v>
      </c>
      <c r="P1403">
        <f t="shared" si="128"/>
        <v>2.1664835164835163</v>
      </c>
      <c r="Q1403" s="2">
        <f t="shared" si="129"/>
        <v>8.5717391304347821</v>
      </c>
      <c r="R1403" s="2">
        <f t="shared" si="130"/>
        <v>32.858333333333334</v>
      </c>
      <c r="S1403" s="2">
        <f t="shared" si="131"/>
        <v>5.0722799898554403</v>
      </c>
    </row>
    <row r="1404" spans="1:19">
      <c r="A1404" t="s">
        <v>1457</v>
      </c>
      <c r="B1404" t="s">
        <v>30</v>
      </c>
      <c r="C1404">
        <v>197</v>
      </c>
      <c r="D1404">
        <v>4347</v>
      </c>
      <c r="E1404" s="2">
        <v>215.2</v>
      </c>
      <c r="F1404">
        <v>20</v>
      </c>
      <c r="G1404">
        <v>6</v>
      </c>
      <c r="H1404">
        <v>4.5999999999999999E-2</v>
      </c>
      <c r="I1404" s="3">
        <v>1204</v>
      </c>
      <c r="J1404" s="1">
        <v>45622</v>
      </c>
      <c r="K1404" t="s">
        <v>31</v>
      </c>
      <c r="L1404" t="s">
        <v>7</v>
      </c>
      <c r="M1404" t="s">
        <v>41</v>
      </c>
      <c r="N1404" s="1">
        <f t="shared" si="126"/>
        <v>45622</v>
      </c>
      <c r="O1404" s="4">
        <f t="shared" si="127"/>
        <v>4.5318610536001842E-2</v>
      </c>
      <c r="P1404">
        <f t="shared" si="128"/>
        <v>1.0923857868020304</v>
      </c>
      <c r="Q1404" s="2">
        <f t="shared" si="129"/>
        <v>10.76</v>
      </c>
      <c r="R1404" s="2">
        <f t="shared" si="130"/>
        <v>35.866666666666667</v>
      </c>
      <c r="S1404" s="2">
        <f t="shared" si="131"/>
        <v>5.5947955390334574</v>
      </c>
    </row>
    <row r="1405" spans="1:19" hidden="1">
      <c r="A1405" t="s">
        <v>1458</v>
      </c>
      <c r="B1405" t="s">
        <v>30</v>
      </c>
      <c r="C1405">
        <v>139</v>
      </c>
      <c r="D1405">
        <v>5803</v>
      </c>
      <c r="E1405" s="2">
        <v>203.03</v>
      </c>
      <c r="F1405">
        <v>16</v>
      </c>
      <c r="G1405">
        <v>8</v>
      </c>
      <c r="H1405">
        <v>3.4000000000000002E-2</v>
      </c>
      <c r="I1405" s="3">
        <v>1397</v>
      </c>
      <c r="J1405" s="1">
        <v>45626</v>
      </c>
      <c r="K1405" t="s">
        <v>31</v>
      </c>
      <c r="L1405" t="s">
        <v>8</v>
      </c>
      <c r="M1405" t="s">
        <v>46</v>
      </c>
      <c r="N1405" s="1">
        <f t="shared" si="126"/>
        <v>45626</v>
      </c>
      <c r="O1405" s="4">
        <f t="shared" si="127"/>
        <v>2.3953127692572806E-2</v>
      </c>
      <c r="P1405">
        <f t="shared" si="128"/>
        <v>1.4606474820143884</v>
      </c>
      <c r="Q1405" s="2">
        <f t="shared" si="129"/>
        <v>12.689375</v>
      </c>
      <c r="R1405" s="2">
        <f t="shared" si="130"/>
        <v>25.37875</v>
      </c>
      <c r="S1405" s="2">
        <f t="shared" si="131"/>
        <v>6.8807565384425944</v>
      </c>
    </row>
    <row r="1406" spans="1:19" hidden="1">
      <c r="A1406" t="s">
        <v>1459</v>
      </c>
      <c r="B1406" t="s">
        <v>30</v>
      </c>
      <c r="C1406">
        <v>152</v>
      </c>
      <c r="D1406">
        <v>4182</v>
      </c>
      <c r="E1406" s="2">
        <v>233.45</v>
      </c>
      <c r="F1406">
        <v>19</v>
      </c>
      <c r="G1406">
        <v>5</v>
      </c>
      <c r="H1406">
        <v>3.3000000000000002E-2</v>
      </c>
      <c r="I1406" s="3">
        <v>1719</v>
      </c>
      <c r="J1406" s="1">
        <v>45609</v>
      </c>
      <c r="K1406" t="s">
        <v>31</v>
      </c>
      <c r="L1406" t="s">
        <v>8</v>
      </c>
      <c r="M1406" t="s">
        <v>35</v>
      </c>
      <c r="N1406" s="1">
        <f t="shared" si="126"/>
        <v>45609</v>
      </c>
      <c r="O1406" s="4">
        <f t="shared" si="127"/>
        <v>3.6346245815399331E-2</v>
      </c>
      <c r="P1406">
        <f t="shared" si="128"/>
        <v>1.5358552631578946</v>
      </c>
      <c r="Q1406" s="2">
        <f t="shared" si="129"/>
        <v>12.286842105263156</v>
      </c>
      <c r="R1406" s="2">
        <f t="shared" si="130"/>
        <v>46.69</v>
      </c>
      <c r="S1406" s="2">
        <f t="shared" si="131"/>
        <v>7.3634611265795673</v>
      </c>
    </row>
    <row r="1407" spans="1:19" hidden="1">
      <c r="A1407" t="s">
        <v>1460</v>
      </c>
      <c r="B1407" t="s">
        <v>30</v>
      </c>
      <c r="C1407">
        <v>189</v>
      </c>
      <c r="D1407">
        <v>4809</v>
      </c>
      <c r="E1407" s="2">
        <v>225.32</v>
      </c>
      <c r="F1407">
        <v>27</v>
      </c>
      <c r="G1407">
        <v>10</v>
      </c>
      <c r="H1407">
        <v>5.2999999999999999E-2</v>
      </c>
      <c r="I1407" s="3">
        <v>1324</v>
      </c>
      <c r="J1407" s="1">
        <v>45614</v>
      </c>
      <c r="K1407" t="s">
        <v>31</v>
      </c>
      <c r="L1407" t="s">
        <v>8</v>
      </c>
      <c r="M1407" t="s">
        <v>46</v>
      </c>
      <c r="N1407" s="1">
        <f t="shared" si="126"/>
        <v>45614</v>
      </c>
      <c r="O1407" s="4">
        <f t="shared" si="127"/>
        <v>3.9301310043668124E-2</v>
      </c>
      <c r="P1407">
        <f t="shared" si="128"/>
        <v>1.1921693121693122</v>
      </c>
      <c r="Q1407" s="2">
        <f t="shared" si="129"/>
        <v>8.3451851851851853</v>
      </c>
      <c r="R1407" s="2">
        <f t="shared" si="130"/>
        <v>22.532</v>
      </c>
      <c r="S1407" s="2">
        <f t="shared" si="131"/>
        <v>5.8760873424462989</v>
      </c>
    </row>
    <row r="1408" spans="1:19">
      <c r="A1408" t="s">
        <v>1461</v>
      </c>
      <c r="B1408" t="s">
        <v>30</v>
      </c>
      <c r="C1408">
        <v>139</v>
      </c>
      <c r="D1408">
        <v>5640</v>
      </c>
      <c r="E1408" s="2">
        <v>210.51</v>
      </c>
      <c r="F1408">
        <v>13</v>
      </c>
      <c r="G1408">
        <v>8</v>
      </c>
      <c r="H1408">
        <v>4.5999999999999999E-2</v>
      </c>
      <c r="I1408" s="3">
        <v>1536</v>
      </c>
      <c r="J1408" s="1">
        <v>45607</v>
      </c>
      <c r="K1408" t="s">
        <v>31</v>
      </c>
      <c r="L1408" t="s">
        <v>7</v>
      </c>
      <c r="M1408" t="s">
        <v>35</v>
      </c>
      <c r="N1408" s="1">
        <f t="shared" si="126"/>
        <v>45607</v>
      </c>
      <c r="O1408" s="4">
        <f t="shared" si="127"/>
        <v>2.4645390070921987E-2</v>
      </c>
      <c r="P1408">
        <f t="shared" si="128"/>
        <v>1.5144604316546761</v>
      </c>
      <c r="Q1408" s="2">
        <f t="shared" si="129"/>
        <v>16.193076923076923</v>
      </c>
      <c r="R1408" s="2">
        <f t="shared" si="130"/>
        <v>26.313749999999999</v>
      </c>
      <c r="S1408" s="2">
        <f t="shared" si="131"/>
        <v>7.2965654838249971</v>
      </c>
    </row>
    <row r="1409" spans="1:19" hidden="1">
      <c r="A1409" t="s">
        <v>1462</v>
      </c>
      <c r="B1409" t="s">
        <v>30</v>
      </c>
      <c r="C1409">
        <v>159</v>
      </c>
      <c r="D1409">
        <v>3401</v>
      </c>
      <c r="E1409" s="2">
        <v>222.71</v>
      </c>
      <c r="F1409">
        <v>18</v>
      </c>
      <c r="G1409">
        <v>3</v>
      </c>
      <c r="H1409">
        <v>1.9E-2</v>
      </c>
      <c r="I1409" s="3">
        <v>1849</v>
      </c>
      <c r="J1409" s="1">
        <v>45601</v>
      </c>
      <c r="K1409" t="s">
        <v>31</v>
      </c>
      <c r="L1409" t="s">
        <v>7</v>
      </c>
      <c r="M1409" t="s">
        <v>37</v>
      </c>
      <c r="N1409" s="1">
        <f t="shared" si="126"/>
        <v>45601</v>
      </c>
      <c r="O1409" s="4">
        <f t="shared" si="127"/>
        <v>4.6750955601293734E-2</v>
      </c>
      <c r="P1409">
        <f t="shared" si="128"/>
        <v>1.4006918238993711</v>
      </c>
      <c r="Q1409" s="2">
        <f t="shared" si="129"/>
        <v>12.372777777777777</v>
      </c>
      <c r="R1409" s="2">
        <f t="shared" si="130"/>
        <v>74.236666666666665</v>
      </c>
      <c r="S1409" s="2">
        <f t="shared" si="131"/>
        <v>8.302276503075749</v>
      </c>
    </row>
    <row r="1410" spans="1:19" hidden="1">
      <c r="A1410" t="s">
        <v>1463</v>
      </c>
      <c r="B1410" t="s">
        <v>30</v>
      </c>
      <c r="C1410">
        <v>175</v>
      </c>
      <c r="D1410">
        <v>5561</v>
      </c>
      <c r="E1410" s="2">
        <v>231.96</v>
      </c>
      <c r="F1410">
        <v>20</v>
      </c>
      <c r="G1410">
        <v>8</v>
      </c>
      <c r="H1410">
        <v>5.7000000000000002E-2</v>
      </c>
      <c r="I1410" s="3">
        <v>1174</v>
      </c>
      <c r="J1410" s="1">
        <v>45610</v>
      </c>
      <c r="K1410" t="s">
        <v>31</v>
      </c>
      <c r="L1410" t="s">
        <v>8</v>
      </c>
      <c r="M1410" t="s">
        <v>35</v>
      </c>
      <c r="N1410" s="1">
        <f t="shared" ref="N1410:N1473" si="132">IF(A1410="","",IF(ISNUMBER(J1410),J1410,IF(MID(J1410,5,1)="-",DATE(LEFT(J1410,4),MID(J1410,6,2),RIGHT(J1410,2)),IF(MID(J1410,5,1)="/",DATE(LEFT(J1410,4),MID(J1410,6,2),RIGHT(J1410,2)),DATE(RIGHT(J1410,4),MID(J1410,4,2),LEFT(J1410,2))))))</f>
        <v>45610</v>
      </c>
      <c r="O1410" s="4">
        <f t="shared" ref="O1410:O1473" si="133">IFERROR(C1410/D1410,0)</f>
        <v>3.1469160222981477E-2</v>
      </c>
      <c r="P1410">
        <f t="shared" ref="P1410:P1473" si="134">IFERROR(E1410/C1410,0)</f>
        <v>1.3254857142857144</v>
      </c>
      <c r="Q1410" s="2">
        <f t="shared" ref="Q1410:Q1473" si="135">IFERROR(E1410/F1410,0)</f>
        <v>11.598000000000001</v>
      </c>
      <c r="R1410" s="2">
        <f t="shared" ref="R1410:R1473" si="136">IFERROR(E1410/G1410,0)</f>
        <v>28.995000000000001</v>
      </c>
      <c r="S1410" s="2">
        <f t="shared" ref="S1410:S1473" si="137">IFERROR(I1410/E1410,0)</f>
        <v>5.0612174512847039</v>
      </c>
    </row>
    <row r="1411" spans="1:19">
      <c r="A1411" t="s">
        <v>1464</v>
      </c>
      <c r="B1411" t="s">
        <v>30</v>
      </c>
      <c r="C1411">
        <v>175</v>
      </c>
      <c r="D1411">
        <v>5720</v>
      </c>
      <c r="E1411" s="2">
        <v>243.8</v>
      </c>
      <c r="F1411">
        <v>17</v>
      </c>
      <c r="G1411">
        <v>6</v>
      </c>
      <c r="H1411">
        <v>4.5999999999999999E-2</v>
      </c>
      <c r="I1411" s="3">
        <v>1505</v>
      </c>
      <c r="J1411" s="1">
        <v>45622</v>
      </c>
      <c r="K1411" t="s">
        <v>31</v>
      </c>
      <c r="L1411" t="s">
        <v>7</v>
      </c>
      <c r="M1411" t="s">
        <v>37</v>
      </c>
      <c r="N1411" s="1">
        <f t="shared" si="132"/>
        <v>45622</v>
      </c>
      <c r="O1411" s="4">
        <f t="shared" si="133"/>
        <v>3.0594405594405596E-2</v>
      </c>
      <c r="P1411">
        <f t="shared" si="134"/>
        <v>1.3931428571428572</v>
      </c>
      <c r="Q1411" s="2">
        <f t="shared" si="135"/>
        <v>14.341176470588236</v>
      </c>
      <c r="R1411" s="2">
        <f t="shared" si="136"/>
        <v>40.633333333333333</v>
      </c>
      <c r="S1411" s="2">
        <f t="shared" si="137"/>
        <v>6.1730926989335515</v>
      </c>
    </row>
    <row r="1412" spans="1:19" hidden="1">
      <c r="A1412" t="s">
        <v>1465</v>
      </c>
      <c r="B1412" t="s">
        <v>30</v>
      </c>
      <c r="C1412">
        <v>82</v>
      </c>
      <c r="D1412">
        <v>4898</v>
      </c>
      <c r="E1412" s="2">
        <v>215.11</v>
      </c>
      <c r="F1412">
        <v>25</v>
      </c>
      <c r="G1412">
        <v>8</v>
      </c>
      <c r="H1412">
        <v>9.8000000000000004E-2</v>
      </c>
      <c r="I1412" s="3">
        <v>1776</v>
      </c>
      <c r="J1412" s="1">
        <v>45546</v>
      </c>
      <c r="K1412" t="s">
        <v>31</v>
      </c>
      <c r="L1412" t="s">
        <v>9</v>
      </c>
      <c r="M1412" t="s">
        <v>46</v>
      </c>
      <c r="N1412" s="1">
        <f t="shared" si="132"/>
        <v>45546</v>
      </c>
      <c r="O1412" s="4">
        <f t="shared" si="133"/>
        <v>1.6741527153940384E-2</v>
      </c>
      <c r="P1412">
        <f t="shared" si="134"/>
        <v>2.6232926829268295</v>
      </c>
      <c r="Q1412" s="2">
        <f t="shared" si="135"/>
        <v>8.6044</v>
      </c>
      <c r="R1412" s="2">
        <f t="shared" si="136"/>
        <v>26.888750000000002</v>
      </c>
      <c r="S1412" s="2">
        <f t="shared" si="137"/>
        <v>8.2562409929803344</v>
      </c>
    </row>
    <row r="1413" spans="1:19">
      <c r="A1413" t="s">
        <v>1466</v>
      </c>
      <c r="B1413" t="s">
        <v>30</v>
      </c>
      <c r="C1413">
        <v>146</v>
      </c>
      <c r="D1413">
        <v>5871</v>
      </c>
      <c r="E1413" s="2">
        <v>218.69</v>
      </c>
      <c r="F1413">
        <v>30</v>
      </c>
      <c r="G1413">
        <v>4</v>
      </c>
      <c r="H1413">
        <v>4.5999999999999999E-2</v>
      </c>
      <c r="I1413" s="3">
        <v>1505</v>
      </c>
      <c r="J1413" s="1">
        <v>45618</v>
      </c>
      <c r="K1413" t="s">
        <v>31</v>
      </c>
      <c r="L1413" t="s">
        <v>7</v>
      </c>
      <c r="M1413" t="s">
        <v>32</v>
      </c>
      <c r="N1413" s="1">
        <f t="shared" si="132"/>
        <v>45618</v>
      </c>
      <c r="O1413" s="4">
        <f t="shared" si="133"/>
        <v>2.4867995230795435E-2</v>
      </c>
      <c r="P1413">
        <f t="shared" si="134"/>
        <v>1.4978767123287671</v>
      </c>
      <c r="Q1413" s="2">
        <f t="shared" si="135"/>
        <v>7.2896666666666663</v>
      </c>
      <c r="R1413" s="2">
        <f t="shared" si="136"/>
        <v>54.672499999999999</v>
      </c>
      <c r="S1413" s="2">
        <f t="shared" si="137"/>
        <v>6.8818876034569483</v>
      </c>
    </row>
    <row r="1414" spans="1:19" hidden="1">
      <c r="A1414" t="s">
        <v>1467</v>
      </c>
      <c r="B1414" t="s">
        <v>30</v>
      </c>
      <c r="C1414">
        <v>85</v>
      </c>
      <c r="D1414">
        <v>5954</v>
      </c>
      <c r="E1414" s="2">
        <v>201.88</v>
      </c>
      <c r="F1414">
        <v>18</v>
      </c>
      <c r="G1414">
        <v>6</v>
      </c>
      <c r="H1414">
        <v>7.0999999999999994E-2</v>
      </c>
      <c r="I1414" s="3">
        <v>1526</v>
      </c>
      <c r="J1414" s="1">
        <v>45623</v>
      </c>
      <c r="K1414" t="s">
        <v>31</v>
      </c>
      <c r="L1414" t="s">
        <v>9</v>
      </c>
      <c r="M1414" t="s">
        <v>46</v>
      </c>
      <c r="N1414" s="1">
        <f t="shared" si="132"/>
        <v>45623</v>
      </c>
      <c r="O1414" s="4">
        <f t="shared" si="133"/>
        <v>1.4276116896204233E-2</v>
      </c>
      <c r="P1414">
        <f t="shared" si="134"/>
        <v>2.3750588235294119</v>
      </c>
      <c r="Q1414" s="2">
        <f t="shared" si="135"/>
        <v>11.215555555555556</v>
      </c>
      <c r="R1414" s="2">
        <f t="shared" si="136"/>
        <v>33.646666666666668</v>
      </c>
      <c r="S1414" s="2">
        <f t="shared" si="137"/>
        <v>7.5589459084604718</v>
      </c>
    </row>
    <row r="1415" spans="1:19" hidden="1">
      <c r="A1415" t="s">
        <v>1468</v>
      </c>
      <c r="B1415" t="s">
        <v>30</v>
      </c>
      <c r="C1415">
        <v>128</v>
      </c>
      <c r="D1415">
        <v>3487</v>
      </c>
      <c r="E1415" s="2">
        <v>236.19</v>
      </c>
      <c r="F1415">
        <v>25</v>
      </c>
      <c r="G1415">
        <v>6</v>
      </c>
      <c r="H1415">
        <v>4.7E-2</v>
      </c>
      <c r="I1415" s="3">
        <v>1961</v>
      </c>
      <c r="J1415" s="1">
        <v>45333</v>
      </c>
      <c r="K1415" t="s">
        <v>31</v>
      </c>
      <c r="L1415" t="s">
        <v>9</v>
      </c>
      <c r="M1415" t="s">
        <v>35</v>
      </c>
      <c r="N1415" s="1">
        <f t="shared" si="132"/>
        <v>45333</v>
      </c>
      <c r="O1415" s="4">
        <f t="shared" si="133"/>
        <v>3.6707771723544592E-2</v>
      </c>
      <c r="P1415">
        <f t="shared" si="134"/>
        <v>1.845234375</v>
      </c>
      <c r="Q1415" s="2">
        <f t="shared" si="135"/>
        <v>9.4475999999999996</v>
      </c>
      <c r="R1415" s="2">
        <f t="shared" si="136"/>
        <v>39.365000000000002</v>
      </c>
      <c r="S1415" s="2">
        <f t="shared" si="137"/>
        <v>8.3026377069308612</v>
      </c>
    </row>
    <row r="1416" spans="1:19" hidden="1">
      <c r="A1416" t="s">
        <v>1469</v>
      </c>
      <c r="B1416" t="s">
        <v>30</v>
      </c>
      <c r="C1416">
        <v>153</v>
      </c>
      <c r="D1416">
        <v>3808</v>
      </c>
      <c r="E1416" s="2">
        <v>189.61</v>
      </c>
      <c r="F1416">
        <v>19</v>
      </c>
      <c r="G1416">
        <v>8</v>
      </c>
      <c r="H1416">
        <v>5.1999999999999998E-2</v>
      </c>
      <c r="I1416" s="3">
        <v>1246</v>
      </c>
      <c r="J1416" s="1">
        <v>45333</v>
      </c>
      <c r="K1416" t="s">
        <v>31</v>
      </c>
      <c r="L1416" t="s">
        <v>9</v>
      </c>
      <c r="M1416" t="s">
        <v>35</v>
      </c>
      <c r="N1416" s="1">
        <f t="shared" si="132"/>
        <v>45333</v>
      </c>
      <c r="O1416" s="4">
        <f t="shared" si="133"/>
        <v>4.0178571428571432E-2</v>
      </c>
      <c r="P1416">
        <f t="shared" si="134"/>
        <v>1.2392810457516341</v>
      </c>
      <c r="Q1416" s="2">
        <f t="shared" si="135"/>
        <v>9.9794736842105269</v>
      </c>
      <c r="R1416" s="2">
        <f t="shared" si="136"/>
        <v>23.701250000000002</v>
      </c>
      <c r="S1416" s="2">
        <f t="shared" si="137"/>
        <v>6.5713833658562306</v>
      </c>
    </row>
    <row r="1417" spans="1:19">
      <c r="A1417" t="s">
        <v>1470</v>
      </c>
      <c r="B1417" t="s">
        <v>30</v>
      </c>
      <c r="C1417">
        <v>192</v>
      </c>
      <c r="D1417">
        <v>5720</v>
      </c>
      <c r="E1417" s="2">
        <v>243.11</v>
      </c>
      <c r="F1417">
        <v>30</v>
      </c>
      <c r="G1417">
        <v>9</v>
      </c>
      <c r="H1417">
        <v>4.5999999999999999E-2</v>
      </c>
      <c r="I1417" s="3">
        <v>1555</v>
      </c>
      <c r="J1417" s="1">
        <v>45598</v>
      </c>
      <c r="K1417" t="s">
        <v>31</v>
      </c>
      <c r="L1417" t="s">
        <v>8</v>
      </c>
      <c r="M1417" t="s">
        <v>41</v>
      </c>
      <c r="N1417" s="1">
        <f t="shared" si="132"/>
        <v>45598</v>
      </c>
      <c r="O1417" s="4">
        <f t="shared" si="133"/>
        <v>3.3566433566433566E-2</v>
      </c>
      <c r="P1417">
        <f t="shared" si="134"/>
        <v>1.2661979166666668</v>
      </c>
      <c r="Q1417" s="2">
        <f t="shared" si="135"/>
        <v>8.1036666666666672</v>
      </c>
      <c r="R1417" s="2">
        <f t="shared" si="136"/>
        <v>27.012222222222224</v>
      </c>
      <c r="S1417" s="2">
        <f t="shared" si="137"/>
        <v>6.3962815186541064</v>
      </c>
    </row>
    <row r="1418" spans="1:19" hidden="1">
      <c r="A1418" t="s">
        <v>1471</v>
      </c>
      <c r="B1418" t="s">
        <v>30</v>
      </c>
      <c r="C1418">
        <v>148</v>
      </c>
      <c r="D1418">
        <v>4721</v>
      </c>
      <c r="E1418" s="2">
        <v>189.48</v>
      </c>
      <c r="F1418">
        <v>26</v>
      </c>
      <c r="G1418">
        <v>8</v>
      </c>
      <c r="H1418">
        <v>5.3999999999999999E-2</v>
      </c>
      <c r="I1418" s="3">
        <v>1176</v>
      </c>
      <c r="J1418" s="1">
        <v>45597</v>
      </c>
      <c r="K1418" t="s">
        <v>31</v>
      </c>
      <c r="L1418" t="s">
        <v>8</v>
      </c>
      <c r="M1418" t="s">
        <v>41</v>
      </c>
      <c r="N1418" s="1">
        <f t="shared" si="132"/>
        <v>45597</v>
      </c>
      <c r="O1418" s="4">
        <f t="shared" si="133"/>
        <v>3.1349290404575299E-2</v>
      </c>
      <c r="P1418">
        <f t="shared" si="134"/>
        <v>1.2802702702702702</v>
      </c>
      <c r="Q1418" s="2">
        <f t="shared" si="135"/>
        <v>7.287692307692307</v>
      </c>
      <c r="R1418" s="2">
        <f t="shared" si="136"/>
        <v>23.684999999999999</v>
      </c>
      <c r="S1418" s="2">
        <f t="shared" si="137"/>
        <v>6.2064597846738447</v>
      </c>
    </row>
    <row r="1419" spans="1:19" hidden="1">
      <c r="A1419" t="s">
        <v>1472</v>
      </c>
      <c r="B1419" t="s">
        <v>30</v>
      </c>
      <c r="C1419">
        <v>153</v>
      </c>
      <c r="D1419">
        <v>4768</v>
      </c>
      <c r="E1419" s="2">
        <v>214.39</v>
      </c>
      <c r="F1419">
        <v>25</v>
      </c>
      <c r="G1419">
        <v>5</v>
      </c>
      <c r="H1419">
        <v>4.1000000000000002E-2</v>
      </c>
      <c r="I1419" s="3">
        <v>1837</v>
      </c>
      <c r="J1419" s="1" t="s">
        <v>100</v>
      </c>
      <c r="K1419" t="s">
        <v>31</v>
      </c>
      <c r="L1419" t="s">
        <v>9</v>
      </c>
      <c r="M1419" t="s">
        <v>37</v>
      </c>
      <c r="N1419" s="1">
        <f t="shared" si="132"/>
        <v>45622</v>
      </c>
      <c r="O1419" s="4">
        <f t="shared" si="133"/>
        <v>3.2088926174496643E-2</v>
      </c>
      <c r="P1419">
        <f t="shared" si="134"/>
        <v>1.4012418300653593</v>
      </c>
      <c r="Q1419" s="2">
        <f t="shared" si="135"/>
        <v>8.5755999999999997</v>
      </c>
      <c r="R1419" s="2">
        <f t="shared" si="136"/>
        <v>42.878</v>
      </c>
      <c r="S1419" s="2">
        <f t="shared" si="137"/>
        <v>8.5684966649563883</v>
      </c>
    </row>
    <row r="1420" spans="1:19" hidden="1">
      <c r="A1420" t="s">
        <v>1473</v>
      </c>
      <c r="B1420" t="s">
        <v>30</v>
      </c>
      <c r="C1420">
        <v>139</v>
      </c>
      <c r="D1420">
        <v>5494</v>
      </c>
      <c r="E1420" s="2">
        <v>187.68</v>
      </c>
      <c r="F1420">
        <v>23</v>
      </c>
      <c r="G1420">
        <v>8</v>
      </c>
      <c r="H1420">
        <v>4.5999999999999999E-2</v>
      </c>
      <c r="I1420" s="3">
        <v>1402</v>
      </c>
      <c r="J1420" s="1" t="s">
        <v>167</v>
      </c>
      <c r="K1420" t="s">
        <v>31</v>
      </c>
      <c r="L1420" t="s">
        <v>9</v>
      </c>
      <c r="M1420" t="s">
        <v>35</v>
      </c>
      <c r="N1420" s="1">
        <f t="shared" si="132"/>
        <v>45620</v>
      </c>
      <c r="O1420" s="4">
        <f t="shared" si="133"/>
        <v>2.5300327630141974E-2</v>
      </c>
      <c r="P1420">
        <f t="shared" si="134"/>
        <v>1.3502158273381295</v>
      </c>
      <c r="Q1420" s="2">
        <f t="shared" si="135"/>
        <v>8.16</v>
      </c>
      <c r="R1420" s="2">
        <f t="shared" si="136"/>
        <v>23.46</v>
      </c>
      <c r="S1420" s="2">
        <f t="shared" si="137"/>
        <v>7.4701619778346116</v>
      </c>
    </row>
    <row r="1421" spans="1:19" hidden="1">
      <c r="A1421" t="s">
        <v>1474</v>
      </c>
      <c r="B1421" t="s">
        <v>30</v>
      </c>
      <c r="C1421">
        <v>169</v>
      </c>
      <c r="D1421">
        <v>4518.5</v>
      </c>
      <c r="E1421" s="2">
        <v>180.58</v>
      </c>
      <c r="F1421">
        <v>30</v>
      </c>
      <c r="G1421">
        <v>7</v>
      </c>
      <c r="H1421">
        <v>4.9000000000000002E-2</v>
      </c>
      <c r="I1421" s="3">
        <v>1661</v>
      </c>
      <c r="J1421" s="1">
        <v>45622</v>
      </c>
      <c r="K1421" t="s">
        <v>31</v>
      </c>
      <c r="L1421" t="s">
        <v>8</v>
      </c>
      <c r="M1421" t="s">
        <v>39</v>
      </c>
      <c r="N1421" s="1">
        <f t="shared" si="132"/>
        <v>45622</v>
      </c>
      <c r="O1421" s="4">
        <f t="shared" si="133"/>
        <v>3.7401792630297664E-2</v>
      </c>
      <c r="P1421">
        <f t="shared" si="134"/>
        <v>1.0685207100591716</v>
      </c>
      <c r="Q1421" s="2">
        <f t="shared" si="135"/>
        <v>6.0193333333333339</v>
      </c>
      <c r="R1421" s="2">
        <f t="shared" si="136"/>
        <v>25.797142857142859</v>
      </c>
      <c r="S1421" s="2">
        <f t="shared" si="137"/>
        <v>9.1981393288293276</v>
      </c>
    </row>
    <row r="1422" spans="1:19" hidden="1">
      <c r="A1422" t="s">
        <v>1475</v>
      </c>
      <c r="B1422" t="s">
        <v>30</v>
      </c>
      <c r="C1422">
        <v>146</v>
      </c>
      <c r="D1422">
        <v>5173</v>
      </c>
      <c r="E1422" s="2">
        <v>234.26</v>
      </c>
      <c r="F1422">
        <v>20</v>
      </c>
      <c r="G1422">
        <v>7</v>
      </c>
      <c r="H1422">
        <v>4.8000000000000001E-2</v>
      </c>
      <c r="I1422" s="3">
        <v>1089</v>
      </c>
      <c r="J1422" s="1">
        <v>45624</v>
      </c>
      <c r="K1422" t="s">
        <v>31</v>
      </c>
      <c r="L1422" t="s">
        <v>8</v>
      </c>
      <c r="M1422" t="s">
        <v>41</v>
      </c>
      <c r="N1422" s="1">
        <f t="shared" si="132"/>
        <v>45624</v>
      </c>
      <c r="O1422" s="4">
        <f t="shared" si="133"/>
        <v>2.8223468006959213E-2</v>
      </c>
      <c r="P1422">
        <f t="shared" si="134"/>
        <v>1.6045205479452054</v>
      </c>
      <c r="Q1422" s="2">
        <f t="shared" si="135"/>
        <v>11.712999999999999</v>
      </c>
      <c r="R1422" s="2">
        <f t="shared" si="136"/>
        <v>33.465714285714284</v>
      </c>
      <c r="S1422" s="2">
        <f t="shared" si="137"/>
        <v>4.648680952787501</v>
      </c>
    </row>
    <row r="1423" spans="1:19" hidden="1">
      <c r="A1423" t="s">
        <v>1476</v>
      </c>
      <c r="B1423" t="s">
        <v>30</v>
      </c>
      <c r="C1423">
        <v>81</v>
      </c>
      <c r="D1423">
        <v>4808</v>
      </c>
      <c r="E1423" s="2">
        <v>189.19</v>
      </c>
      <c r="F1423">
        <v>17</v>
      </c>
      <c r="G1423">
        <v>9</v>
      </c>
      <c r="H1423">
        <v>0.111</v>
      </c>
      <c r="I1423" s="3">
        <v>1759</v>
      </c>
      <c r="J1423" s="1" t="s">
        <v>206</v>
      </c>
      <c r="K1423" t="s">
        <v>31</v>
      </c>
      <c r="L1423" t="s">
        <v>7</v>
      </c>
      <c r="M1423" t="s">
        <v>41</v>
      </c>
      <c r="N1423" s="1">
        <f t="shared" si="132"/>
        <v>45621</v>
      </c>
      <c r="O1423" s="4">
        <f t="shared" si="133"/>
        <v>1.6846921797004991E-2</v>
      </c>
      <c r="P1423">
        <f t="shared" si="134"/>
        <v>2.335679012345679</v>
      </c>
      <c r="Q1423" s="2">
        <f t="shared" si="135"/>
        <v>11.128823529411765</v>
      </c>
      <c r="R1423" s="2">
        <f t="shared" si="136"/>
        <v>21.021111111111111</v>
      </c>
      <c r="S1423" s="2">
        <f t="shared" si="137"/>
        <v>9.2975315820075064</v>
      </c>
    </row>
    <row r="1424" spans="1:19" hidden="1">
      <c r="A1424" t="s">
        <v>1477</v>
      </c>
      <c r="B1424" t="s">
        <v>30</v>
      </c>
      <c r="C1424">
        <v>185</v>
      </c>
      <c r="D1424">
        <v>4518.5</v>
      </c>
      <c r="E1424" s="2">
        <v>234.72</v>
      </c>
      <c r="F1424">
        <v>18</v>
      </c>
      <c r="G1424">
        <v>6</v>
      </c>
      <c r="H1424">
        <v>3.2000000000000001E-2</v>
      </c>
      <c r="I1424" s="3">
        <v>1508</v>
      </c>
      <c r="J1424" s="1">
        <v>45623</v>
      </c>
      <c r="K1424" t="s">
        <v>31</v>
      </c>
      <c r="L1424" t="s">
        <v>7</v>
      </c>
      <c r="M1424" t="s">
        <v>37</v>
      </c>
      <c r="N1424" s="1">
        <f t="shared" si="132"/>
        <v>45623</v>
      </c>
      <c r="O1424" s="4">
        <f t="shared" si="133"/>
        <v>4.0942790749142415E-2</v>
      </c>
      <c r="P1424">
        <f t="shared" si="134"/>
        <v>1.2687567567567568</v>
      </c>
      <c r="Q1424" s="2">
        <f t="shared" si="135"/>
        <v>13.04</v>
      </c>
      <c r="R1424" s="2">
        <f t="shared" si="136"/>
        <v>39.119999999999997</v>
      </c>
      <c r="S1424" s="2">
        <f t="shared" si="137"/>
        <v>6.4246762099522838</v>
      </c>
    </row>
    <row r="1425" spans="1:19">
      <c r="A1425" t="s">
        <v>1478</v>
      </c>
      <c r="B1425" t="s">
        <v>30</v>
      </c>
      <c r="C1425">
        <v>90</v>
      </c>
      <c r="D1425">
        <v>5319</v>
      </c>
      <c r="E1425" s="2">
        <v>208.19</v>
      </c>
      <c r="F1425">
        <v>13</v>
      </c>
      <c r="G1425">
        <v>7</v>
      </c>
      <c r="H1425">
        <v>4.5999999999999999E-2</v>
      </c>
      <c r="I1425" s="3">
        <v>1719</v>
      </c>
      <c r="J1425" s="1">
        <v>45622</v>
      </c>
      <c r="K1425" t="s">
        <v>31</v>
      </c>
      <c r="L1425" t="s">
        <v>9</v>
      </c>
      <c r="M1425" t="s">
        <v>39</v>
      </c>
      <c r="N1425" s="1">
        <f t="shared" si="132"/>
        <v>45622</v>
      </c>
      <c r="O1425" s="4">
        <f t="shared" si="133"/>
        <v>1.6920473773265651E-2</v>
      </c>
      <c r="P1425">
        <f t="shared" si="134"/>
        <v>2.3132222222222221</v>
      </c>
      <c r="Q1425" s="2">
        <f t="shared" si="135"/>
        <v>16.014615384615386</v>
      </c>
      <c r="R1425" s="2">
        <f t="shared" si="136"/>
        <v>29.741428571428571</v>
      </c>
      <c r="S1425" s="2">
        <f t="shared" si="137"/>
        <v>8.2568807339449535</v>
      </c>
    </row>
    <row r="1426" spans="1:19" hidden="1">
      <c r="A1426" t="s">
        <v>1479</v>
      </c>
      <c r="B1426" t="s">
        <v>30</v>
      </c>
      <c r="C1426">
        <v>155</v>
      </c>
      <c r="D1426">
        <v>4532</v>
      </c>
      <c r="E1426" s="2">
        <v>203.44</v>
      </c>
      <c r="F1426">
        <v>19</v>
      </c>
      <c r="G1426">
        <v>8</v>
      </c>
      <c r="H1426">
        <v>5.1999999999999998E-2</v>
      </c>
      <c r="I1426" s="3">
        <v>1709</v>
      </c>
      <c r="J1426" s="1" t="s">
        <v>132</v>
      </c>
      <c r="K1426" t="s">
        <v>31</v>
      </c>
      <c r="L1426" t="s">
        <v>7</v>
      </c>
      <c r="M1426" t="s">
        <v>32</v>
      </c>
      <c r="N1426" s="1">
        <f t="shared" si="132"/>
        <v>45613</v>
      </c>
      <c r="O1426" s="4">
        <f t="shared" si="133"/>
        <v>3.420123565754634E-2</v>
      </c>
      <c r="P1426">
        <f t="shared" si="134"/>
        <v>1.312516129032258</v>
      </c>
      <c r="Q1426" s="2">
        <f t="shared" si="135"/>
        <v>10.707368421052632</v>
      </c>
      <c r="R1426" s="2">
        <f t="shared" si="136"/>
        <v>25.43</v>
      </c>
      <c r="S1426" s="2">
        <f t="shared" si="137"/>
        <v>8.4005112072355494</v>
      </c>
    </row>
    <row r="1427" spans="1:19">
      <c r="A1427" t="s">
        <v>1480</v>
      </c>
      <c r="B1427" t="s">
        <v>30</v>
      </c>
      <c r="C1427">
        <v>125</v>
      </c>
      <c r="D1427">
        <v>3458</v>
      </c>
      <c r="E1427" s="2">
        <v>180.49</v>
      </c>
      <c r="F1427">
        <v>19</v>
      </c>
      <c r="G1427">
        <v>3</v>
      </c>
      <c r="H1427">
        <v>4.5999999999999999E-2</v>
      </c>
      <c r="I1427" s="3">
        <v>1754</v>
      </c>
      <c r="J1427" s="1">
        <v>45605</v>
      </c>
      <c r="K1427" t="s">
        <v>31</v>
      </c>
      <c r="L1427" t="s">
        <v>9</v>
      </c>
      <c r="M1427" t="s">
        <v>37</v>
      </c>
      <c r="N1427" s="1">
        <f t="shared" si="132"/>
        <v>45605</v>
      </c>
      <c r="O1427" s="4">
        <f t="shared" si="133"/>
        <v>3.6148062463851938E-2</v>
      </c>
      <c r="P1427">
        <f t="shared" si="134"/>
        <v>1.4439200000000001</v>
      </c>
      <c r="Q1427" s="2">
        <f t="shared" si="135"/>
        <v>9.4994736842105265</v>
      </c>
      <c r="R1427" s="2">
        <f t="shared" si="136"/>
        <v>60.163333333333334</v>
      </c>
      <c r="S1427" s="2">
        <f t="shared" si="137"/>
        <v>9.7179899163388548</v>
      </c>
    </row>
    <row r="1428" spans="1:19" hidden="1">
      <c r="A1428" t="s">
        <v>1481</v>
      </c>
      <c r="B1428" t="s">
        <v>30</v>
      </c>
      <c r="C1428">
        <v>151</v>
      </c>
      <c r="D1428">
        <v>5432</v>
      </c>
      <c r="E1428" s="2">
        <v>204.76</v>
      </c>
      <c r="F1428">
        <v>18</v>
      </c>
      <c r="G1428">
        <v>9</v>
      </c>
      <c r="H1428">
        <v>0.06</v>
      </c>
      <c r="I1428" s="3">
        <v>1505</v>
      </c>
      <c r="J1428" s="1">
        <v>45609</v>
      </c>
      <c r="K1428" t="s">
        <v>31</v>
      </c>
      <c r="L1428" t="s">
        <v>8</v>
      </c>
      <c r="M1428" t="s">
        <v>39</v>
      </c>
      <c r="N1428" s="1">
        <f t="shared" si="132"/>
        <v>45609</v>
      </c>
      <c r="O1428" s="4">
        <f t="shared" si="133"/>
        <v>2.779823269513991E-2</v>
      </c>
      <c r="P1428">
        <f t="shared" si="134"/>
        <v>1.3560264900662251</v>
      </c>
      <c r="Q1428" s="2">
        <f t="shared" si="135"/>
        <v>11.375555555555556</v>
      </c>
      <c r="R1428" s="2">
        <f t="shared" si="136"/>
        <v>22.751111111111111</v>
      </c>
      <c r="S1428" s="2">
        <f t="shared" si="137"/>
        <v>7.3500683727290488</v>
      </c>
    </row>
    <row r="1429" spans="1:19" hidden="1">
      <c r="A1429" t="s">
        <v>1482</v>
      </c>
      <c r="B1429" t="s">
        <v>30</v>
      </c>
      <c r="C1429">
        <v>82</v>
      </c>
      <c r="D1429">
        <v>3052</v>
      </c>
      <c r="E1429" s="2">
        <v>211.11</v>
      </c>
      <c r="F1429">
        <v>12</v>
      </c>
      <c r="G1429">
        <v>3</v>
      </c>
      <c r="H1429">
        <v>3.6999999999999998E-2</v>
      </c>
      <c r="I1429" s="3">
        <v>1917</v>
      </c>
      <c r="J1429" s="1">
        <v>45602</v>
      </c>
      <c r="K1429" t="s">
        <v>31</v>
      </c>
      <c r="L1429" t="s">
        <v>7</v>
      </c>
      <c r="M1429" t="s">
        <v>32</v>
      </c>
      <c r="N1429" s="1">
        <f t="shared" si="132"/>
        <v>45602</v>
      </c>
      <c r="O1429" s="4">
        <f t="shared" si="133"/>
        <v>2.6867627785058978E-2</v>
      </c>
      <c r="P1429">
        <f t="shared" si="134"/>
        <v>2.5745121951219514</v>
      </c>
      <c r="Q1429" s="2">
        <f t="shared" si="135"/>
        <v>17.592500000000001</v>
      </c>
      <c r="R1429" s="2">
        <f t="shared" si="136"/>
        <v>70.37</v>
      </c>
      <c r="S1429" s="2">
        <f t="shared" si="137"/>
        <v>9.0805741082847806</v>
      </c>
    </row>
    <row r="1430" spans="1:19" hidden="1">
      <c r="A1430" t="s">
        <v>1483</v>
      </c>
      <c r="B1430" t="s">
        <v>30</v>
      </c>
      <c r="C1430">
        <v>198</v>
      </c>
      <c r="D1430">
        <v>5718</v>
      </c>
      <c r="E1430" s="2">
        <v>194.37</v>
      </c>
      <c r="F1430">
        <v>13</v>
      </c>
      <c r="G1430">
        <v>8</v>
      </c>
      <c r="H1430">
        <v>0.04</v>
      </c>
      <c r="I1430" s="3">
        <v>1118</v>
      </c>
      <c r="J1430" s="1">
        <v>45612</v>
      </c>
      <c r="K1430" t="s">
        <v>31</v>
      </c>
      <c r="L1430" t="s">
        <v>9</v>
      </c>
      <c r="M1430" t="s">
        <v>39</v>
      </c>
      <c r="N1430" s="1">
        <f t="shared" si="132"/>
        <v>45612</v>
      </c>
      <c r="O1430" s="4">
        <f t="shared" si="133"/>
        <v>3.4627492130115428E-2</v>
      </c>
      <c r="P1430">
        <f t="shared" si="134"/>
        <v>0.98166666666666669</v>
      </c>
      <c r="Q1430" s="2">
        <f t="shared" si="135"/>
        <v>14.951538461538462</v>
      </c>
      <c r="R1430" s="2">
        <f t="shared" si="136"/>
        <v>24.296250000000001</v>
      </c>
      <c r="S1430" s="2">
        <f t="shared" si="137"/>
        <v>5.7519164480115244</v>
      </c>
    </row>
    <row r="1431" spans="1:19" hidden="1">
      <c r="A1431" t="s">
        <v>1484</v>
      </c>
      <c r="B1431" t="s">
        <v>30</v>
      </c>
      <c r="C1431">
        <v>115</v>
      </c>
      <c r="D1431">
        <v>4762</v>
      </c>
      <c r="E1431" s="2">
        <v>241.63</v>
      </c>
      <c r="F1431">
        <v>20</v>
      </c>
      <c r="G1431">
        <v>8</v>
      </c>
      <c r="H1431">
        <v>5.8000000000000003E-2</v>
      </c>
      <c r="I1431" s="3">
        <v>1555</v>
      </c>
      <c r="J1431" s="1">
        <v>45362</v>
      </c>
      <c r="K1431" t="s">
        <v>31</v>
      </c>
      <c r="L1431" t="s">
        <v>7</v>
      </c>
      <c r="M1431" t="s">
        <v>35</v>
      </c>
      <c r="N1431" s="1">
        <f t="shared" si="132"/>
        <v>45362</v>
      </c>
      <c r="O1431" s="4">
        <f t="shared" si="133"/>
        <v>2.4149517009659806E-2</v>
      </c>
      <c r="P1431">
        <f t="shared" si="134"/>
        <v>2.1011304347826085</v>
      </c>
      <c r="Q1431" s="2">
        <f t="shared" si="135"/>
        <v>12.0815</v>
      </c>
      <c r="R1431" s="2">
        <f t="shared" si="136"/>
        <v>30.203749999999999</v>
      </c>
      <c r="S1431" s="2">
        <f t="shared" si="137"/>
        <v>6.4354591731159214</v>
      </c>
    </row>
    <row r="1432" spans="1:19" hidden="1">
      <c r="A1432" t="s">
        <v>1485</v>
      </c>
      <c r="B1432" t="s">
        <v>30</v>
      </c>
      <c r="C1432">
        <v>158</v>
      </c>
      <c r="D1432">
        <v>4953</v>
      </c>
      <c r="E1432" s="2">
        <v>243.07</v>
      </c>
      <c r="F1432">
        <v>20</v>
      </c>
      <c r="G1432">
        <v>8</v>
      </c>
      <c r="H1432">
        <v>5.0999999999999997E-2</v>
      </c>
      <c r="I1432" s="3">
        <v>1955</v>
      </c>
      <c r="J1432" s="1">
        <v>45600</v>
      </c>
      <c r="K1432" t="s">
        <v>31</v>
      </c>
      <c r="L1432" t="s">
        <v>9</v>
      </c>
      <c r="M1432" t="s">
        <v>32</v>
      </c>
      <c r="N1432" s="1">
        <f t="shared" si="132"/>
        <v>45600</v>
      </c>
      <c r="O1432" s="4">
        <f t="shared" si="133"/>
        <v>3.1899858671512217E-2</v>
      </c>
      <c r="P1432">
        <f t="shared" si="134"/>
        <v>1.5384177215189874</v>
      </c>
      <c r="Q1432" s="2">
        <f t="shared" si="135"/>
        <v>12.153499999999999</v>
      </c>
      <c r="R1432" s="2">
        <f t="shared" si="136"/>
        <v>30.383749999999999</v>
      </c>
      <c r="S1432" s="2">
        <f t="shared" si="137"/>
        <v>8.0429505903649154</v>
      </c>
    </row>
    <row r="1433" spans="1:19" hidden="1">
      <c r="A1433" t="s">
        <v>1486</v>
      </c>
      <c r="B1433" t="s">
        <v>30</v>
      </c>
      <c r="C1433">
        <v>102</v>
      </c>
      <c r="D1433">
        <v>3784</v>
      </c>
      <c r="E1433" s="2">
        <v>219.45</v>
      </c>
      <c r="F1433">
        <v>13</v>
      </c>
      <c r="G1433">
        <v>9</v>
      </c>
      <c r="H1433">
        <v>4.4999999999999998E-2</v>
      </c>
      <c r="I1433" s="3">
        <v>1967</v>
      </c>
      <c r="J1433" s="1">
        <v>45616</v>
      </c>
      <c r="K1433" t="s">
        <v>31</v>
      </c>
      <c r="L1433" t="s">
        <v>7</v>
      </c>
      <c r="M1433" t="s">
        <v>35</v>
      </c>
      <c r="N1433" s="1">
        <f t="shared" si="132"/>
        <v>45616</v>
      </c>
      <c r="O1433" s="4">
        <f t="shared" si="133"/>
        <v>2.6955602536997886E-2</v>
      </c>
      <c r="P1433">
        <f t="shared" si="134"/>
        <v>2.151470588235294</v>
      </c>
      <c r="Q1433" s="2">
        <f t="shared" si="135"/>
        <v>16.880769230769229</v>
      </c>
      <c r="R1433" s="2">
        <f t="shared" si="136"/>
        <v>24.383333333333333</v>
      </c>
      <c r="S1433" s="2">
        <f t="shared" si="137"/>
        <v>8.9633173843700167</v>
      </c>
    </row>
    <row r="1434" spans="1:19" hidden="1">
      <c r="A1434" t="s">
        <v>1487</v>
      </c>
      <c r="B1434" t="s">
        <v>30</v>
      </c>
      <c r="C1434">
        <v>93</v>
      </c>
      <c r="D1434">
        <v>4518.5</v>
      </c>
      <c r="E1434" s="2">
        <v>192.81</v>
      </c>
      <c r="F1434">
        <v>22</v>
      </c>
      <c r="G1434">
        <v>7</v>
      </c>
      <c r="H1434">
        <v>7.4999999999999997E-2</v>
      </c>
      <c r="I1434" s="3">
        <v>1726</v>
      </c>
      <c r="J1434" s="1">
        <v>45614</v>
      </c>
      <c r="K1434" t="s">
        <v>31</v>
      </c>
      <c r="L1434" t="s">
        <v>7</v>
      </c>
      <c r="M1434" t="s">
        <v>32</v>
      </c>
      <c r="N1434" s="1">
        <f t="shared" si="132"/>
        <v>45614</v>
      </c>
      <c r="O1434" s="4">
        <f t="shared" si="133"/>
        <v>2.0582051565785107E-2</v>
      </c>
      <c r="P1434">
        <f t="shared" si="134"/>
        <v>2.0732258064516129</v>
      </c>
      <c r="Q1434" s="2">
        <f t="shared" si="135"/>
        <v>8.7640909090909087</v>
      </c>
      <c r="R1434" s="2">
        <f t="shared" si="136"/>
        <v>27.544285714285714</v>
      </c>
      <c r="S1434" s="2">
        <f t="shared" si="137"/>
        <v>8.9518178517711728</v>
      </c>
    </row>
    <row r="1435" spans="1:19" hidden="1">
      <c r="A1435" t="s">
        <v>1488</v>
      </c>
      <c r="B1435" t="s">
        <v>30</v>
      </c>
      <c r="C1435">
        <v>198</v>
      </c>
      <c r="D1435">
        <v>5860</v>
      </c>
      <c r="E1435" s="2">
        <v>185.25</v>
      </c>
      <c r="F1435">
        <v>24</v>
      </c>
      <c r="G1435">
        <v>9</v>
      </c>
      <c r="H1435">
        <v>4.1000000000000002E-2</v>
      </c>
      <c r="I1435" s="3">
        <v>1950</v>
      </c>
      <c r="J1435" s="1">
        <v>45597</v>
      </c>
      <c r="K1435" t="s">
        <v>31</v>
      </c>
      <c r="L1435" t="s">
        <v>9</v>
      </c>
      <c r="M1435" t="s">
        <v>39</v>
      </c>
      <c r="N1435" s="1">
        <f t="shared" si="132"/>
        <v>45597</v>
      </c>
      <c r="O1435" s="4">
        <f t="shared" si="133"/>
        <v>3.3788395904436858E-2</v>
      </c>
      <c r="P1435">
        <f t="shared" si="134"/>
        <v>0.93560606060606055</v>
      </c>
      <c r="Q1435" s="2">
        <f t="shared" si="135"/>
        <v>7.71875</v>
      </c>
      <c r="R1435" s="2">
        <f t="shared" si="136"/>
        <v>20.583333333333332</v>
      </c>
      <c r="S1435" s="2">
        <f t="shared" si="137"/>
        <v>10.526315789473685</v>
      </c>
    </row>
    <row r="1436" spans="1:19" hidden="1">
      <c r="A1436" t="s">
        <v>1489</v>
      </c>
      <c r="B1436" t="s">
        <v>30</v>
      </c>
      <c r="C1436">
        <v>174</v>
      </c>
      <c r="D1436">
        <v>4169</v>
      </c>
      <c r="E1436" s="2">
        <v>189.36</v>
      </c>
      <c r="F1436">
        <v>23</v>
      </c>
      <c r="G1436">
        <v>8</v>
      </c>
      <c r="H1436">
        <v>4.5999999999999999E-2</v>
      </c>
      <c r="I1436" s="3">
        <v>1110</v>
      </c>
      <c r="J1436" s="1">
        <v>45610</v>
      </c>
      <c r="K1436" t="s">
        <v>31</v>
      </c>
      <c r="L1436" t="s">
        <v>9</v>
      </c>
      <c r="M1436" t="s">
        <v>35</v>
      </c>
      <c r="N1436" s="1">
        <f t="shared" si="132"/>
        <v>45610</v>
      </c>
      <c r="O1436" s="4">
        <f t="shared" si="133"/>
        <v>4.1736627488606383E-2</v>
      </c>
      <c r="P1436">
        <f t="shared" si="134"/>
        <v>1.0882758620689656</v>
      </c>
      <c r="Q1436" s="2">
        <f t="shared" si="135"/>
        <v>8.2330434782608695</v>
      </c>
      <c r="R1436" s="2">
        <f t="shared" si="136"/>
        <v>23.67</v>
      </c>
      <c r="S1436" s="2">
        <f t="shared" si="137"/>
        <v>5.8618504435994927</v>
      </c>
    </row>
    <row r="1437" spans="1:19">
      <c r="A1437" t="s">
        <v>1490</v>
      </c>
      <c r="B1437" t="s">
        <v>30</v>
      </c>
      <c r="C1437">
        <v>193</v>
      </c>
      <c r="D1437">
        <v>5831</v>
      </c>
      <c r="E1437" s="2">
        <v>215.57</v>
      </c>
      <c r="F1437">
        <v>24</v>
      </c>
      <c r="G1437">
        <v>5</v>
      </c>
      <c r="H1437">
        <v>4.5999999999999999E-2</v>
      </c>
      <c r="I1437" s="3">
        <v>1265</v>
      </c>
      <c r="J1437" s="1">
        <v>45610</v>
      </c>
      <c r="K1437" t="s">
        <v>31</v>
      </c>
      <c r="L1437" t="s">
        <v>8</v>
      </c>
      <c r="M1437" t="s">
        <v>41</v>
      </c>
      <c r="N1437" s="1">
        <f t="shared" si="132"/>
        <v>45610</v>
      </c>
      <c r="O1437" s="4">
        <f t="shared" si="133"/>
        <v>3.3098953867261187E-2</v>
      </c>
      <c r="P1437">
        <f t="shared" si="134"/>
        <v>1.1169430051813471</v>
      </c>
      <c r="Q1437" s="2">
        <f t="shared" si="135"/>
        <v>8.9820833333333336</v>
      </c>
      <c r="R1437" s="2">
        <f t="shared" si="136"/>
        <v>43.113999999999997</v>
      </c>
      <c r="S1437" s="2">
        <f t="shared" si="137"/>
        <v>5.8681634735816672</v>
      </c>
    </row>
    <row r="1438" spans="1:19">
      <c r="A1438" t="s">
        <v>1491</v>
      </c>
      <c r="B1438" t="s">
        <v>30</v>
      </c>
      <c r="C1438">
        <v>117</v>
      </c>
      <c r="D1438">
        <v>5269</v>
      </c>
      <c r="E1438" s="2">
        <v>196.1</v>
      </c>
      <c r="F1438">
        <v>26</v>
      </c>
      <c r="G1438">
        <v>7</v>
      </c>
      <c r="H1438">
        <v>4.5999999999999999E-2</v>
      </c>
      <c r="I1438" s="3">
        <v>1096</v>
      </c>
      <c r="J1438" s="1">
        <v>45423</v>
      </c>
      <c r="K1438" t="s">
        <v>31</v>
      </c>
      <c r="L1438" t="s">
        <v>7</v>
      </c>
      <c r="M1438" t="s">
        <v>41</v>
      </c>
      <c r="N1438" s="1">
        <f t="shared" si="132"/>
        <v>45423</v>
      </c>
      <c r="O1438" s="4">
        <f t="shared" si="133"/>
        <v>2.2205352059214273E-2</v>
      </c>
      <c r="P1438">
        <f t="shared" si="134"/>
        <v>1.6760683760683761</v>
      </c>
      <c r="Q1438" s="2">
        <f t="shared" si="135"/>
        <v>7.5423076923076922</v>
      </c>
      <c r="R1438" s="2">
        <f t="shared" si="136"/>
        <v>28.014285714285712</v>
      </c>
      <c r="S1438" s="2">
        <f t="shared" si="137"/>
        <v>5.5889852116267216</v>
      </c>
    </row>
    <row r="1439" spans="1:19" hidden="1">
      <c r="A1439" t="s">
        <v>1492</v>
      </c>
      <c r="B1439" t="s">
        <v>30</v>
      </c>
      <c r="C1439">
        <v>147</v>
      </c>
      <c r="D1439">
        <v>5793</v>
      </c>
      <c r="E1439" s="2">
        <v>240.32</v>
      </c>
      <c r="F1439">
        <v>25</v>
      </c>
      <c r="G1439">
        <v>5</v>
      </c>
      <c r="H1439">
        <v>4.9000000000000002E-2</v>
      </c>
      <c r="I1439" s="3">
        <v>1645</v>
      </c>
      <c r="J1439" s="1">
        <v>45623</v>
      </c>
      <c r="K1439" t="s">
        <v>31</v>
      </c>
      <c r="L1439" t="s">
        <v>9</v>
      </c>
      <c r="M1439" t="s">
        <v>35</v>
      </c>
      <c r="N1439" s="1">
        <f t="shared" si="132"/>
        <v>45623</v>
      </c>
      <c r="O1439" s="4">
        <f t="shared" si="133"/>
        <v>2.5375453133091662E-2</v>
      </c>
      <c r="P1439">
        <f t="shared" si="134"/>
        <v>1.634829931972789</v>
      </c>
      <c r="Q1439" s="2">
        <f t="shared" si="135"/>
        <v>9.6128</v>
      </c>
      <c r="R1439" s="2">
        <f t="shared" si="136"/>
        <v>48.064</v>
      </c>
      <c r="S1439" s="2">
        <f t="shared" si="137"/>
        <v>6.8450399467376837</v>
      </c>
    </row>
    <row r="1440" spans="1:19" hidden="1">
      <c r="A1440" t="s">
        <v>1493</v>
      </c>
      <c r="B1440" t="s">
        <v>30</v>
      </c>
      <c r="C1440">
        <v>179</v>
      </c>
      <c r="D1440">
        <v>3338</v>
      </c>
      <c r="E1440" s="2">
        <v>218.33</v>
      </c>
      <c r="F1440">
        <v>30</v>
      </c>
      <c r="G1440">
        <v>7</v>
      </c>
      <c r="H1440">
        <v>3.9E-2</v>
      </c>
      <c r="I1440" s="3">
        <v>1505</v>
      </c>
      <c r="J1440" s="1">
        <v>45620</v>
      </c>
      <c r="K1440" t="s">
        <v>31</v>
      </c>
      <c r="L1440" t="s">
        <v>7</v>
      </c>
      <c r="M1440" t="s">
        <v>37</v>
      </c>
      <c r="N1440" s="1">
        <f t="shared" si="132"/>
        <v>45620</v>
      </c>
      <c r="O1440" s="4">
        <f t="shared" si="133"/>
        <v>5.3624925104853206E-2</v>
      </c>
      <c r="P1440">
        <f t="shared" si="134"/>
        <v>1.2197206703910615</v>
      </c>
      <c r="Q1440" s="2">
        <f t="shared" si="135"/>
        <v>7.2776666666666667</v>
      </c>
      <c r="R1440" s="2">
        <f t="shared" si="136"/>
        <v>31.19</v>
      </c>
      <c r="S1440" s="2">
        <f t="shared" si="137"/>
        <v>6.8932350112215452</v>
      </c>
    </row>
    <row r="1441" spans="1:19">
      <c r="A1441" t="s">
        <v>1494</v>
      </c>
      <c r="B1441" t="s">
        <v>30</v>
      </c>
      <c r="C1441">
        <v>194</v>
      </c>
      <c r="D1441">
        <v>4297</v>
      </c>
      <c r="E1441" s="2">
        <v>237.87</v>
      </c>
      <c r="F1441">
        <v>22</v>
      </c>
      <c r="G1441">
        <v>3</v>
      </c>
      <c r="H1441">
        <v>4.5999999999999999E-2</v>
      </c>
      <c r="I1441" s="3">
        <v>1739</v>
      </c>
      <c r="J1441" s="1">
        <v>45625</v>
      </c>
      <c r="K1441" t="s">
        <v>31</v>
      </c>
      <c r="L1441" t="s">
        <v>7</v>
      </c>
      <c r="M1441" t="s">
        <v>35</v>
      </c>
      <c r="N1441" s="1">
        <f t="shared" si="132"/>
        <v>45625</v>
      </c>
      <c r="O1441" s="4">
        <f t="shared" si="133"/>
        <v>4.514777751919944E-2</v>
      </c>
      <c r="P1441">
        <f t="shared" si="134"/>
        <v>1.2261340206185567</v>
      </c>
      <c r="Q1441" s="2">
        <f t="shared" si="135"/>
        <v>10.812272727272727</v>
      </c>
      <c r="R1441" s="2">
        <f t="shared" si="136"/>
        <v>79.290000000000006</v>
      </c>
      <c r="S1441" s="2">
        <f t="shared" si="137"/>
        <v>7.3107159372766635</v>
      </c>
    </row>
    <row r="1442" spans="1:19">
      <c r="A1442" t="s">
        <v>1495</v>
      </c>
      <c r="B1442" t="s">
        <v>30</v>
      </c>
      <c r="C1442">
        <v>112</v>
      </c>
      <c r="D1442">
        <v>3961</v>
      </c>
      <c r="E1442" s="2">
        <v>214.45</v>
      </c>
      <c r="F1442">
        <v>13</v>
      </c>
      <c r="G1442">
        <v>7</v>
      </c>
      <c r="H1442">
        <v>4.5999999999999999E-2</v>
      </c>
      <c r="I1442" s="3">
        <v>1594</v>
      </c>
      <c r="J1442" s="1">
        <v>45613</v>
      </c>
      <c r="K1442" t="s">
        <v>31</v>
      </c>
      <c r="L1442" t="s">
        <v>7</v>
      </c>
      <c r="M1442" t="s">
        <v>46</v>
      </c>
      <c r="N1442" s="1">
        <f t="shared" si="132"/>
        <v>45613</v>
      </c>
      <c r="O1442" s="4">
        <f t="shared" si="133"/>
        <v>2.8275687957586469E-2</v>
      </c>
      <c r="P1442">
        <f t="shared" si="134"/>
        <v>1.9147321428571427</v>
      </c>
      <c r="Q1442" s="2">
        <f t="shared" si="135"/>
        <v>16.496153846153845</v>
      </c>
      <c r="R1442" s="2">
        <f t="shared" si="136"/>
        <v>30.635714285714283</v>
      </c>
      <c r="S1442" s="2">
        <f t="shared" si="137"/>
        <v>7.4329680578223369</v>
      </c>
    </row>
    <row r="1443" spans="1:19" hidden="1">
      <c r="A1443" t="s">
        <v>1496</v>
      </c>
      <c r="B1443" t="s">
        <v>30</v>
      </c>
      <c r="C1443">
        <v>88</v>
      </c>
      <c r="D1443">
        <v>5063</v>
      </c>
      <c r="E1443" s="2">
        <v>195.2</v>
      </c>
      <c r="F1443">
        <v>22</v>
      </c>
      <c r="G1443">
        <v>3</v>
      </c>
      <c r="H1443">
        <v>3.4000000000000002E-2</v>
      </c>
      <c r="I1443" s="3">
        <v>1460</v>
      </c>
      <c r="J1443" s="1">
        <v>45616</v>
      </c>
      <c r="K1443" t="s">
        <v>31</v>
      </c>
      <c r="L1443" t="s">
        <v>8</v>
      </c>
      <c r="M1443" t="s">
        <v>46</v>
      </c>
      <c r="N1443" s="1">
        <f t="shared" si="132"/>
        <v>45616</v>
      </c>
      <c r="O1443" s="4">
        <f t="shared" si="133"/>
        <v>1.738099940746593E-2</v>
      </c>
      <c r="P1443">
        <f t="shared" si="134"/>
        <v>2.2181818181818183</v>
      </c>
      <c r="Q1443" s="2">
        <f t="shared" si="135"/>
        <v>8.872727272727273</v>
      </c>
      <c r="R1443" s="2">
        <f t="shared" si="136"/>
        <v>65.066666666666663</v>
      </c>
      <c r="S1443" s="2">
        <f t="shared" si="137"/>
        <v>7.4795081967213122</v>
      </c>
    </row>
    <row r="1444" spans="1:19" hidden="1">
      <c r="A1444" t="s">
        <v>1497</v>
      </c>
      <c r="B1444" t="s">
        <v>30</v>
      </c>
      <c r="C1444">
        <v>172</v>
      </c>
      <c r="D1444">
        <v>5635</v>
      </c>
      <c r="E1444" s="2">
        <v>200.16</v>
      </c>
      <c r="F1444">
        <v>21</v>
      </c>
      <c r="G1444">
        <v>7</v>
      </c>
      <c r="H1444">
        <v>3.5999999999999997E-2</v>
      </c>
      <c r="I1444" s="3">
        <v>1727</v>
      </c>
      <c r="J1444" s="1" t="s">
        <v>50</v>
      </c>
      <c r="K1444" t="s">
        <v>31</v>
      </c>
      <c r="L1444" t="s">
        <v>8</v>
      </c>
      <c r="M1444" t="s">
        <v>37</v>
      </c>
      <c r="N1444" s="1">
        <f t="shared" si="132"/>
        <v>45610</v>
      </c>
      <c r="O1444" s="4">
        <f t="shared" si="133"/>
        <v>3.0523513753327416E-2</v>
      </c>
      <c r="P1444">
        <f t="shared" si="134"/>
        <v>1.1637209302325582</v>
      </c>
      <c r="Q1444" s="2">
        <f t="shared" si="135"/>
        <v>9.531428571428572</v>
      </c>
      <c r="R1444" s="2">
        <f t="shared" si="136"/>
        <v>28.594285714285714</v>
      </c>
      <c r="S1444" s="2">
        <f t="shared" si="137"/>
        <v>8.628097521982415</v>
      </c>
    </row>
    <row r="1445" spans="1:19" hidden="1">
      <c r="A1445" t="s">
        <v>1498</v>
      </c>
      <c r="B1445" t="s">
        <v>30</v>
      </c>
      <c r="C1445">
        <v>81</v>
      </c>
      <c r="D1445">
        <v>4404</v>
      </c>
      <c r="E1445" s="2">
        <v>239.62</v>
      </c>
      <c r="F1445">
        <v>11</v>
      </c>
      <c r="G1445">
        <v>4</v>
      </c>
      <c r="H1445">
        <v>3.5000000000000003E-2</v>
      </c>
      <c r="I1445" s="3">
        <v>1814</v>
      </c>
      <c r="J1445" s="1">
        <v>45617</v>
      </c>
      <c r="K1445" t="s">
        <v>31</v>
      </c>
      <c r="L1445" t="s">
        <v>8</v>
      </c>
      <c r="M1445" t="s">
        <v>35</v>
      </c>
      <c r="N1445" s="1">
        <f t="shared" si="132"/>
        <v>45617</v>
      </c>
      <c r="O1445" s="4">
        <f t="shared" si="133"/>
        <v>1.8392370572207085E-2</v>
      </c>
      <c r="P1445">
        <f t="shared" si="134"/>
        <v>2.9582716049382718</v>
      </c>
      <c r="Q1445" s="2">
        <f t="shared" si="135"/>
        <v>21.783636363636365</v>
      </c>
      <c r="R1445" s="2">
        <f t="shared" si="136"/>
        <v>59.905000000000001</v>
      </c>
      <c r="S1445" s="2">
        <f t="shared" si="137"/>
        <v>7.5703196728152911</v>
      </c>
    </row>
    <row r="1446" spans="1:19" hidden="1">
      <c r="A1446" t="s">
        <v>1499</v>
      </c>
      <c r="B1446" t="s">
        <v>30</v>
      </c>
      <c r="C1446">
        <v>142</v>
      </c>
      <c r="D1446">
        <v>4312</v>
      </c>
      <c r="E1446" s="2">
        <v>213.54</v>
      </c>
      <c r="F1446">
        <v>21</v>
      </c>
      <c r="G1446">
        <v>7</v>
      </c>
      <c r="H1446">
        <v>4.9000000000000002E-2</v>
      </c>
      <c r="I1446" s="3">
        <v>1666</v>
      </c>
      <c r="J1446" s="1">
        <v>45616</v>
      </c>
      <c r="K1446" t="s">
        <v>31</v>
      </c>
      <c r="L1446" t="s">
        <v>7</v>
      </c>
      <c r="M1446" t="s">
        <v>32</v>
      </c>
      <c r="N1446" s="1">
        <f t="shared" si="132"/>
        <v>45616</v>
      </c>
      <c r="O1446" s="4">
        <f t="shared" si="133"/>
        <v>3.2931354359925787E-2</v>
      </c>
      <c r="P1446">
        <f t="shared" si="134"/>
        <v>1.5038028169014084</v>
      </c>
      <c r="Q1446" s="2">
        <f t="shared" si="135"/>
        <v>10.168571428571429</v>
      </c>
      <c r="R1446" s="2">
        <f t="shared" si="136"/>
        <v>30.505714285714284</v>
      </c>
      <c r="S1446" s="2">
        <f t="shared" si="137"/>
        <v>7.8018169897911402</v>
      </c>
    </row>
    <row r="1447" spans="1:19">
      <c r="A1447" t="s">
        <v>1500</v>
      </c>
      <c r="B1447" t="s">
        <v>30</v>
      </c>
      <c r="C1447">
        <v>111</v>
      </c>
      <c r="D1447">
        <v>3302</v>
      </c>
      <c r="E1447" s="2">
        <v>193.18</v>
      </c>
      <c r="F1447">
        <v>30</v>
      </c>
      <c r="G1447">
        <v>10</v>
      </c>
      <c r="H1447">
        <v>4.5999999999999999E-2</v>
      </c>
      <c r="I1447" s="3">
        <v>1783</v>
      </c>
      <c r="J1447" s="1" t="s">
        <v>348</v>
      </c>
      <c r="K1447" t="s">
        <v>31</v>
      </c>
      <c r="L1447" t="s">
        <v>8</v>
      </c>
      <c r="M1447" t="s">
        <v>46</v>
      </c>
      <c r="N1447" s="1">
        <f t="shared" si="132"/>
        <v>45615</v>
      </c>
      <c r="O1447" s="4">
        <f t="shared" si="133"/>
        <v>3.3615990308903693E-2</v>
      </c>
      <c r="P1447">
        <f t="shared" si="134"/>
        <v>1.7403603603603603</v>
      </c>
      <c r="Q1447" s="2">
        <f t="shared" si="135"/>
        <v>6.4393333333333338</v>
      </c>
      <c r="R1447" s="2">
        <f t="shared" si="136"/>
        <v>19.318000000000001</v>
      </c>
      <c r="S1447" s="2">
        <f t="shared" si="137"/>
        <v>9.2297339269075476</v>
      </c>
    </row>
    <row r="1448" spans="1:19" hidden="1">
      <c r="A1448" t="s">
        <v>1501</v>
      </c>
      <c r="B1448" t="s">
        <v>30</v>
      </c>
      <c r="C1448">
        <v>81</v>
      </c>
      <c r="D1448">
        <v>3575</v>
      </c>
      <c r="E1448" s="2">
        <v>192.71</v>
      </c>
      <c r="F1448">
        <v>27</v>
      </c>
      <c r="G1448">
        <v>4</v>
      </c>
      <c r="H1448">
        <v>4.9000000000000002E-2</v>
      </c>
      <c r="I1448" s="3">
        <v>1158</v>
      </c>
      <c r="J1448" s="1">
        <v>45607</v>
      </c>
      <c r="K1448" t="s">
        <v>31</v>
      </c>
      <c r="L1448" t="s">
        <v>9</v>
      </c>
      <c r="M1448" t="s">
        <v>41</v>
      </c>
      <c r="N1448" s="1">
        <f t="shared" si="132"/>
        <v>45607</v>
      </c>
      <c r="O1448" s="4">
        <f t="shared" si="133"/>
        <v>2.2657342657342656E-2</v>
      </c>
      <c r="P1448">
        <f t="shared" si="134"/>
        <v>2.3791358024691358</v>
      </c>
      <c r="Q1448" s="2">
        <f t="shared" si="135"/>
        <v>7.1374074074074079</v>
      </c>
      <c r="R1448" s="2">
        <f t="shared" si="136"/>
        <v>48.177500000000002</v>
      </c>
      <c r="S1448" s="2">
        <f t="shared" si="137"/>
        <v>6.0090291110995793</v>
      </c>
    </row>
    <row r="1449" spans="1:19" hidden="1">
      <c r="A1449" t="s">
        <v>1502</v>
      </c>
      <c r="B1449" t="s">
        <v>30</v>
      </c>
      <c r="C1449">
        <v>112</v>
      </c>
      <c r="D1449">
        <v>5055</v>
      </c>
      <c r="E1449" s="2">
        <v>213.36</v>
      </c>
      <c r="F1449">
        <v>26</v>
      </c>
      <c r="G1449">
        <v>5</v>
      </c>
      <c r="H1449">
        <v>5.8000000000000003E-2</v>
      </c>
      <c r="I1449" s="3">
        <v>1959</v>
      </c>
      <c r="J1449" s="1">
        <v>45625</v>
      </c>
      <c r="K1449" t="s">
        <v>31</v>
      </c>
      <c r="L1449" t="s">
        <v>7</v>
      </c>
      <c r="M1449" t="s">
        <v>39</v>
      </c>
      <c r="N1449" s="1">
        <f t="shared" si="132"/>
        <v>45625</v>
      </c>
      <c r="O1449" s="4">
        <f t="shared" si="133"/>
        <v>2.2156280909990108E-2</v>
      </c>
      <c r="P1449">
        <f t="shared" si="134"/>
        <v>1.905</v>
      </c>
      <c r="Q1449" s="2">
        <f t="shared" si="135"/>
        <v>8.2061538461538461</v>
      </c>
      <c r="R1449" s="2">
        <f t="shared" si="136"/>
        <v>42.672000000000004</v>
      </c>
      <c r="S1449" s="2">
        <f t="shared" si="137"/>
        <v>9.1816647919010119</v>
      </c>
    </row>
    <row r="1450" spans="1:19" hidden="1">
      <c r="A1450" t="s">
        <v>1503</v>
      </c>
      <c r="B1450" t="s">
        <v>30</v>
      </c>
      <c r="C1450">
        <v>101</v>
      </c>
      <c r="D1450">
        <v>5415</v>
      </c>
      <c r="E1450" s="2">
        <v>236.41</v>
      </c>
      <c r="F1450">
        <v>13</v>
      </c>
      <c r="G1450">
        <v>10</v>
      </c>
      <c r="H1450">
        <v>3.9E-2</v>
      </c>
      <c r="I1450" s="3">
        <v>1832</v>
      </c>
      <c r="J1450" s="1" t="s">
        <v>89</v>
      </c>
      <c r="K1450" t="s">
        <v>31</v>
      </c>
      <c r="L1450" t="s">
        <v>9</v>
      </c>
      <c r="M1450" t="s">
        <v>32</v>
      </c>
      <c r="N1450" s="1">
        <f t="shared" si="132"/>
        <v>45611</v>
      </c>
      <c r="O1450" s="4">
        <f t="shared" si="133"/>
        <v>1.8651892890120036E-2</v>
      </c>
      <c r="P1450">
        <f t="shared" si="134"/>
        <v>2.3406930693069308</v>
      </c>
      <c r="Q1450" s="2">
        <f t="shared" si="135"/>
        <v>18.185384615384613</v>
      </c>
      <c r="R1450" s="2">
        <f t="shared" si="136"/>
        <v>23.640999999999998</v>
      </c>
      <c r="S1450" s="2">
        <f t="shared" si="137"/>
        <v>7.7492491857366437</v>
      </c>
    </row>
    <row r="1451" spans="1:19" hidden="1">
      <c r="A1451" t="s">
        <v>1504</v>
      </c>
      <c r="B1451" t="s">
        <v>30</v>
      </c>
      <c r="C1451">
        <v>166</v>
      </c>
      <c r="D1451">
        <v>3118</v>
      </c>
      <c r="E1451" s="2">
        <v>212.46</v>
      </c>
      <c r="F1451">
        <v>25</v>
      </c>
      <c r="G1451">
        <v>7</v>
      </c>
      <c r="H1451">
        <v>4.2000000000000003E-2</v>
      </c>
      <c r="I1451" s="3">
        <v>1813</v>
      </c>
      <c r="J1451" s="1">
        <v>45610</v>
      </c>
      <c r="K1451" t="s">
        <v>31</v>
      </c>
      <c r="L1451" t="s">
        <v>9</v>
      </c>
      <c r="M1451" t="s">
        <v>41</v>
      </c>
      <c r="N1451" s="1">
        <f t="shared" si="132"/>
        <v>45610</v>
      </c>
      <c r="O1451" s="4">
        <f t="shared" si="133"/>
        <v>5.3239255933290569E-2</v>
      </c>
      <c r="P1451">
        <f t="shared" si="134"/>
        <v>1.2798795180722893</v>
      </c>
      <c r="Q1451" s="2">
        <f t="shared" si="135"/>
        <v>8.4984000000000002</v>
      </c>
      <c r="R1451" s="2">
        <f t="shared" si="136"/>
        <v>30.351428571428574</v>
      </c>
      <c r="S1451" s="2">
        <f t="shared" si="137"/>
        <v>8.5333709874799961</v>
      </c>
    </row>
    <row r="1452" spans="1:19">
      <c r="A1452" t="s">
        <v>1505</v>
      </c>
      <c r="B1452" t="s">
        <v>30</v>
      </c>
      <c r="C1452">
        <v>139</v>
      </c>
      <c r="D1452">
        <v>5271</v>
      </c>
      <c r="E1452" s="2">
        <v>215.57</v>
      </c>
      <c r="F1452">
        <v>14</v>
      </c>
      <c r="G1452">
        <v>8</v>
      </c>
      <c r="H1452">
        <v>4.5999999999999999E-2</v>
      </c>
      <c r="I1452" s="3">
        <v>1629</v>
      </c>
      <c r="J1452" s="1">
        <v>45618</v>
      </c>
      <c r="K1452" t="s">
        <v>31</v>
      </c>
      <c r="L1452" t="s">
        <v>8</v>
      </c>
      <c r="M1452" t="s">
        <v>37</v>
      </c>
      <c r="N1452" s="1">
        <f t="shared" si="132"/>
        <v>45618</v>
      </c>
      <c r="O1452" s="4">
        <f t="shared" si="133"/>
        <v>2.6370707645608043E-2</v>
      </c>
      <c r="P1452">
        <f t="shared" si="134"/>
        <v>1.5508633093525179</v>
      </c>
      <c r="Q1452" s="2">
        <f t="shared" si="135"/>
        <v>15.397857142857143</v>
      </c>
      <c r="R1452" s="2">
        <f t="shared" si="136"/>
        <v>26.946249999999999</v>
      </c>
      <c r="S1452" s="2">
        <f t="shared" si="137"/>
        <v>7.55671011736327</v>
      </c>
    </row>
    <row r="1453" spans="1:19">
      <c r="A1453" t="s">
        <v>1506</v>
      </c>
      <c r="B1453" t="s">
        <v>30</v>
      </c>
      <c r="C1453">
        <v>148</v>
      </c>
      <c r="D1453">
        <v>4518.5</v>
      </c>
      <c r="E1453" s="2">
        <v>214.26</v>
      </c>
      <c r="F1453">
        <v>21</v>
      </c>
      <c r="G1453">
        <v>8</v>
      </c>
      <c r="H1453">
        <v>4.5999999999999999E-2</v>
      </c>
      <c r="I1453" s="3">
        <v>1629</v>
      </c>
      <c r="J1453" s="1">
        <v>45609</v>
      </c>
      <c r="K1453" t="s">
        <v>31</v>
      </c>
      <c r="L1453" t="s">
        <v>9</v>
      </c>
      <c r="M1453" t="s">
        <v>37</v>
      </c>
      <c r="N1453" s="1">
        <f t="shared" si="132"/>
        <v>45609</v>
      </c>
      <c r="O1453" s="4">
        <f t="shared" si="133"/>
        <v>3.2754232599313933E-2</v>
      </c>
      <c r="P1453">
        <f t="shared" si="134"/>
        <v>1.4477027027027027</v>
      </c>
      <c r="Q1453" s="2">
        <f t="shared" si="135"/>
        <v>10.202857142857143</v>
      </c>
      <c r="R1453" s="2">
        <f t="shared" si="136"/>
        <v>26.782499999999999</v>
      </c>
      <c r="S1453" s="2">
        <f t="shared" si="137"/>
        <v>7.6029123494819384</v>
      </c>
    </row>
    <row r="1454" spans="1:19" hidden="1">
      <c r="A1454" t="s">
        <v>1507</v>
      </c>
      <c r="B1454" t="s">
        <v>30</v>
      </c>
      <c r="C1454">
        <v>126</v>
      </c>
      <c r="D1454">
        <v>5250</v>
      </c>
      <c r="E1454" s="2">
        <v>239.73</v>
      </c>
      <c r="F1454">
        <v>30</v>
      </c>
      <c r="G1454">
        <v>4</v>
      </c>
      <c r="H1454">
        <v>3.2000000000000001E-2</v>
      </c>
      <c r="I1454" s="3">
        <v>1070</v>
      </c>
      <c r="J1454" s="1">
        <v>45619</v>
      </c>
      <c r="K1454" t="s">
        <v>31</v>
      </c>
      <c r="L1454" t="s">
        <v>9</v>
      </c>
      <c r="M1454" t="s">
        <v>46</v>
      </c>
      <c r="N1454" s="1">
        <f t="shared" si="132"/>
        <v>45619</v>
      </c>
      <c r="O1454" s="4">
        <f t="shared" si="133"/>
        <v>2.4E-2</v>
      </c>
      <c r="P1454">
        <f t="shared" si="134"/>
        <v>1.9026190476190474</v>
      </c>
      <c r="Q1454" s="2">
        <f t="shared" si="135"/>
        <v>7.9909999999999997</v>
      </c>
      <c r="R1454" s="2">
        <f t="shared" si="136"/>
        <v>59.932499999999997</v>
      </c>
      <c r="S1454" s="2">
        <f t="shared" si="137"/>
        <v>4.463354607266508</v>
      </c>
    </row>
    <row r="1455" spans="1:19" hidden="1">
      <c r="A1455" t="s">
        <v>1508</v>
      </c>
      <c r="B1455" t="s">
        <v>30</v>
      </c>
      <c r="C1455">
        <v>119</v>
      </c>
      <c r="D1455">
        <v>4405</v>
      </c>
      <c r="E1455" s="2">
        <v>233.66</v>
      </c>
      <c r="F1455">
        <v>25</v>
      </c>
      <c r="G1455">
        <v>3</v>
      </c>
      <c r="H1455">
        <v>3.9E-2</v>
      </c>
      <c r="I1455" s="3">
        <v>1407</v>
      </c>
      <c r="J1455" s="1">
        <v>45637</v>
      </c>
      <c r="K1455" t="s">
        <v>31</v>
      </c>
      <c r="L1455" t="s">
        <v>7</v>
      </c>
      <c r="M1455" t="s">
        <v>35</v>
      </c>
      <c r="N1455" s="1">
        <f t="shared" si="132"/>
        <v>45637</v>
      </c>
      <c r="O1455" s="4">
        <f t="shared" si="133"/>
        <v>2.7014755959137344E-2</v>
      </c>
      <c r="P1455">
        <f t="shared" si="134"/>
        <v>1.9635294117647057</v>
      </c>
      <c r="Q1455" s="2">
        <f t="shared" si="135"/>
        <v>9.3463999999999992</v>
      </c>
      <c r="R1455" s="2">
        <f t="shared" si="136"/>
        <v>77.88666666666667</v>
      </c>
      <c r="S1455" s="2">
        <f t="shared" si="137"/>
        <v>6.0215698022768125</v>
      </c>
    </row>
    <row r="1456" spans="1:19" hidden="1">
      <c r="A1456" t="s">
        <v>1509</v>
      </c>
      <c r="B1456" t="s">
        <v>30</v>
      </c>
      <c r="C1456">
        <v>189</v>
      </c>
      <c r="D1456">
        <v>5060</v>
      </c>
      <c r="E1456" s="2">
        <v>236.54</v>
      </c>
      <c r="F1456">
        <v>26</v>
      </c>
      <c r="G1456">
        <v>7</v>
      </c>
      <c r="H1456">
        <v>4.2999999999999997E-2</v>
      </c>
      <c r="I1456" s="3">
        <v>1877</v>
      </c>
      <c r="J1456" s="1">
        <v>45606</v>
      </c>
      <c r="K1456" t="s">
        <v>31</v>
      </c>
      <c r="L1456" t="s">
        <v>8</v>
      </c>
      <c r="M1456" t="s">
        <v>39</v>
      </c>
      <c r="N1456" s="1">
        <f t="shared" si="132"/>
        <v>45606</v>
      </c>
      <c r="O1456" s="4">
        <f t="shared" si="133"/>
        <v>3.7351778656126482E-2</v>
      </c>
      <c r="P1456">
        <f t="shared" si="134"/>
        <v>1.2515343915343915</v>
      </c>
      <c r="Q1456" s="2">
        <f t="shared" si="135"/>
        <v>9.0976923076923075</v>
      </c>
      <c r="R1456" s="2">
        <f t="shared" si="136"/>
        <v>33.791428571428568</v>
      </c>
      <c r="S1456" s="2">
        <f t="shared" si="137"/>
        <v>7.9352329415743643</v>
      </c>
    </row>
    <row r="1457" spans="1:19" hidden="1">
      <c r="A1457" t="s">
        <v>1510</v>
      </c>
      <c r="B1457" t="s">
        <v>30</v>
      </c>
      <c r="C1457">
        <v>167</v>
      </c>
      <c r="D1457">
        <v>3296</v>
      </c>
      <c r="E1457" s="2">
        <v>246.85</v>
      </c>
      <c r="F1457">
        <v>29</v>
      </c>
      <c r="G1457">
        <v>8</v>
      </c>
      <c r="H1457">
        <v>4.8000000000000001E-2</v>
      </c>
      <c r="I1457" s="3">
        <v>1723</v>
      </c>
      <c r="J1457" s="1">
        <v>45613</v>
      </c>
      <c r="K1457" t="s">
        <v>31</v>
      </c>
      <c r="L1457" t="s">
        <v>7</v>
      </c>
      <c r="M1457" t="s">
        <v>37</v>
      </c>
      <c r="N1457" s="1">
        <f t="shared" si="132"/>
        <v>45613</v>
      </c>
      <c r="O1457" s="4">
        <f t="shared" si="133"/>
        <v>5.0667475728155338E-2</v>
      </c>
      <c r="P1457">
        <f t="shared" si="134"/>
        <v>1.4781437125748502</v>
      </c>
      <c r="Q1457" s="2">
        <f t="shared" si="135"/>
        <v>8.5120689655172406</v>
      </c>
      <c r="R1457" s="2">
        <f t="shared" si="136"/>
        <v>30.856249999999999</v>
      </c>
      <c r="S1457" s="2">
        <f t="shared" si="137"/>
        <v>6.9799473364391336</v>
      </c>
    </row>
    <row r="1458" spans="1:19" hidden="1">
      <c r="A1458" t="s">
        <v>1511</v>
      </c>
      <c r="B1458" t="s">
        <v>30</v>
      </c>
      <c r="C1458">
        <v>198</v>
      </c>
      <c r="D1458">
        <v>3499</v>
      </c>
      <c r="E1458" s="2">
        <v>209.74</v>
      </c>
      <c r="F1458">
        <v>30</v>
      </c>
      <c r="G1458">
        <v>9</v>
      </c>
      <c r="H1458">
        <v>0.04</v>
      </c>
      <c r="I1458" s="3">
        <v>1893</v>
      </c>
      <c r="J1458" s="1">
        <v>45621</v>
      </c>
      <c r="K1458" t="s">
        <v>31</v>
      </c>
      <c r="L1458" t="s">
        <v>7</v>
      </c>
      <c r="M1458" t="s">
        <v>35</v>
      </c>
      <c r="N1458" s="1">
        <f t="shared" si="132"/>
        <v>45621</v>
      </c>
      <c r="O1458" s="4">
        <f t="shared" si="133"/>
        <v>5.6587596456130325E-2</v>
      </c>
      <c r="P1458">
        <f t="shared" si="134"/>
        <v>1.0592929292929294</v>
      </c>
      <c r="Q1458" s="2">
        <f t="shared" si="135"/>
        <v>6.9913333333333334</v>
      </c>
      <c r="R1458" s="2">
        <f t="shared" si="136"/>
        <v>23.304444444444446</v>
      </c>
      <c r="S1458" s="2">
        <f t="shared" si="137"/>
        <v>9.0254600934490323</v>
      </c>
    </row>
    <row r="1459" spans="1:19" hidden="1">
      <c r="A1459" t="s">
        <v>1512</v>
      </c>
      <c r="B1459" t="s">
        <v>30</v>
      </c>
      <c r="C1459">
        <v>95</v>
      </c>
      <c r="D1459">
        <v>3449</v>
      </c>
      <c r="E1459" s="2">
        <v>184.55</v>
      </c>
      <c r="F1459">
        <v>10</v>
      </c>
      <c r="G1459">
        <v>10</v>
      </c>
      <c r="H1459">
        <v>4.1000000000000002E-2</v>
      </c>
      <c r="I1459" s="3">
        <v>1601</v>
      </c>
      <c r="J1459" s="1" t="s">
        <v>43</v>
      </c>
      <c r="K1459" t="s">
        <v>31</v>
      </c>
      <c r="L1459" t="s">
        <v>8</v>
      </c>
      <c r="M1459" t="s">
        <v>46</v>
      </c>
      <c r="N1459" s="1">
        <f t="shared" si="132"/>
        <v>45612</v>
      </c>
      <c r="O1459" s="4">
        <f t="shared" si="133"/>
        <v>2.7544215714699914E-2</v>
      </c>
      <c r="P1459">
        <f t="shared" si="134"/>
        <v>1.9426315789473685</v>
      </c>
      <c r="Q1459" s="2">
        <f t="shared" si="135"/>
        <v>18.455000000000002</v>
      </c>
      <c r="R1459" s="2">
        <f t="shared" si="136"/>
        <v>18.455000000000002</v>
      </c>
      <c r="S1459" s="2">
        <f t="shared" si="137"/>
        <v>8.6751557843402871</v>
      </c>
    </row>
    <row r="1460" spans="1:19" hidden="1">
      <c r="A1460" t="s">
        <v>1513</v>
      </c>
      <c r="B1460" t="s">
        <v>30</v>
      </c>
      <c r="C1460">
        <v>181</v>
      </c>
      <c r="D1460">
        <v>3738</v>
      </c>
      <c r="E1460" s="2">
        <v>206.61</v>
      </c>
      <c r="F1460">
        <v>16</v>
      </c>
      <c r="G1460">
        <v>9</v>
      </c>
      <c r="H1460">
        <v>0.05</v>
      </c>
      <c r="I1460" s="3">
        <v>1868</v>
      </c>
      <c r="J1460" s="1">
        <v>45605</v>
      </c>
      <c r="K1460" t="s">
        <v>31</v>
      </c>
      <c r="L1460" t="s">
        <v>8</v>
      </c>
      <c r="M1460" t="s">
        <v>41</v>
      </c>
      <c r="N1460" s="1">
        <f t="shared" si="132"/>
        <v>45605</v>
      </c>
      <c r="O1460" s="4">
        <f t="shared" si="133"/>
        <v>4.8421615837346173E-2</v>
      </c>
      <c r="P1460">
        <f t="shared" si="134"/>
        <v>1.1414917127071824</v>
      </c>
      <c r="Q1460" s="2">
        <f t="shared" si="135"/>
        <v>12.913125000000001</v>
      </c>
      <c r="R1460" s="2">
        <f t="shared" si="136"/>
        <v>22.956666666666667</v>
      </c>
      <c r="S1460" s="2">
        <f t="shared" si="137"/>
        <v>9.0411887130342183</v>
      </c>
    </row>
    <row r="1461" spans="1:19" hidden="1">
      <c r="A1461" t="s">
        <v>1514</v>
      </c>
      <c r="B1461" t="s">
        <v>30</v>
      </c>
      <c r="C1461">
        <v>105</v>
      </c>
      <c r="D1461">
        <v>4236</v>
      </c>
      <c r="E1461" s="2">
        <v>180.2</v>
      </c>
      <c r="F1461">
        <v>12</v>
      </c>
      <c r="G1461">
        <v>7</v>
      </c>
      <c r="H1461">
        <v>6.7000000000000004E-2</v>
      </c>
      <c r="I1461" s="3">
        <v>1505</v>
      </c>
      <c r="J1461" s="1">
        <v>45620</v>
      </c>
      <c r="K1461" t="s">
        <v>31</v>
      </c>
      <c r="L1461" t="s">
        <v>8</v>
      </c>
      <c r="M1461" t="s">
        <v>32</v>
      </c>
      <c r="N1461" s="1">
        <f t="shared" si="132"/>
        <v>45620</v>
      </c>
      <c r="O1461" s="4">
        <f t="shared" si="133"/>
        <v>2.4787535410764873E-2</v>
      </c>
      <c r="P1461">
        <f t="shared" si="134"/>
        <v>1.716190476190476</v>
      </c>
      <c r="Q1461" s="2">
        <f t="shared" si="135"/>
        <v>15.016666666666666</v>
      </c>
      <c r="R1461" s="2">
        <f t="shared" si="136"/>
        <v>25.74285714285714</v>
      </c>
      <c r="S1461" s="2">
        <f t="shared" si="137"/>
        <v>8.3518312985571601</v>
      </c>
    </row>
    <row r="1462" spans="1:19">
      <c r="A1462" t="s">
        <v>1515</v>
      </c>
      <c r="B1462" t="s">
        <v>30</v>
      </c>
      <c r="C1462">
        <v>178</v>
      </c>
      <c r="D1462">
        <v>5751</v>
      </c>
      <c r="E1462" s="2">
        <v>205.34</v>
      </c>
      <c r="F1462">
        <v>24</v>
      </c>
      <c r="G1462">
        <v>10</v>
      </c>
      <c r="H1462">
        <v>4.5999999999999999E-2</v>
      </c>
      <c r="I1462" s="3">
        <v>1903</v>
      </c>
      <c r="J1462" s="1">
        <v>45616</v>
      </c>
      <c r="K1462" t="s">
        <v>31</v>
      </c>
      <c r="L1462" t="s">
        <v>7</v>
      </c>
      <c r="M1462" t="s">
        <v>35</v>
      </c>
      <c r="N1462" s="1">
        <f t="shared" si="132"/>
        <v>45616</v>
      </c>
      <c r="O1462" s="4">
        <f t="shared" si="133"/>
        <v>3.0951138932359588E-2</v>
      </c>
      <c r="P1462">
        <f t="shared" si="134"/>
        <v>1.1535955056179776</v>
      </c>
      <c r="Q1462" s="2">
        <f t="shared" si="135"/>
        <v>8.5558333333333341</v>
      </c>
      <c r="R1462" s="2">
        <f t="shared" si="136"/>
        <v>20.533999999999999</v>
      </c>
      <c r="S1462" s="2">
        <f t="shared" si="137"/>
        <v>9.2675562481737597</v>
      </c>
    </row>
    <row r="1463" spans="1:19" hidden="1">
      <c r="A1463" t="s">
        <v>1516</v>
      </c>
      <c r="B1463" t="s">
        <v>30</v>
      </c>
      <c r="C1463">
        <v>127</v>
      </c>
      <c r="D1463">
        <v>5050</v>
      </c>
      <c r="E1463" s="2">
        <v>184.77</v>
      </c>
      <c r="F1463">
        <v>28</v>
      </c>
      <c r="G1463">
        <v>9</v>
      </c>
      <c r="H1463">
        <v>7.0999999999999994E-2</v>
      </c>
      <c r="I1463" s="3">
        <v>1906</v>
      </c>
      <c r="J1463" s="1">
        <v>45598</v>
      </c>
      <c r="K1463" t="s">
        <v>31</v>
      </c>
      <c r="L1463" t="s">
        <v>7</v>
      </c>
      <c r="M1463" t="s">
        <v>37</v>
      </c>
      <c r="N1463" s="1">
        <f t="shared" si="132"/>
        <v>45598</v>
      </c>
      <c r="O1463" s="4">
        <f t="shared" si="133"/>
        <v>2.514851485148515E-2</v>
      </c>
      <c r="P1463">
        <f t="shared" si="134"/>
        <v>1.4548818897637796</v>
      </c>
      <c r="Q1463" s="2">
        <f t="shared" si="135"/>
        <v>6.5989285714285719</v>
      </c>
      <c r="R1463" s="2">
        <f t="shared" si="136"/>
        <v>20.53</v>
      </c>
      <c r="S1463" s="2">
        <f t="shared" si="137"/>
        <v>10.315527412458732</v>
      </c>
    </row>
    <row r="1464" spans="1:19">
      <c r="A1464" t="s">
        <v>1517</v>
      </c>
      <c r="B1464" t="s">
        <v>30</v>
      </c>
      <c r="C1464">
        <v>198</v>
      </c>
      <c r="D1464">
        <v>4773</v>
      </c>
      <c r="E1464" s="2">
        <v>202.54</v>
      </c>
      <c r="F1464">
        <v>17</v>
      </c>
      <c r="G1464">
        <v>10</v>
      </c>
      <c r="H1464">
        <v>4.5999999999999999E-2</v>
      </c>
      <c r="I1464" s="3">
        <v>1082</v>
      </c>
      <c r="J1464" s="1">
        <v>45615</v>
      </c>
      <c r="K1464" t="s">
        <v>31</v>
      </c>
      <c r="L1464" t="s">
        <v>8</v>
      </c>
      <c r="M1464" t="s">
        <v>37</v>
      </c>
      <c r="N1464" s="1">
        <f t="shared" si="132"/>
        <v>45615</v>
      </c>
      <c r="O1464" s="4">
        <f t="shared" si="133"/>
        <v>4.1483343808925204E-2</v>
      </c>
      <c r="P1464">
        <f t="shared" si="134"/>
        <v>1.0229292929292928</v>
      </c>
      <c r="Q1464" s="2">
        <f t="shared" si="135"/>
        <v>11.914117647058823</v>
      </c>
      <c r="R1464" s="2">
        <f t="shared" si="136"/>
        <v>20.253999999999998</v>
      </c>
      <c r="S1464" s="2">
        <f t="shared" si="137"/>
        <v>5.3421546361212604</v>
      </c>
    </row>
    <row r="1465" spans="1:19" hidden="1">
      <c r="A1465" t="s">
        <v>1518</v>
      </c>
      <c r="B1465" t="s">
        <v>30</v>
      </c>
      <c r="C1465">
        <v>86</v>
      </c>
      <c r="D1465">
        <v>5652</v>
      </c>
      <c r="E1465" s="2">
        <v>249.13</v>
      </c>
      <c r="F1465">
        <v>25</v>
      </c>
      <c r="G1465">
        <v>7</v>
      </c>
      <c r="H1465">
        <v>8.1000000000000003E-2</v>
      </c>
      <c r="I1465" s="3">
        <v>1981</v>
      </c>
      <c r="J1465" s="1">
        <v>45454</v>
      </c>
      <c r="K1465" t="s">
        <v>31</v>
      </c>
      <c r="L1465" t="s">
        <v>8</v>
      </c>
      <c r="M1465" t="s">
        <v>39</v>
      </c>
      <c r="N1465" s="1">
        <f t="shared" si="132"/>
        <v>45454</v>
      </c>
      <c r="O1465" s="4">
        <f t="shared" si="133"/>
        <v>1.5215852795470631E-2</v>
      </c>
      <c r="P1465">
        <f t="shared" si="134"/>
        <v>2.896860465116279</v>
      </c>
      <c r="Q1465" s="2">
        <f t="shared" si="135"/>
        <v>9.9651999999999994</v>
      </c>
      <c r="R1465" s="2">
        <f t="shared" si="136"/>
        <v>35.589999999999996</v>
      </c>
      <c r="S1465" s="2">
        <f t="shared" si="137"/>
        <v>7.9516718179263837</v>
      </c>
    </row>
    <row r="1466" spans="1:19">
      <c r="A1466" t="s">
        <v>1519</v>
      </c>
      <c r="B1466" t="s">
        <v>30</v>
      </c>
      <c r="C1466">
        <v>139</v>
      </c>
      <c r="D1466">
        <v>5085</v>
      </c>
      <c r="E1466" s="2">
        <v>182.42</v>
      </c>
      <c r="F1466">
        <v>11</v>
      </c>
      <c r="G1466">
        <v>7</v>
      </c>
      <c r="H1466">
        <v>4.5999999999999999E-2</v>
      </c>
      <c r="I1466" s="3">
        <v>1109</v>
      </c>
      <c r="J1466" s="1">
        <v>45393</v>
      </c>
      <c r="K1466" t="s">
        <v>31</v>
      </c>
      <c r="L1466" t="s">
        <v>7</v>
      </c>
      <c r="M1466" t="s">
        <v>41</v>
      </c>
      <c r="N1466" s="1">
        <f t="shared" si="132"/>
        <v>45393</v>
      </c>
      <c r="O1466" s="4">
        <f t="shared" si="133"/>
        <v>2.7335299901671582E-2</v>
      </c>
      <c r="P1466">
        <f t="shared" si="134"/>
        <v>1.3123741007194243</v>
      </c>
      <c r="Q1466" s="2">
        <f t="shared" si="135"/>
        <v>16.583636363636362</v>
      </c>
      <c r="R1466" s="2">
        <f t="shared" si="136"/>
        <v>26.06</v>
      </c>
      <c r="S1466" s="2">
        <f t="shared" si="137"/>
        <v>6.0793772612652122</v>
      </c>
    </row>
    <row r="1467" spans="1:19">
      <c r="A1467" t="s">
        <v>1520</v>
      </c>
      <c r="B1467" t="s">
        <v>30</v>
      </c>
      <c r="C1467">
        <v>191</v>
      </c>
      <c r="D1467">
        <v>5070</v>
      </c>
      <c r="E1467" s="2">
        <v>247.41</v>
      </c>
      <c r="F1467">
        <v>12</v>
      </c>
      <c r="G1467">
        <v>4</v>
      </c>
      <c r="H1467">
        <v>4.5999999999999999E-2</v>
      </c>
      <c r="I1467" s="3">
        <v>1266</v>
      </c>
      <c r="J1467" s="1" t="s">
        <v>206</v>
      </c>
      <c r="K1467" t="s">
        <v>31</v>
      </c>
      <c r="L1467" t="s">
        <v>8</v>
      </c>
      <c r="M1467" t="s">
        <v>46</v>
      </c>
      <c r="N1467" s="1">
        <f t="shared" si="132"/>
        <v>45621</v>
      </c>
      <c r="O1467" s="4">
        <f t="shared" si="133"/>
        <v>3.7672583826429983E-2</v>
      </c>
      <c r="P1467">
        <f t="shared" si="134"/>
        <v>1.2953403141361257</v>
      </c>
      <c r="Q1467" s="2">
        <f t="shared" si="135"/>
        <v>20.6175</v>
      </c>
      <c r="R1467" s="2">
        <f t="shared" si="136"/>
        <v>61.852499999999999</v>
      </c>
      <c r="S1467" s="2">
        <f t="shared" si="137"/>
        <v>5.1170122468776524</v>
      </c>
    </row>
    <row r="1468" spans="1:19" hidden="1">
      <c r="A1468" t="s">
        <v>1521</v>
      </c>
      <c r="B1468" t="s">
        <v>30</v>
      </c>
      <c r="C1468">
        <v>139</v>
      </c>
      <c r="D1468">
        <v>5879</v>
      </c>
      <c r="E1468" s="2">
        <v>197.9</v>
      </c>
      <c r="F1468">
        <v>24</v>
      </c>
      <c r="G1468">
        <v>4</v>
      </c>
      <c r="H1468">
        <v>2.9000000000000001E-2</v>
      </c>
      <c r="I1468" s="3">
        <v>1476</v>
      </c>
      <c r="J1468" s="1">
        <v>45601</v>
      </c>
      <c r="K1468" t="s">
        <v>31</v>
      </c>
      <c r="L1468" t="s">
        <v>8</v>
      </c>
      <c r="M1468" t="s">
        <v>35</v>
      </c>
      <c r="N1468" s="1">
        <f t="shared" si="132"/>
        <v>45601</v>
      </c>
      <c r="O1468" s="4">
        <f t="shared" si="133"/>
        <v>2.3643476781765607E-2</v>
      </c>
      <c r="P1468">
        <f t="shared" si="134"/>
        <v>1.4237410071942447</v>
      </c>
      <c r="Q1468" s="2">
        <f t="shared" si="135"/>
        <v>8.2458333333333336</v>
      </c>
      <c r="R1468" s="2">
        <f t="shared" si="136"/>
        <v>49.475000000000001</v>
      </c>
      <c r="S1468" s="2">
        <f t="shared" si="137"/>
        <v>7.4583122789287515</v>
      </c>
    </row>
    <row r="1469" spans="1:19" hidden="1">
      <c r="A1469" t="s">
        <v>1522</v>
      </c>
      <c r="B1469" t="s">
        <v>30</v>
      </c>
      <c r="C1469">
        <v>197</v>
      </c>
      <c r="D1469">
        <v>3620</v>
      </c>
      <c r="E1469" s="2">
        <v>235.19</v>
      </c>
      <c r="F1469">
        <v>18</v>
      </c>
      <c r="G1469">
        <v>7</v>
      </c>
      <c r="H1469">
        <v>3.5999999999999997E-2</v>
      </c>
      <c r="I1469" s="3">
        <v>1740</v>
      </c>
      <c r="J1469" s="1">
        <v>45597</v>
      </c>
      <c r="K1469" t="s">
        <v>31</v>
      </c>
      <c r="L1469" t="s">
        <v>8</v>
      </c>
      <c r="M1469" t="s">
        <v>41</v>
      </c>
      <c r="N1469" s="1">
        <f t="shared" si="132"/>
        <v>45597</v>
      </c>
      <c r="O1469" s="4">
        <f t="shared" si="133"/>
        <v>5.4419889502762428E-2</v>
      </c>
      <c r="P1469">
        <f t="shared" si="134"/>
        <v>1.1938578680203045</v>
      </c>
      <c r="Q1469" s="2">
        <f t="shared" si="135"/>
        <v>13.066111111111111</v>
      </c>
      <c r="R1469" s="2">
        <f t="shared" si="136"/>
        <v>33.598571428571425</v>
      </c>
      <c r="S1469" s="2">
        <f t="shared" si="137"/>
        <v>7.3982737361282371</v>
      </c>
    </row>
    <row r="1470" spans="1:19" hidden="1">
      <c r="A1470" t="s">
        <v>1523</v>
      </c>
      <c r="B1470" t="s">
        <v>30</v>
      </c>
      <c r="C1470">
        <v>116</v>
      </c>
      <c r="D1470">
        <v>4250</v>
      </c>
      <c r="E1470" s="2">
        <v>216.66</v>
      </c>
      <c r="F1470">
        <v>10</v>
      </c>
      <c r="G1470">
        <v>9</v>
      </c>
      <c r="H1470">
        <v>7.8E-2</v>
      </c>
      <c r="I1470" s="3">
        <v>1877</v>
      </c>
      <c r="J1470" s="1">
        <v>45598</v>
      </c>
      <c r="K1470" t="s">
        <v>31</v>
      </c>
      <c r="L1470" t="s">
        <v>8</v>
      </c>
      <c r="M1470" t="s">
        <v>39</v>
      </c>
      <c r="N1470" s="1">
        <f t="shared" si="132"/>
        <v>45598</v>
      </c>
      <c r="O1470" s="4">
        <f t="shared" si="133"/>
        <v>2.7294117647058823E-2</v>
      </c>
      <c r="P1470">
        <f t="shared" si="134"/>
        <v>1.867758620689655</v>
      </c>
      <c r="Q1470" s="2">
        <f t="shared" si="135"/>
        <v>21.666</v>
      </c>
      <c r="R1470" s="2">
        <f t="shared" si="136"/>
        <v>24.073333333333334</v>
      </c>
      <c r="S1470" s="2">
        <f t="shared" si="137"/>
        <v>8.6633434874919235</v>
      </c>
    </row>
    <row r="1471" spans="1:19" hidden="1">
      <c r="A1471" t="s">
        <v>1524</v>
      </c>
      <c r="B1471" t="s">
        <v>30</v>
      </c>
      <c r="C1471">
        <v>192</v>
      </c>
      <c r="D1471">
        <v>4850</v>
      </c>
      <c r="E1471" s="2">
        <v>235.42</v>
      </c>
      <c r="F1471">
        <v>22</v>
      </c>
      <c r="G1471">
        <v>10</v>
      </c>
      <c r="H1471">
        <v>5.1999999999999998E-2</v>
      </c>
      <c r="I1471" s="3">
        <v>1124</v>
      </c>
      <c r="J1471" s="1">
        <v>45610</v>
      </c>
      <c r="K1471" t="s">
        <v>31</v>
      </c>
      <c r="L1471" t="s">
        <v>7</v>
      </c>
      <c r="M1471" t="s">
        <v>46</v>
      </c>
      <c r="N1471" s="1">
        <f t="shared" si="132"/>
        <v>45610</v>
      </c>
      <c r="O1471" s="4">
        <f t="shared" si="133"/>
        <v>3.9587628865979378E-2</v>
      </c>
      <c r="P1471">
        <f t="shared" si="134"/>
        <v>1.2261458333333333</v>
      </c>
      <c r="Q1471" s="2">
        <f t="shared" si="135"/>
        <v>10.700909090909091</v>
      </c>
      <c r="R1471" s="2">
        <f t="shared" si="136"/>
        <v>23.541999999999998</v>
      </c>
      <c r="S1471" s="2">
        <f t="shared" si="137"/>
        <v>4.7744456715657124</v>
      </c>
    </row>
    <row r="1472" spans="1:19">
      <c r="A1472" t="s">
        <v>1525</v>
      </c>
      <c r="B1472" t="s">
        <v>30</v>
      </c>
      <c r="C1472">
        <v>118</v>
      </c>
      <c r="D1472">
        <v>3815</v>
      </c>
      <c r="E1472" s="2">
        <v>185.78</v>
      </c>
      <c r="F1472">
        <v>16</v>
      </c>
      <c r="G1472">
        <v>4</v>
      </c>
      <c r="H1472">
        <v>4.5999999999999999E-2</v>
      </c>
      <c r="I1472" s="3">
        <v>1093</v>
      </c>
      <c r="J1472" s="1" t="s">
        <v>132</v>
      </c>
      <c r="K1472" t="s">
        <v>31</v>
      </c>
      <c r="L1472" t="s">
        <v>7</v>
      </c>
      <c r="M1472" t="s">
        <v>37</v>
      </c>
      <c r="N1472" s="1">
        <f t="shared" si="132"/>
        <v>45613</v>
      </c>
      <c r="O1472" s="4">
        <f t="shared" si="133"/>
        <v>3.0930537352555701E-2</v>
      </c>
      <c r="P1472">
        <f t="shared" si="134"/>
        <v>1.5744067796610171</v>
      </c>
      <c r="Q1472" s="2">
        <f t="shared" si="135"/>
        <v>11.61125</v>
      </c>
      <c r="R1472" s="2">
        <f t="shared" si="136"/>
        <v>46.445</v>
      </c>
      <c r="S1472" s="2">
        <f t="shared" si="137"/>
        <v>5.883302831305846</v>
      </c>
    </row>
    <row r="1473" spans="1:19" hidden="1">
      <c r="A1473" t="s">
        <v>1526</v>
      </c>
      <c r="B1473" t="s">
        <v>30</v>
      </c>
      <c r="C1473">
        <v>172</v>
      </c>
      <c r="D1473">
        <v>5741</v>
      </c>
      <c r="E1473" s="2">
        <v>198.44</v>
      </c>
      <c r="F1473">
        <v>14</v>
      </c>
      <c r="G1473">
        <v>4</v>
      </c>
      <c r="H1473">
        <v>2.3E-2</v>
      </c>
      <c r="I1473" s="3">
        <v>1755</v>
      </c>
      <c r="J1473" s="1">
        <v>45607</v>
      </c>
      <c r="K1473" t="s">
        <v>31</v>
      </c>
      <c r="L1473" t="s">
        <v>7</v>
      </c>
      <c r="M1473" t="s">
        <v>46</v>
      </c>
      <c r="N1473" s="1">
        <f t="shared" si="132"/>
        <v>45607</v>
      </c>
      <c r="O1473" s="4">
        <f t="shared" si="133"/>
        <v>2.9959937293154503E-2</v>
      </c>
      <c r="P1473">
        <f t="shared" si="134"/>
        <v>1.1537209302325582</v>
      </c>
      <c r="Q1473" s="2">
        <f t="shared" si="135"/>
        <v>14.174285714285714</v>
      </c>
      <c r="R1473" s="2">
        <f t="shared" si="136"/>
        <v>49.61</v>
      </c>
      <c r="S1473" s="2">
        <f t="shared" si="137"/>
        <v>8.8439830679298534</v>
      </c>
    </row>
    <row r="1474" spans="1:19" hidden="1">
      <c r="A1474" t="s">
        <v>1527</v>
      </c>
      <c r="B1474" t="s">
        <v>30</v>
      </c>
      <c r="C1474">
        <v>174</v>
      </c>
      <c r="D1474">
        <v>4272</v>
      </c>
      <c r="E1474" s="2">
        <v>240.77</v>
      </c>
      <c r="F1474">
        <v>16</v>
      </c>
      <c r="G1474">
        <v>7</v>
      </c>
      <c r="H1474">
        <v>4.1000000000000002E-2</v>
      </c>
      <c r="I1474" s="3">
        <v>1004</v>
      </c>
      <c r="J1474" s="1">
        <v>45619</v>
      </c>
      <c r="K1474" t="s">
        <v>31</v>
      </c>
      <c r="L1474" t="s">
        <v>7</v>
      </c>
      <c r="M1474" t="s">
        <v>32</v>
      </c>
      <c r="N1474" s="1">
        <f t="shared" ref="N1474:N1537" si="138">IF(A1474="","",IF(ISNUMBER(J1474),J1474,IF(MID(J1474,5,1)="-",DATE(LEFT(J1474,4),MID(J1474,6,2),RIGHT(J1474,2)),IF(MID(J1474,5,1)="/",DATE(LEFT(J1474,4),MID(J1474,6,2),RIGHT(J1474,2)),DATE(RIGHT(J1474,4),MID(J1474,4,2),LEFT(J1474,2))))))</f>
        <v>45619</v>
      </c>
      <c r="O1474" s="4">
        <f t="shared" ref="O1474:O1537" si="139">IFERROR(C1474/D1474,0)</f>
        <v>4.0730337078651688E-2</v>
      </c>
      <c r="P1474">
        <f t="shared" ref="P1474:P1537" si="140">IFERROR(E1474/C1474,0)</f>
        <v>1.383735632183908</v>
      </c>
      <c r="Q1474" s="2">
        <f t="shared" ref="Q1474:Q1537" si="141">IFERROR(E1474/F1474,0)</f>
        <v>15.048125000000001</v>
      </c>
      <c r="R1474" s="2">
        <f t="shared" ref="R1474:R1537" si="142">IFERROR(E1474/G1474,0)</f>
        <v>34.395714285714284</v>
      </c>
      <c r="S1474" s="2">
        <f t="shared" ref="S1474:S1537" si="143">IFERROR(I1474/E1474,0)</f>
        <v>4.1699547285791416</v>
      </c>
    </row>
    <row r="1475" spans="1:19">
      <c r="A1475" t="s">
        <v>1528</v>
      </c>
      <c r="B1475" t="s">
        <v>30</v>
      </c>
      <c r="C1475">
        <v>175</v>
      </c>
      <c r="D1475">
        <v>4974</v>
      </c>
      <c r="E1475" s="2">
        <v>182.22</v>
      </c>
      <c r="F1475">
        <v>21</v>
      </c>
      <c r="G1475">
        <v>5</v>
      </c>
      <c r="H1475">
        <v>4.5999999999999999E-2</v>
      </c>
      <c r="I1475" s="3">
        <v>1300</v>
      </c>
      <c r="J1475" s="1" t="s">
        <v>111</v>
      </c>
      <c r="K1475" t="s">
        <v>31</v>
      </c>
      <c r="L1475" t="s">
        <v>8</v>
      </c>
      <c r="M1475" t="s">
        <v>32</v>
      </c>
      <c r="N1475" s="1">
        <f t="shared" si="138"/>
        <v>45619</v>
      </c>
      <c r="O1475" s="4">
        <f t="shared" si="139"/>
        <v>3.5182951347004422E-2</v>
      </c>
      <c r="P1475">
        <f t="shared" si="140"/>
        <v>1.0412571428571429</v>
      </c>
      <c r="Q1475" s="2">
        <f t="shared" si="141"/>
        <v>8.6771428571428579</v>
      </c>
      <c r="R1475" s="2">
        <f t="shared" si="142"/>
        <v>36.444000000000003</v>
      </c>
      <c r="S1475" s="2">
        <f t="shared" si="143"/>
        <v>7.1342333443090773</v>
      </c>
    </row>
    <row r="1476" spans="1:19">
      <c r="A1476" t="s">
        <v>1529</v>
      </c>
      <c r="B1476" t="s">
        <v>30</v>
      </c>
      <c r="C1476">
        <v>139</v>
      </c>
      <c r="D1476">
        <v>3215</v>
      </c>
      <c r="E1476" s="2">
        <v>191.22</v>
      </c>
      <c r="F1476">
        <v>30</v>
      </c>
      <c r="G1476">
        <v>7</v>
      </c>
      <c r="H1476">
        <v>4.5999999999999999E-2</v>
      </c>
      <c r="I1476" s="3">
        <v>1588</v>
      </c>
      <c r="J1476" s="1">
        <v>45619</v>
      </c>
      <c r="K1476" t="s">
        <v>31</v>
      </c>
      <c r="L1476" t="s">
        <v>7</v>
      </c>
      <c r="M1476" t="s">
        <v>46</v>
      </c>
      <c r="N1476" s="1">
        <f t="shared" si="138"/>
        <v>45619</v>
      </c>
      <c r="O1476" s="4">
        <f t="shared" si="139"/>
        <v>4.3234836702954901E-2</v>
      </c>
      <c r="P1476">
        <f t="shared" si="140"/>
        <v>1.37568345323741</v>
      </c>
      <c r="Q1476" s="2">
        <f t="shared" si="141"/>
        <v>6.3739999999999997</v>
      </c>
      <c r="R1476" s="2">
        <f t="shared" si="142"/>
        <v>27.317142857142859</v>
      </c>
      <c r="S1476" s="2">
        <f t="shared" si="143"/>
        <v>8.3045706516054807</v>
      </c>
    </row>
    <row r="1477" spans="1:19">
      <c r="A1477" t="s">
        <v>1530</v>
      </c>
      <c r="B1477" t="s">
        <v>30</v>
      </c>
      <c r="C1477">
        <v>139</v>
      </c>
      <c r="D1477">
        <v>3723</v>
      </c>
      <c r="E1477" s="2">
        <v>201.32</v>
      </c>
      <c r="F1477">
        <v>21</v>
      </c>
      <c r="G1477">
        <v>8</v>
      </c>
      <c r="H1477">
        <v>4.5999999999999999E-2</v>
      </c>
      <c r="I1477" s="3">
        <v>1505</v>
      </c>
      <c r="J1477" s="1">
        <v>45454</v>
      </c>
      <c r="K1477" t="s">
        <v>31</v>
      </c>
      <c r="L1477" t="s">
        <v>9</v>
      </c>
      <c r="M1477" t="s">
        <v>35</v>
      </c>
      <c r="N1477" s="1">
        <f t="shared" si="138"/>
        <v>45454</v>
      </c>
      <c r="O1477" s="4">
        <f t="shared" si="139"/>
        <v>3.7335482138060705E-2</v>
      </c>
      <c r="P1477">
        <f t="shared" si="140"/>
        <v>1.4483453237410071</v>
      </c>
      <c r="Q1477" s="2">
        <f t="shared" si="141"/>
        <v>9.586666666666666</v>
      </c>
      <c r="R1477" s="2">
        <f t="shared" si="142"/>
        <v>25.164999999999999</v>
      </c>
      <c r="S1477" s="2">
        <f t="shared" si="143"/>
        <v>7.4756606397774688</v>
      </c>
    </row>
    <row r="1478" spans="1:19">
      <c r="A1478" t="s">
        <v>1531</v>
      </c>
      <c r="B1478" t="s">
        <v>30</v>
      </c>
      <c r="C1478">
        <v>103</v>
      </c>
      <c r="D1478">
        <v>4670</v>
      </c>
      <c r="E1478" s="2">
        <v>203.4</v>
      </c>
      <c r="F1478">
        <v>21</v>
      </c>
      <c r="G1478">
        <v>4</v>
      </c>
      <c r="H1478">
        <v>4.5999999999999999E-2</v>
      </c>
      <c r="I1478" s="3">
        <v>1562</v>
      </c>
      <c r="J1478" s="1" t="s">
        <v>206</v>
      </c>
      <c r="K1478" t="s">
        <v>31</v>
      </c>
      <c r="L1478" t="s">
        <v>8</v>
      </c>
      <c r="M1478" t="s">
        <v>46</v>
      </c>
      <c r="N1478" s="1">
        <f t="shared" si="138"/>
        <v>45621</v>
      </c>
      <c r="O1478" s="4">
        <f t="shared" si="139"/>
        <v>2.2055674518201285E-2</v>
      </c>
      <c r="P1478">
        <f t="shared" si="140"/>
        <v>1.974757281553398</v>
      </c>
      <c r="Q1478" s="2">
        <f t="shared" si="141"/>
        <v>9.6857142857142868</v>
      </c>
      <c r="R1478" s="2">
        <f t="shared" si="142"/>
        <v>50.85</v>
      </c>
      <c r="S1478" s="2">
        <f t="shared" si="143"/>
        <v>7.6794493608652896</v>
      </c>
    </row>
    <row r="1479" spans="1:19">
      <c r="A1479" t="s">
        <v>1532</v>
      </c>
      <c r="B1479" t="s">
        <v>30</v>
      </c>
      <c r="C1479">
        <v>187</v>
      </c>
      <c r="D1479">
        <v>4474</v>
      </c>
      <c r="E1479" s="2">
        <v>182.47</v>
      </c>
      <c r="F1479">
        <v>10</v>
      </c>
      <c r="G1479">
        <v>7</v>
      </c>
      <c r="H1479">
        <v>4.5999999999999999E-2</v>
      </c>
      <c r="I1479" s="3">
        <v>1768</v>
      </c>
      <c r="J1479" s="1" t="s">
        <v>217</v>
      </c>
      <c r="K1479" t="s">
        <v>31</v>
      </c>
      <c r="L1479" t="s">
        <v>9</v>
      </c>
      <c r="M1479" t="s">
        <v>41</v>
      </c>
      <c r="N1479" s="1">
        <f t="shared" si="138"/>
        <v>45609</v>
      </c>
      <c r="O1479" s="4">
        <f t="shared" si="139"/>
        <v>4.1797049620026824E-2</v>
      </c>
      <c r="P1479">
        <f t="shared" si="140"/>
        <v>0.97577540106951866</v>
      </c>
      <c r="Q1479" s="2">
        <f t="shared" si="141"/>
        <v>18.247</v>
      </c>
      <c r="R1479" s="2">
        <f t="shared" si="142"/>
        <v>26.067142857142859</v>
      </c>
      <c r="S1479" s="2">
        <f t="shared" si="143"/>
        <v>9.6892639886008656</v>
      </c>
    </row>
    <row r="1480" spans="1:19">
      <c r="A1480" t="s">
        <v>1533</v>
      </c>
      <c r="B1480" t="s">
        <v>30</v>
      </c>
      <c r="C1480">
        <v>139</v>
      </c>
      <c r="D1480">
        <v>3009</v>
      </c>
      <c r="E1480" s="2">
        <v>195.17</v>
      </c>
      <c r="F1480">
        <v>20</v>
      </c>
      <c r="G1480">
        <v>6</v>
      </c>
      <c r="H1480">
        <v>4.5999999999999999E-2</v>
      </c>
      <c r="I1480" s="3">
        <v>1083</v>
      </c>
      <c r="J1480" s="1">
        <v>45619</v>
      </c>
      <c r="K1480" t="s">
        <v>31</v>
      </c>
      <c r="L1480" t="s">
        <v>9</v>
      </c>
      <c r="M1480" t="s">
        <v>37</v>
      </c>
      <c r="N1480" s="1">
        <f t="shared" si="138"/>
        <v>45619</v>
      </c>
      <c r="O1480" s="4">
        <f t="shared" si="139"/>
        <v>4.6194749086075106E-2</v>
      </c>
      <c r="P1480">
        <f t="shared" si="140"/>
        <v>1.4041007194244604</v>
      </c>
      <c r="Q1480" s="2">
        <f t="shared" si="141"/>
        <v>9.7584999999999997</v>
      </c>
      <c r="R1480" s="2">
        <f t="shared" si="142"/>
        <v>32.528333333333329</v>
      </c>
      <c r="S1480" s="2">
        <f t="shared" si="143"/>
        <v>5.549008556642927</v>
      </c>
    </row>
    <row r="1481" spans="1:19">
      <c r="A1481" t="s">
        <v>1534</v>
      </c>
      <c r="B1481" t="s">
        <v>30</v>
      </c>
      <c r="C1481">
        <v>109</v>
      </c>
      <c r="D1481">
        <v>3933</v>
      </c>
      <c r="E1481" s="2">
        <v>189.73</v>
      </c>
      <c r="F1481">
        <v>11</v>
      </c>
      <c r="G1481">
        <v>4</v>
      </c>
      <c r="H1481">
        <v>4.5999999999999999E-2</v>
      </c>
      <c r="I1481" s="3">
        <v>1700</v>
      </c>
      <c r="J1481" s="1">
        <v>45484</v>
      </c>
      <c r="K1481" t="s">
        <v>31</v>
      </c>
      <c r="L1481" t="s">
        <v>7</v>
      </c>
      <c r="M1481" t="s">
        <v>37</v>
      </c>
      <c r="N1481" s="1">
        <f t="shared" si="138"/>
        <v>45484</v>
      </c>
      <c r="O1481" s="4">
        <f t="shared" si="139"/>
        <v>2.7714213068904144E-2</v>
      </c>
      <c r="P1481">
        <f t="shared" si="140"/>
        <v>1.7406422018348624</v>
      </c>
      <c r="Q1481" s="2">
        <f t="shared" si="141"/>
        <v>17.248181818181816</v>
      </c>
      <c r="R1481" s="2">
        <f t="shared" si="142"/>
        <v>47.432499999999997</v>
      </c>
      <c r="S1481" s="2">
        <f t="shared" si="143"/>
        <v>8.9601011964370425</v>
      </c>
    </row>
    <row r="1482" spans="1:19" hidden="1">
      <c r="A1482" t="s">
        <v>1535</v>
      </c>
      <c r="B1482" t="s">
        <v>30</v>
      </c>
      <c r="C1482">
        <v>118</v>
      </c>
      <c r="D1482">
        <v>4360</v>
      </c>
      <c r="E1482" s="2">
        <v>232.09</v>
      </c>
      <c r="F1482">
        <v>10</v>
      </c>
      <c r="G1482">
        <v>9</v>
      </c>
      <c r="H1482">
        <v>7.5999999999999998E-2</v>
      </c>
      <c r="I1482" s="3">
        <v>1252</v>
      </c>
      <c r="J1482" s="1">
        <v>45609</v>
      </c>
      <c r="K1482" t="s">
        <v>31</v>
      </c>
      <c r="L1482" t="s">
        <v>7</v>
      </c>
      <c r="M1482" t="s">
        <v>39</v>
      </c>
      <c r="N1482" s="1">
        <f t="shared" si="138"/>
        <v>45609</v>
      </c>
      <c r="O1482" s="4">
        <f t="shared" si="139"/>
        <v>2.706422018348624E-2</v>
      </c>
      <c r="P1482">
        <f t="shared" si="140"/>
        <v>1.966864406779661</v>
      </c>
      <c r="Q1482" s="2">
        <f t="shared" si="141"/>
        <v>23.209</v>
      </c>
      <c r="R1482" s="2">
        <f t="shared" si="142"/>
        <v>25.787777777777777</v>
      </c>
      <c r="S1482" s="2">
        <f t="shared" si="143"/>
        <v>5.3944590460597182</v>
      </c>
    </row>
    <row r="1483" spans="1:19" hidden="1">
      <c r="A1483" t="s">
        <v>1536</v>
      </c>
      <c r="B1483" t="s">
        <v>30</v>
      </c>
      <c r="C1483">
        <v>164</v>
      </c>
      <c r="D1483">
        <v>5120</v>
      </c>
      <c r="E1483" s="2">
        <v>185.69</v>
      </c>
      <c r="F1483">
        <v>10</v>
      </c>
      <c r="G1483">
        <v>5</v>
      </c>
      <c r="H1483">
        <v>3.1E-2</v>
      </c>
      <c r="I1483" s="3">
        <v>1597</v>
      </c>
      <c r="J1483" s="1">
        <v>45619</v>
      </c>
      <c r="K1483" t="s">
        <v>31</v>
      </c>
      <c r="L1483" t="s">
        <v>9</v>
      </c>
      <c r="M1483" t="s">
        <v>46</v>
      </c>
      <c r="N1483" s="1">
        <f t="shared" si="138"/>
        <v>45619</v>
      </c>
      <c r="O1483" s="4">
        <f t="shared" si="139"/>
        <v>3.2031249999999997E-2</v>
      </c>
      <c r="P1483">
        <f t="shared" si="140"/>
        <v>1.1322560975609757</v>
      </c>
      <c r="Q1483" s="2">
        <f t="shared" si="141"/>
        <v>18.568999999999999</v>
      </c>
      <c r="R1483" s="2">
        <f t="shared" si="142"/>
        <v>37.137999999999998</v>
      </c>
      <c r="S1483" s="2">
        <f t="shared" si="143"/>
        <v>8.6003554310948349</v>
      </c>
    </row>
    <row r="1484" spans="1:19" hidden="1">
      <c r="A1484" t="s">
        <v>1537</v>
      </c>
      <c r="B1484" t="s">
        <v>30</v>
      </c>
      <c r="C1484">
        <v>166</v>
      </c>
      <c r="D1484">
        <v>3887</v>
      </c>
      <c r="E1484" s="2">
        <v>192</v>
      </c>
      <c r="F1484">
        <v>24</v>
      </c>
      <c r="G1484">
        <v>9</v>
      </c>
      <c r="H1484">
        <v>5.3999999999999999E-2</v>
      </c>
      <c r="I1484" s="3">
        <v>1890</v>
      </c>
      <c r="J1484" s="1">
        <v>45609</v>
      </c>
      <c r="K1484" t="s">
        <v>31</v>
      </c>
      <c r="L1484" t="s">
        <v>9</v>
      </c>
      <c r="M1484" t="s">
        <v>35</v>
      </c>
      <c r="N1484" s="1">
        <f t="shared" si="138"/>
        <v>45609</v>
      </c>
      <c r="O1484" s="4">
        <f t="shared" si="139"/>
        <v>4.2706457422176484E-2</v>
      </c>
      <c r="P1484">
        <f t="shared" si="140"/>
        <v>1.1566265060240963</v>
      </c>
      <c r="Q1484" s="2">
        <f t="shared" si="141"/>
        <v>8</v>
      </c>
      <c r="R1484" s="2">
        <f t="shared" si="142"/>
        <v>21.333333333333332</v>
      </c>
      <c r="S1484" s="2">
        <f t="shared" si="143"/>
        <v>9.84375</v>
      </c>
    </row>
    <row r="1485" spans="1:19" hidden="1">
      <c r="A1485" t="s">
        <v>1538</v>
      </c>
      <c r="B1485" t="s">
        <v>30</v>
      </c>
      <c r="C1485">
        <v>88</v>
      </c>
      <c r="D1485">
        <v>3909</v>
      </c>
      <c r="E1485" s="2">
        <v>189.57</v>
      </c>
      <c r="F1485">
        <v>30</v>
      </c>
      <c r="G1485">
        <v>10</v>
      </c>
      <c r="H1485">
        <v>0.114</v>
      </c>
      <c r="I1485" s="3">
        <v>1750</v>
      </c>
      <c r="J1485" s="1" t="s">
        <v>86</v>
      </c>
      <c r="K1485" t="s">
        <v>31</v>
      </c>
      <c r="L1485" t="s">
        <v>7</v>
      </c>
      <c r="M1485" t="s">
        <v>39</v>
      </c>
      <c r="N1485" s="1">
        <f t="shared" si="138"/>
        <v>45625</v>
      </c>
      <c r="O1485" s="4">
        <f t="shared" si="139"/>
        <v>2.2512151445382451E-2</v>
      </c>
      <c r="P1485">
        <f t="shared" si="140"/>
        <v>2.1542045454545455</v>
      </c>
      <c r="Q1485" s="2">
        <f t="shared" si="141"/>
        <v>6.319</v>
      </c>
      <c r="R1485" s="2">
        <f t="shared" si="142"/>
        <v>18.957000000000001</v>
      </c>
      <c r="S1485" s="2">
        <f t="shared" si="143"/>
        <v>9.2314184733871389</v>
      </c>
    </row>
    <row r="1486" spans="1:19">
      <c r="A1486" t="s">
        <v>1539</v>
      </c>
      <c r="B1486" t="s">
        <v>30</v>
      </c>
      <c r="C1486">
        <v>125</v>
      </c>
      <c r="D1486">
        <v>3017</v>
      </c>
      <c r="E1486" s="2">
        <v>232.51</v>
      </c>
      <c r="F1486">
        <v>14</v>
      </c>
      <c r="G1486">
        <v>7</v>
      </c>
      <c r="H1486">
        <v>4.5999999999999999E-2</v>
      </c>
      <c r="I1486" s="3">
        <v>1510</v>
      </c>
      <c r="J1486" s="1">
        <v>45604</v>
      </c>
      <c r="K1486" t="s">
        <v>31</v>
      </c>
      <c r="L1486" t="s">
        <v>9</v>
      </c>
      <c r="M1486" t="s">
        <v>39</v>
      </c>
      <c r="N1486" s="1">
        <f t="shared" si="138"/>
        <v>45604</v>
      </c>
      <c r="O1486" s="4">
        <f t="shared" si="139"/>
        <v>4.1431885979449787E-2</v>
      </c>
      <c r="P1486">
        <f t="shared" si="140"/>
        <v>1.86008</v>
      </c>
      <c r="Q1486" s="2">
        <f t="shared" si="141"/>
        <v>16.607857142857142</v>
      </c>
      <c r="R1486" s="2">
        <f t="shared" si="142"/>
        <v>33.215714285714284</v>
      </c>
      <c r="S1486" s="2">
        <f t="shared" si="143"/>
        <v>6.49434432927616</v>
      </c>
    </row>
    <row r="1487" spans="1:19">
      <c r="A1487" t="s">
        <v>1540</v>
      </c>
      <c r="B1487" t="s">
        <v>30</v>
      </c>
      <c r="C1487">
        <v>139</v>
      </c>
      <c r="D1487">
        <v>5127</v>
      </c>
      <c r="E1487" s="2">
        <v>206.95</v>
      </c>
      <c r="F1487">
        <v>26</v>
      </c>
      <c r="G1487">
        <v>5</v>
      </c>
      <c r="H1487">
        <v>4.5999999999999999E-2</v>
      </c>
      <c r="I1487" s="3">
        <v>1902</v>
      </c>
      <c r="J1487" s="1" t="s">
        <v>132</v>
      </c>
      <c r="K1487" t="s">
        <v>31</v>
      </c>
      <c r="L1487" t="s">
        <v>7</v>
      </c>
      <c r="M1487" t="s">
        <v>41</v>
      </c>
      <c r="N1487" s="1">
        <f t="shared" si="138"/>
        <v>45613</v>
      </c>
      <c r="O1487" s="4">
        <f t="shared" si="139"/>
        <v>2.7111371172225472E-2</v>
      </c>
      <c r="P1487">
        <f t="shared" si="140"/>
        <v>1.4888489208633093</v>
      </c>
      <c r="Q1487" s="2">
        <f t="shared" si="141"/>
        <v>7.9596153846153843</v>
      </c>
      <c r="R1487" s="2">
        <f t="shared" si="142"/>
        <v>41.39</v>
      </c>
      <c r="S1487" s="2">
        <f t="shared" si="143"/>
        <v>9.1906257550132882</v>
      </c>
    </row>
    <row r="1488" spans="1:19" hidden="1">
      <c r="A1488" t="s">
        <v>1541</v>
      </c>
      <c r="B1488" t="s">
        <v>30</v>
      </c>
      <c r="C1488">
        <v>151</v>
      </c>
      <c r="D1488">
        <v>3992</v>
      </c>
      <c r="E1488" s="2">
        <v>212.42</v>
      </c>
      <c r="F1488">
        <v>10</v>
      </c>
      <c r="G1488">
        <v>9</v>
      </c>
      <c r="H1488">
        <v>0.06</v>
      </c>
      <c r="I1488" s="3">
        <v>1890</v>
      </c>
      <c r="J1488" s="1">
        <v>45622</v>
      </c>
      <c r="K1488" t="s">
        <v>31</v>
      </c>
      <c r="L1488" t="s">
        <v>9</v>
      </c>
      <c r="M1488" t="s">
        <v>32</v>
      </c>
      <c r="N1488" s="1">
        <f t="shared" si="138"/>
        <v>45622</v>
      </c>
      <c r="O1488" s="4">
        <f t="shared" si="139"/>
        <v>3.7825651302605214E-2</v>
      </c>
      <c r="P1488">
        <f t="shared" si="140"/>
        <v>1.4067549668874171</v>
      </c>
      <c r="Q1488" s="2">
        <f t="shared" si="141"/>
        <v>21.241999999999997</v>
      </c>
      <c r="R1488" s="2">
        <f t="shared" si="142"/>
        <v>23.60222222222222</v>
      </c>
      <c r="S1488" s="2">
        <f t="shared" si="143"/>
        <v>8.897467281800207</v>
      </c>
    </row>
    <row r="1489" spans="1:19" hidden="1">
      <c r="A1489" t="s">
        <v>1542</v>
      </c>
      <c r="B1489" t="s">
        <v>30</v>
      </c>
      <c r="C1489">
        <v>182</v>
      </c>
      <c r="D1489">
        <v>3554</v>
      </c>
      <c r="E1489" s="2">
        <v>181.74</v>
      </c>
      <c r="F1489">
        <v>18</v>
      </c>
      <c r="G1489">
        <v>4</v>
      </c>
      <c r="H1489">
        <v>2.1999999999999999E-2</v>
      </c>
      <c r="I1489" s="3">
        <v>1933</v>
      </c>
      <c r="J1489" s="1">
        <v>45333</v>
      </c>
      <c r="K1489" t="s">
        <v>31</v>
      </c>
      <c r="L1489" t="s">
        <v>9</v>
      </c>
      <c r="M1489" t="s">
        <v>32</v>
      </c>
      <c r="N1489" s="1">
        <f t="shared" si="138"/>
        <v>45333</v>
      </c>
      <c r="O1489" s="4">
        <f t="shared" si="139"/>
        <v>5.1209904333145755E-2</v>
      </c>
      <c r="P1489">
        <f t="shared" si="140"/>
        <v>0.99857142857142867</v>
      </c>
      <c r="Q1489" s="2">
        <f t="shared" si="141"/>
        <v>10.096666666666668</v>
      </c>
      <c r="R1489" s="2">
        <f t="shared" si="142"/>
        <v>45.435000000000002</v>
      </c>
      <c r="S1489" s="2">
        <f t="shared" si="143"/>
        <v>10.636073511609991</v>
      </c>
    </row>
    <row r="1490" spans="1:19" hidden="1">
      <c r="A1490" t="s">
        <v>1543</v>
      </c>
      <c r="B1490" t="s">
        <v>30</v>
      </c>
      <c r="C1490">
        <v>84</v>
      </c>
      <c r="D1490">
        <v>4051</v>
      </c>
      <c r="E1490" s="2">
        <v>196.83</v>
      </c>
      <c r="F1490">
        <v>21</v>
      </c>
      <c r="G1490">
        <v>4</v>
      </c>
      <c r="H1490">
        <v>4.8000000000000001E-2</v>
      </c>
      <c r="I1490" s="3">
        <v>1094</v>
      </c>
      <c r="J1490" s="1">
        <v>45610</v>
      </c>
      <c r="K1490" t="s">
        <v>31</v>
      </c>
      <c r="L1490" t="s">
        <v>8</v>
      </c>
      <c r="M1490" t="s">
        <v>41</v>
      </c>
      <c r="N1490" s="1">
        <f t="shared" si="138"/>
        <v>45610</v>
      </c>
      <c r="O1490" s="4">
        <f t="shared" si="139"/>
        <v>2.0735620834361885E-2</v>
      </c>
      <c r="P1490">
        <f t="shared" si="140"/>
        <v>2.3432142857142857</v>
      </c>
      <c r="Q1490" s="2">
        <f t="shared" si="141"/>
        <v>9.3728571428571428</v>
      </c>
      <c r="R1490" s="2">
        <f t="shared" si="142"/>
        <v>49.207500000000003</v>
      </c>
      <c r="S1490" s="2">
        <f t="shared" si="143"/>
        <v>5.5580958187268195</v>
      </c>
    </row>
    <row r="1491" spans="1:19" hidden="1">
      <c r="A1491" t="s">
        <v>1544</v>
      </c>
      <c r="B1491" t="s">
        <v>30</v>
      </c>
      <c r="C1491">
        <v>127</v>
      </c>
      <c r="D1491">
        <v>3541</v>
      </c>
      <c r="E1491" s="2">
        <v>239.47</v>
      </c>
      <c r="F1491">
        <v>16</v>
      </c>
      <c r="G1491">
        <v>10</v>
      </c>
      <c r="H1491">
        <v>7.9000000000000001E-2</v>
      </c>
      <c r="I1491" s="3">
        <v>1474</v>
      </c>
      <c r="J1491" s="1">
        <v>45621</v>
      </c>
      <c r="K1491" t="s">
        <v>31</v>
      </c>
      <c r="L1491" t="s">
        <v>9</v>
      </c>
      <c r="M1491" t="s">
        <v>39</v>
      </c>
      <c r="N1491" s="1">
        <f t="shared" si="138"/>
        <v>45621</v>
      </c>
      <c r="O1491" s="4">
        <f t="shared" si="139"/>
        <v>3.5865574696413445E-2</v>
      </c>
      <c r="P1491">
        <f t="shared" si="140"/>
        <v>1.8855905511811024</v>
      </c>
      <c r="Q1491" s="2">
        <f t="shared" si="141"/>
        <v>14.966875</v>
      </c>
      <c r="R1491" s="2">
        <f t="shared" si="142"/>
        <v>23.946999999999999</v>
      </c>
      <c r="S1491" s="2">
        <f t="shared" si="143"/>
        <v>6.1552595314653189</v>
      </c>
    </row>
    <row r="1492" spans="1:19" hidden="1">
      <c r="A1492" t="s">
        <v>1545</v>
      </c>
      <c r="B1492" t="s">
        <v>30</v>
      </c>
      <c r="C1492">
        <v>104</v>
      </c>
      <c r="D1492">
        <v>5878</v>
      </c>
      <c r="E1492" s="2">
        <v>228.79</v>
      </c>
      <c r="F1492">
        <v>21</v>
      </c>
      <c r="G1492">
        <v>3</v>
      </c>
      <c r="H1492">
        <v>0.05</v>
      </c>
      <c r="I1492" s="3">
        <v>1101</v>
      </c>
      <c r="J1492" s="1">
        <v>45423</v>
      </c>
      <c r="K1492" t="s">
        <v>31</v>
      </c>
      <c r="L1492" t="s">
        <v>8</v>
      </c>
      <c r="M1492" t="s">
        <v>35</v>
      </c>
      <c r="N1492" s="1">
        <f t="shared" si="138"/>
        <v>45423</v>
      </c>
      <c r="O1492" s="4">
        <f t="shared" si="139"/>
        <v>1.7693092888737667E-2</v>
      </c>
      <c r="P1492">
        <f t="shared" si="140"/>
        <v>2.199903846153846</v>
      </c>
      <c r="Q1492" s="2">
        <f t="shared" si="141"/>
        <v>10.894761904761904</v>
      </c>
      <c r="R1492" s="2">
        <f t="shared" si="142"/>
        <v>76.263333333333335</v>
      </c>
      <c r="S1492" s="2">
        <f t="shared" si="143"/>
        <v>4.812273263691595</v>
      </c>
    </row>
    <row r="1493" spans="1:19" hidden="1">
      <c r="A1493" t="s">
        <v>1546</v>
      </c>
      <c r="B1493" t="s">
        <v>30</v>
      </c>
      <c r="C1493">
        <v>161</v>
      </c>
      <c r="D1493">
        <v>4611</v>
      </c>
      <c r="E1493" s="2">
        <v>228.34</v>
      </c>
      <c r="F1493">
        <v>26</v>
      </c>
      <c r="G1493">
        <v>7</v>
      </c>
      <c r="H1493">
        <v>4.2999999999999997E-2</v>
      </c>
      <c r="I1493" s="3">
        <v>1473</v>
      </c>
      <c r="J1493" s="1">
        <v>45621</v>
      </c>
      <c r="K1493" t="s">
        <v>31</v>
      </c>
      <c r="L1493" t="s">
        <v>9</v>
      </c>
      <c r="M1493" t="s">
        <v>37</v>
      </c>
      <c r="N1493" s="1">
        <f t="shared" si="138"/>
        <v>45621</v>
      </c>
      <c r="O1493" s="4">
        <f t="shared" si="139"/>
        <v>3.4916504012144869E-2</v>
      </c>
      <c r="P1493">
        <f t="shared" si="140"/>
        <v>1.4182608695652175</v>
      </c>
      <c r="Q1493" s="2">
        <f t="shared" si="141"/>
        <v>8.7823076923076933</v>
      </c>
      <c r="R1493" s="2">
        <f t="shared" si="142"/>
        <v>32.619999999999997</v>
      </c>
      <c r="S1493" s="2">
        <f t="shared" si="143"/>
        <v>6.4509065428746606</v>
      </c>
    </row>
    <row r="1494" spans="1:19" hidden="1">
      <c r="A1494" t="s">
        <v>1547</v>
      </c>
      <c r="B1494" t="s">
        <v>30</v>
      </c>
      <c r="C1494">
        <v>141</v>
      </c>
      <c r="D1494">
        <v>4764</v>
      </c>
      <c r="E1494" s="2">
        <v>187.72</v>
      </c>
      <c r="F1494">
        <v>28</v>
      </c>
      <c r="G1494">
        <v>4</v>
      </c>
      <c r="H1494">
        <v>2.8000000000000001E-2</v>
      </c>
      <c r="I1494" s="3">
        <v>1428</v>
      </c>
      <c r="J1494" s="1">
        <v>45612</v>
      </c>
      <c r="K1494" t="s">
        <v>31</v>
      </c>
      <c r="L1494" t="s">
        <v>8</v>
      </c>
      <c r="M1494" t="s">
        <v>46</v>
      </c>
      <c r="N1494" s="1">
        <f t="shared" si="138"/>
        <v>45612</v>
      </c>
      <c r="O1494" s="4">
        <f t="shared" si="139"/>
        <v>2.9596977329974811E-2</v>
      </c>
      <c r="P1494">
        <f t="shared" si="140"/>
        <v>1.3313475177304965</v>
      </c>
      <c r="Q1494" s="2">
        <f t="shared" si="141"/>
        <v>6.7042857142857146</v>
      </c>
      <c r="R1494" s="2">
        <f t="shared" si="142"/>
        <v>46.93</v>
      </c>
      <c r="S1494" s="2">
        <f t="shared" si="143"/>
        <v>7.6070743660771365</v>
      </c>
    </row>
    <row r="1495" spans="1:19" hidden="1">
      <c r="A1495" t="s">
        <v>1548</v>
      </c>
      <c r="B1495" t="s">
        <v>30</v>
      </c>
      <c r="C1495">
        <v>186</v>
      </c>
      <c r="D1495">
        <v>4603</v>
      </c>
      <c r="E1495" s="2">
        <v>191.84</v>
      </c>
      <c r="F1495">
        <v>26</v>
      </c>
      <c r="G1495">
        <v>9</v>
      </c>
      <c r="H1495">
        <v>4.7E-2</v>
      </c>
      <c r="I1495" s="3">
        <v>1918</v>
      </c>
      <c r="J1495" s="1">
        <v>45603</v>
      </c>
      <c r="K1495" t="s">
        <v>31</v>
      </c>
      <c r="L1495" t="s">
        <v>7</v>
      </c>
      <c r="M1495" t="s">
        <v>32</v>
      </c>
      <c r="N1495" s="1">
        <f t="shared" si="138"/>
        <v>45603</v>
      </c>
      <c r="O1495" s="4">
        <f t="shared" si="139"/>
        <v>4.0408429285248751E-2</v>
      </c>
      <c r="P1495">
        <f t="shared" si="140"/>
        <v>1.0313978494623657</v>
      </c>
      <c r="Q1495" s="2">
        <f t="shared" si="141"/>
        <v>7.3784615384615382</v>
      </c>
      <c r="R1495" s="2">
        <f t="shared" si="142"/>
        <v>21.315555555555555</v>
      </c>
      <c r="S1495" s="2">
        <f t="shared" si="143"/>
        <v>9.9979149291075888</v>
      </c>
    </row>
    <row r="1496" spans="1:19">
      <c r="A1496" t="s">
        <v>1549</v>
      </c>
      <c r="B1496" t="s">
        <v>30</v>
      </c>
      <c r="C1496">
        <v>139</v>
      </c>
      <c r="D1496">
        <v>5003</v>
      </c>
      <c r="E1496" s="2">
        <v>195.4</v>
      </c>
      <c r="F1496">
        <v>15</v>
      </c>
      <c r="G1496">
        <v>7</v>
      </c>
      <c r="H1496">
        <v>4.5999999999999999E-2</v>
      </c>
      <c r="I1496" s="3">
        <v>1273</v>
      </c>
      <c r="J1496" s="1">
        <v>45614</v>
      </c>
      <c r="K1496" t="s">
        <v>31</v>
      </c>
      <c r="L1496" t="s">
        <v>7</v>
      </c>
      <c r="M1496" t="s">
        <v>39</v>
      </c>
      <c r="N1496" s="1">
        <f t="shared" si="138"/>
        <v>45614</v>
      </c>
      <c r="O1496" s="4">
        <f t="shared" si="139"/>
        <v>2.7783330001998802E-2</v>
      </c>
      <c r="P1496">
        <f t="shared" si="140"/>
        <v>1.4057553956834532</v>
      </c>
      <c r="Q1496" s="2">
        <f t="shared" si="141"/>
        <v>13.026666666666667</v>
      </c>
      <c r="R1496" s="2">
        <f t="shared" si="142"/>
        <v>27.914285714285715</v>
      </c>
      <c r="S1496" s="2">
        <f t="shared" si="143"/>
        <v>6.5148413510747183</v>
      </c>
    </row>
    <row r="1497" spans="1:19" hidden="1">
      <c r="A1497" t="s">
        <v>1550</v>
      </c>
      <c r="B1497" t="s">
        <v>30</v>
      </c>
      <c r="C1497">
        <v>124</v>
      </c>
      <c r="D1497">
        <v>5212</v>
      </c>
      <c r="E1497" s="2">
        <v>190.83</v>
      </c>
      <c r="F1497">
        <v>13</v>
      </c>
      <c r="G1497">
        <v>6</v>
      </c>
      <c r="H1497">
        <v>4.8000000000000001E-2</v>
      </c>
      <c r="I1497" s="3">
        <v>1399</v>
      </c>
      <c r="J1497" s="1">
        <v>45603</v>
      </c>
      <c r="K1497" t="s">
        <v>31</v>
      </c>
      <c r="L1497" t="s">
        <v>7</v>
      </c>
      <c r="M1497" t="s">
        <v>35</v>
      </c>
      <c r="N1497" s="1">
        <f t="shared" si="138"/>
        <v>45603</v>
      </c>
      <c r="O1497" s="4">
        <f t="shared" si="139"/>
        <v>2.3791250959324637E-2</v>
      </c>
      <c r="P1497">
        <f t="shared" si="140"/>
        <v>1.5389516129032259</v>
      </c>
      <c r="Q1497" s="2">
        <f t="shared" si="141"/>
        <v>14.67923076923077</v>
      </c>
      <c r="R1497" s="2">
        <f t="shared" si="142"/>
        <v>31.805000000000003</v>
      </c>
      <c r="S1497" s="2">
        <f t="shared" si="143"/>
        <v>7.3311324215270135</v>
      </c>
    </row>
    <row r="1498" spans="1:19" hidden="1">
      <c r="A1498" t="s">
        <v>1551</v>
      </c>
      <c r="B1498" t="s">
        <v>30</v>
      </c>
      <c r="C1498">
        <v>97</v>
      </c>
      <c r="D1498">
        <v>5285</v>
      </c>
      <c r="E1498" s="2">
        <v>249.65</v>
      </c>
      <c r="F1498">
        <v>12</v>
      </c>
      <c r="G1498">
        <v>7</v>
      </c>
      <c r="H1498">
        <v>5.0999999999999997E-2</v>
      </c>
      <c r="I1498" s="3">
        <v>1411</v>
      </c>
      <c r="J1498" s="1">
        <v>45623</v>
      </c>
      <c r="K1498" t="s">
        <v>31</v>
      </c>
      <c r="L1498" t="s">
        <v>7</v>
      </c>
      <c r="M1498" t="s">
        <v>39</v>
      </c>
      <c r="N1498" s="1">
        <f t="shared" si="138"/>
        <v>45623</v>
      </c>
      <c r="O1498" s="4">
        <f t="shared" si="139"/>
        <v>1.8353831598864712E-2</v>
      </c>
      <c r="P1498">
        <f t="shared" si="140"/>
        <v>2.5737113402061857</v>
      </c>
      <c r="Q1498" s="2">
        <f t="shared" si="141"/>
        <v>20.804166666666667</v>
      </c>
      <c r="R1498" s="2">
        <f t="shared" si="142"/>
        <v>35.664285714285718</v>
      </c>
      <c r="S1498" s="2">
        <f t="shared" si="143"/>
        <v>5.6519126777488484</v>
      </c>
    </row>
    <row r="1499" spans="1:19">
      <c r="A1499" t="s">
        <v>1552</v>
      </c>
      <c r="B1499" t="s">
        <v>30</v>
      </c>
      <c r="C1499">
        <v>111</v>
      </c>
      <c r="D1499">
        <v>3177</v>
      </c>
      <c r="E1499" s="2">
        <v>224.51</v>
      </c>
      <c r="F1499">
        <v>18</v>
      </c>
      <c r="G1499">
        <v>8</v>
      </c>
      <c r="H1499">
        <v>4.5999999999999999E-2</v>
      </c>
      <c r="I1499" s="3">
        <v>1946</v>
      </c>
      <c r="J1499" s="1">
        <v>45621</v>
      </c>
      <c r="K1499" t="s">
        <v>31</v>
      </c>
      <c r="L1499" t="s">
        <v>7</v>
      </c>
      <c r="M1499" t="s">
        <v>32</v>
      </c>
      <c r="N1499" s="1">
        <f t="shared" si="138"/>
        <v>45621</v>
      </c>
      <c r="O1499" s="4">
        <f t="shared" si="139"/>
        <v>3.4938621340887627E-2</v>
      </c>
      <c r="P1499">
        <f t="shared" si="140"/>
        <v>2.0226126126126127</v>
      </c>
      <c r="Q1499" s="2">
        <f t="shared" si="141"/>
        <v>12.472777777777777</v>
      </c>
      <c r="R1499" s="2">
        <f t="shared" si="142"/>
        <v>28.063749999999999</v>
      </c>
      <c r="S1499" s="2">
        <f t="shared" si="143"/>
        <v>8.6677653556634446</v>
      </c>
    </row>
    <row r="1500" spans="1:19" hidden="1">
      <c r="A1500" t="s">
        <v>1553</v>
      </c>
      <c r="B1500" t="s">
        <v>30</v>
      </c>
      <c r="C1500">
        <v>93</v>
      </c>
      <c r="D1500">
        <v>5571</v>
      </c>
      <c r="E1500" s="2">
        <v>185.71</v>
      </c>
      <c r="F1500">
        <v>12</v>
      </c>
      <c r="G1500">
        <v>7</v>
      </c>
      <c r="H1500">
        <v>7.4999999999999997E-2</v>
      </c>
      <c r="I1500" s="3">
        <v>1630</v>
      </c>
      <c r="J1500" s="1" t="s">
        <v>94</v>
      </c>
      <c r="K1500" t="s">
        <v>31</v>
      </c>
      <c r="L1500" t="s">
        <v>9</v>
      </c>
      <c r="M1500" t="s">
        <v>41</v>
      </c>
      <c r="N1500" s="1">
        <f t="shared" si="138"/>
        <v>45617</v>
      </c>
      <c r="O1500" s="4">
        <f t="shared" si="139"/>
        <v>1.6693591814754979E-2</v>
      </c>
      <c r="P1500">
        <f t="shared" si="140"/>
        <v>1.9968817204301077</v>
      </c>
      <c r="Q1500" s="2">
        <f t="shared" si="141"/>
        <v>15.475833333333334</v>
      </c>
      <c r="R1500" s="2">
        <f t="shared" si="142"/>
        <v>26.53</v>
      </c>
      <c r="S1500" s="2">
        <f t="shared" si="143"/>
        <v>8.7771256259759838</v>
      </c>
    </row>
    <row r="1501" spans="1:19" hidden="1">
      <c r="A1501" t="s">
        <v>1554</v>
      </c>
      <c r="B1501" t="s">
        <v>30</v>
      </c>
      <c r="C1501">
        <v>92</v>
      </c>
      <c r="D1501">
        <v>3237</v>
      </c>
      <c r="E1501" s="2">
        <v>245.48</v>
      </c>
      <c r="F1501">
        <v>15</v>
      </c>
      <c r="G1501">
        <v>6</v>
      </c>
      <c r="H1501">
        <v>6.5000000000000002E-2</v>
      </c>
      <c r="I1501" s="3">
        <v>1505</v>
      </c>
      <c r="J1501" s="1">
        <v>45615</v>
      </c>
      <c r="K1501" t="s">
        <v>31</v>
      </c>
      <c r="L1501" t="s">
        <v>7</v>
      </c>
      <c r="M1501" t="s">
        <v>37</v>
      </c>
      <c r="N1501" s="1">
        <f t="shared" si="138"/>
        <v>45615</v>
      </c>
      <c r="O1501" s="4">
        <f t="shared" si="139"/>
        <v>2.8421377818968179E-2</v>
      </c>
      <c r="P1501">
        <f t="shared" si="140"/>
        <v>2.6682608695652172</v>
      </c>
      <c r="Q1501" s="2">
        <f t="shared" si="141"/>
        <v>16.365333333333332</v>
      </c>
      <c r="R1501" s="2">
        <f t="shared" si="142"/>
        <v>40.913333333333334</v>
      </c>
      <c r="S1501" s="2">
        <f t="shared" si="143"/>
        <v>6.1308456900765851</v>
      </c>
    </row>
    <row r="1502" spans="1:19" hidden="1">
      <c r="A1502" t="s">
        <v>1555</v>
      </c>
      <c r="B1502" t="s">
        <v>30</v>
      </c>
      <c r="C1502">
        <v>138</v>
      </c>
      <c r="D1502">
        <v>5314</v>
      </c>
      <c r="E1502" s="2">
        <v>198.39</v>
      </c>
      <c r="F1502">
        <v>17</v>
      </c>
      <c r="G1502">
        <v>10</v>
      </c>
      <c r="H1502">
        <v>7.1999999999999995E-2</v>
      </c>
      <c r="I1502" s="3">
        <v>1250</v>
      </c>
      <c r="J1502" s="1">
        <v>45616</v>
      </c>
      <c r="K1502" t="s">
        <v>31</v>
      </c>
      <c r="L1502" t="s">
        <v>7</v>
      </c>
      <c r="M1502" t="s">
        <v>41</v>
      </c>
      <c r="N1502" s="1">
        <f t="shared" si="138"/>
        <v>45616</v>
      </c>
      <c r="O1502" s="4">
        <f t="shared" si="139"/>
        <v>2.5969138125705685E-2</v>
      </c>
      <c r="P1502">
        <f t="shared" si="140"/>
        <v>1.4376086956521739</v>
      </c>
      <c r="Q1502" s="2">
        <f t="shared" si="141"/>
        <v>11.67</v>
      </c>
      <c r="R1502" s="2">
        <f t="shared" si="142"/>
        <v>19.838999999999999</v>
      </c>
      <c r="S1502" s="2">
        <f t="shared" si="143"/>
        <v>6.3007208024598018</v>
      </c>
    </row>
    <row r="1503" spans="1:19" hidden="1">
      <c r="A1503" t="s">
        <v>1556</v>
      </c>
      <c r="B1503" t="s">
        <v>30</v>
      </c>
      <c r="C1503">
        <v>129</v>
      </c>
      <c r="D1503">
        <v>4452</v>
      </c>
      <c r="E1503" s="2">
        <v>196.06</v>
      </c>
      <c r="F1503">
        <v>10</v>
      </c>
      <c r="G1503">
        <v>9</v>
      </c>
      <c r="H1503">
        <v>5.2999999999999999E-2</v>
      </c>
      <c r="I1503" s="3">
        <v>1069</v>
      </c>
      <c r="J1503" s="1">
        <v>45609</v>
      </c>
      <c r="K1503" t="s">
        <v>31</v>
      </c>
      <c r="L1503" t="s">
        <v>9</v>
      </c>
      <c r="M1503" t="s">
        <v>32</v>
      </c>
      <c r="N1503" s="1">
        <f t="shared" si="138"/>
        <v>45609</v>
      </c>
      <c r="O1503" s="4">
        <f t="shared" si="139"/>
        <v>2.8975741239892182E-2</v>
      </c>
      <c r="P1503">
        <f t="shared" si="140"/>
        <v>1.51984496124031</v>
      </c>
      <c r="Q1503" s="2">
        <f t="shared" si="141"/>
        <v>19.606000000000002</v>
      </c>
      <c r="R1503" s="2">
        <f t="shared" si="142"/>
        <v>21.784444444444446</v>
      </c>
      <c r="S1503" s="2">
        <f t="shared" si="143"/>
        <v>5.4524125267775174</v>
      </c>
    </row>
    <row r="1504" spans="1:19" hidden="1">
      <c r="A1504" t="s">
        <v>1557</v>
      </c>
      <c r="B1504" t="s">
        <v>30</v>
      </c>
      <c r="C1504">
        <v>183</v>
      </c>
      <c r="D1504">
        <v>3920</v>
      </c>
      <c r="E1504" s="2">
        <v>235.79</v>
      </c>
      <c r="F1504">
        <v>20</v>
      </c>
      <c r="G1504">
        <v>7</v>
      </c>
      <c r="H1504">
        <v>3.7999999999999999E-2</v>
      </c>
      <c r="I1504" s="3">
        <v>1238</v>
      </c>
      <c r="J1504" s="1">
        <v>45613</v>
      </c>
      <c r="K1504" t="s">
        <v>31</v>
      </c>
      <c r="L1504" t="s">
        <v>8</v>
      </c>
      <c r="M1504" t="s">
        <v>39</v>
      </c>
      <c r="N1504" s="1">
        <f t="shared" si="138"/>
        <v>45613</v>
      </c>
      <c r="O1504" s="4">
        <f t="shared" si="139"/>
        <v>4.6683673469387753E-2</v>
      </c>
      <c r="P1504">
        <f t="shared" si="140"/>
        <v>1.2884699453551911</v>
      </c>
      <c r="Q1504" s="2">
        <f t="shared" si="141"/>
        <v>11.7895</v>
      </c>
      <c r="R1504" s="2">
        <f t="shared" si="142"/>
        <v>33.684285714285714</v>
      </c>
      <c r="S1504" s="2">
        <f t="shared" si="143"/>
        <v>5.2504347088510963</v>
      </c>
    </row>
    <row r="1505" spans="1:19" hidden="1">
      <c r="A1505" t="s">
        <v>1558</v>
      </c>
      <c r="B1505" t="s">
        <v>30</v>
      </c>
      <c r="C1505">
        <v>154</v>
      </c>
      <c r="D1505">
        <v>4603</v>
      </c>
      <c r="E1505" s="2">
        <v>214</v>
      </c>
      <c r="F1505">
        <v>20</v>
      </c>
      <c r="G1505">
        <v>3</v>
      </c>
      <c r="H1505">
        <v>1.9E-2</v>
      </c>
      <c r="I1505" s="3">
        <v>1709</v>
      </c>
      <c r="J1505" s="1">
        <v>45614</v>
      </c>
      <c r="K1505" t="s">
        <v>31</v>
      </c>
      <c r="L1505" t="s">
        <v>9</v>
      </c>
      <c r="M1505" t="s">
        <v>35</v>
      </c>
      <c r="N1505" s="1">
        <f t="shared" si="138"/>
        <v>45614</v>
      </c>
      <c r="O1505" s="4">
        <f t="shared" si="139"/>
        <v>3.3456441451227462E-2</v>
      </c>
      <c r="P1505">
        <f t="shared" si="140"/>
        <v>1.3896103896103895</v>
      </c>
      <c r="Q1505" s="2">
        <f t="shared" si="141"/>
        <v>10.7</v>
      </c>
      <c r="R1505" s="2">
        <f t="shared" si="142"/>
        <v>71.333333333333329</v>
      </c>
      <c r="S1505" s="2">
        <f t="shared" si="143"/>
        <v>7.9859813084112146</v>
      </c>
    </row>
    <row r="1506" spans="1:19" hidden="1">
      <c r="A1506" t="s">
        <v>1559</v>
      </c>
      <c r="B1506" t="s">
        <v>30</v>
      </c>
      <c r="C1506">
        <v>95</v>
      </c>
      <c r="D1506">
        <v>4938</v>
      </c>
      <c r="E1506" s="2">
        <v>204.5</v>
      </c>
      <c r="F1506">
        <v>12</v>
      </c>
      <c r="G1506">
        <v>6</v>
      </c>
      <c r="H1506">
        <v>4.5999999999999999E-2</v>
      </c>
      <c r="I1506" s="3">
        <v>1494</v>
      </c>
      <c r="J1506" s="1">
        <v>45614</v>
      </c>
      <c r="K1506" t="s">
        <v>31</v>
      </c>
      <c r="L1506" t="s">
        <v>9</v>
      </c>
      <c r="M1506" t="s">
        <v>39</v>
      </c>
      <c r="N1506" s="1">
        <f t="shared" si="138"/>
        <v>45614</v>
      </c>
      <c r="O1506" s="4">
        <f t="shared" si="139"/>
        <v>1.923855812069664E-2</v>
      </c>
      <c r="P1506">
        <f t="shared" si="140"/>
        <v>2.1526315789473682</v>
      </c>
      <c r="Q1506" s="2">
        <f t="shared" si="141"/>
        <v>17.041666666666668</v>
      </c>
      <c r="R1506" s="2">
        <f t="shared" si="142"/>
        <v>34.083333333333336</v>
      </c>
      <c r="S1506" s="2">
        <f t="shared" si="143"/>
        <v>7.3056234718826403</v>
      </c>
    </row>
    <row r="1507" spans="1:19">
      <c r="A1507" t="s">
        <v>1560</v>
      </c>
      <c r="B1507" t="s">
        <v>30</v>
      </c>
      <c r="C1507">
        <v>173</v>
      </c>
      <c r="D1507">
        <v>5291</v>
      </c>
      <c r="E1507" s="2">
        <v>215.57</v>
      </c>
      <c r="F1507">
        <v>23</v>
      </c>
      <c r="G1507">
        <v>8</v>
      </c>
      <c r="H1507">
        <v>4.5999999999999999E-2</v>
      </c>
      <c r="I1507" s="3">
        <v>1557</v>
      </c>
      <c r="J1507" s="1">
        <v>45609</v>
      </c>
      <c r="K1507" t="s">
        <v>31</v>
      </c>
      <c r="L1507" t="s">
        <v>8</v>
      </c>
      <c r="M1507" t="s">
        <v>37</v>
      </c>
      <c r="N1507" s="1">
        <f t="shared" si="138"/>
        <v>45609</v>
      </c>
      <c r="O1507" s="4">
        <f t="shared" si="139"/>
        <v>3.2697032697032696E-2</v>
      </c>
      <c r="P1507">
        <f t="shared" si="140"/>
        <v>1.2460693641618497</v>
      </c>
      <c r="Q1507" s="2">
        <f t="shared" si="141"/>
        <v>9.3726086956521737</v>
      </c>
      <c r="R1507" s="2">
        <f t="shared" si="142"/>
        <v>26.946249999999999</v>
      </c>
      <c r="S1507" s="2">
        <f t="shared" si="143"/>
        <v>7.2227118801317438</v>
      </c>
    </row>
    <row r="1508" spans="1:19" hidden="1">
      <c r="A1508" t="s">
        <v>1561</v>
      </c>
      <c r="B1508" t="s">
        <v>30</v>
      </c>
      <c r="C1508">
        <v>112</v>
      </c>
      <c r="D1508">
        <v>4072</v>
      </c>
      <c r="E1508" s="2">
        <v>211.56</v>
      </c>
      <c r="F1508">
        <v>17</v>
      </c>
      <c r="G1508">
        <v>10</v>
      </c>
      <c r="H1508">
        <v>8.8999999999999996E-2</v>
      </c>
      <c r="I1508" s="3">
        <v>1229</v>
      </c>
      <c r="J1508" s="1">
        <v>45302</v>
      </c>
      <c r="K1508" t="s">
        <v>31</v>
      </c>
      <c r="L1508" t="s">
        <v>7</v>
      </c>
      <c r="M1508" t="s">
        <v>46</v>
      </c>
      <c r="N1508" s="1">
        <f t="shared" si="138"/>
        <v>45302</v>
      </c>
      <c r="O1508" s="4">
        <f t="shared" si="139"/>
        <v>2.75049115913556E-2</v>
      </c>
      <c r="P1508">
        <f t="shared" si="140"/>
        <v>1.8889285714285715</v>
      </c>
      <c r="Q1508" s="2">
        <f t="shared" si="141"/>
        <v>12.444705882352942</v>
      </c>
      <c r="R1508" s="2">
        <f t="shared" si="142"/>
        <v>21.155999999999999</v>
      </c>
      <c r="S1508" s="2">
        <f t="shared" si="143"/>
        <v>5.8092266969181319</v>
      </c>
    </row>
    <row r="1509" spans="1:19">
      <c r="A1509" t="s">
        <v>1562</v>
      </c>
      <c r="B1509" t="s">
        <v>30</v>
      </c>
      <c r="C1509">
        <v>170</v>
      </c>
      <c r="D1509">
        <v>5953</v>
      </c>
      <c r="E1509" s="2">
        <v>186.11</v>
      </c>
      <c r="F1509">
        <v>25</v>
      </c>
      <c r="G1509">
        <v>8</v>
      </c>
      <c r="H1509">
        <v>4.5999999999999999E-2</v>
      </c>
      <c r="I1509" s="3">
        <v>1080</v>
      </c>
      <c r="J1509" s="1">
        <v>45622</v>
      </c>
      <c r="K1509" t="s">
        <v>31</v>
      </c>
      <c r="L1509" t="s">
        <v>8</v>
      </c>
      <c r="M1509" t="s">
        <v>37</v>
      </c>
      <c r="N1509" s="1">
        <f t="shared" si="138"/>
        <v>45622</v>
      </c>
      <c r="O1509" s="4">
        <f t="shared" si="139"/>
        <v>2.8557030068872839E-2</v>
      </c>
      <c r="P1509">
        <f t="shared" si="140"/>
        <v>1.0947647058823531</v>
      </c>
      <c r="Q1509" s="2">
        <f t="shared" si="141"/>
        <v>7.4444000000000008</v>
      </c>
      <c r="R1509" s="2">
        <f t="shared" si="142"/>
        <v>23.263750000000002</v>
      </c>
      <c r="S1509" s="2">
        <f t="shared" si="143"/>
        <v>5.8030197195207132</v>
      </c>
    </row>
    <row r="1510" spans="1:19" hidden="1">
      <c r="A1510" t="s">
        <v>1563</v>
      </c>
      <c r="B1510" t="s">
        <v>30</v>
      </c>
      <c r="C1510">
        <v>96</v>
      </c>
      <c r="D1510">
        <v>4518.5</v>
      </c>
      <c r="E1510" s="2">
        <v>232.87</v>
      </c>
      <c r="F1510">
        <v>20</v>
      </c>
      <c r="G1510">
        <v>10</v>
      </c>
      <c r="H1510">
        <v>5.2999999999999999E-2</v>
      </c>
      <c r="I1510" s="3">
        <v>1162</v>
      </c>
      <c r="J1510" s="1">
        <v>45610</v>
      </c>
      <c r="K1510" t="s">
        <v>31</v>
      </c>
      <c r="L1510" t="s">
        <v>8</v>
      </c>
      <c r="M1510" t="s">
        <v>32</v>
      </c>
      <c r="N1510" s="1">
        <f t="shared" si="138"/>
        <v>45610</v>
      </c>
      <c r="O1510" s="4">
        <f t="shared" si="139"/>
        <v>2.1245988713068497E-2</v>
      </c>
      <c r="P1510">
        <f t="shared" si="140"/>
        <v>2.4257291666666667</v>
      </c>
      <c r="Q1510" s="2">
        <f t="shared" si="141"/>
        <v>11.6435</v>
      </c>
      <c r="R1510" s="2">
        <f t="shared" si="142"/>
        <v>23.286999999999999</v>
      </c>
      <c r="S1510" s="2">
        <f t="shared" si="143"/>
        <v>4.9899085326577062</v>
      </c>
    </row>
    <row r="1511" spans="1:19" hidden="1">
      <c r="A1511" t="s">
        <v>1564</v>
      </c>
      <c r="B1511" t="s">
        <v>30</v>
      </c>
      <c r="C1511">
        <v>113</v>
      </c>
      <c r="D1511">
        <v>3104</v>
      </c>
      <c r="E1511" s="2">
        <v>230.92</v>
      </c>
      <c r="F1511">
        <v>28</v>
      </c>
      <c r="G1511">
        <v>9</v>
      </c>
      <c r="H1511">
        <v>0.08</v>
      </c>
      <c r="I1511" s="3">
        <v>1422</v>
      </c>
      <c r="J1511" s="1" t="s">
        <v>115</v>
      </c>
      <c r="K1511" t="s">
        <v>31</v>
      </c>
      <c r="L1511" t="s">
        <v>9</v>
      </c>
      <c r="M1511" t="s">
        <v>35</v>
      </c>
      <c r="N1511" s="1">
        <f t="shared" si="138"/>
        <v>45623</v>
      </c>
      <c r="O1511" s="4">
        <f t="shared" si="139"/>
        <v>3.6404639175257734E-2</v>
      </c>
      <c r="P1511">
        <f t="shared" si="140"/>
        <v>2.0435398230088495</v>
      </c>
      <c r="Q1511" s="2">
        <f t="shared" si="141"/>
        <v>8.2471428571428564</v>
      </c>
      <c r="R1511" s="2">
        <f t="shared" si="142"/>
        <v>25.657777777777778</v>
      </c>
      <c r="S1511" s="2">
        <f t="shared" si="143"/>
        <v>6.1579767884981811</v>
      </c>
    </row>
    <row r="1512" spans="1:19" hidden="1">
      <c r="A1512" t="s">
        <v>1565</v>
      </c>
      <c r="B1512" t="s">
        <v>30</v>
      </c>
      <c r="C1512">
        <v>145</v>
      </c>
      <c r="D1512">
        <v>4882</v>
      </c>
      <c r="E1512" s="2">
        <v>217.25</v>
      </c>
      <c r="F1512">
        <v>22</v>
      </c>
      <c r="G1512">
        <v>3</v>
      </c>
      <c r="H1512">
        <v>2.1000000000000001E-2</v>
      </c>
      <c r="I1512" s="3">
        <v>1814</v>
      </c>
      <c r="J1512" s="1">
        <v>45615</v>
      </c>
      <c r="K1512" t="s">
        <v>31</v>
      </c>
      <c r="L1512" t="s">
        <v>8</v>
      </c>
      <c r="M1512" t="s">
        <v>46</v>
      </c>
      <c r="N1512" s="1">
        <f t="shared" si="138"/>
        <v>45615</v>
      </c>
      <c r="O1512" s="4">
        <f t="shared" si="139"/>
        <v>2.9700942236788201E-2</v>
      </c>
      <c r="P1512">
        <f t="shared" si="140"/>
        <v>1.4982758620689656</v>
      </c>
      <c r="Q1512" s="2">
        <f t="shared" si="141"/>
        <v>9.875</v>
      </c>
      <c r="R1512" s="2">
        <f t="shared" si="142"/>
        <v>72.416666666666671</v>
      </c>
      <c r="S1512" s="2">
        <f t="shared" si="143"/>
        <v>8.3498273878020708</v>
      </c>
    </row>
    <row r="1513" spans="1:19" hidden="1">
      <c r="A1513" t="s">
        <v>1566</v>
      </c>
      <c r="B1513" t="s">
        <v>30</v>
      </c>
      <c r="C1513">
        <v>83</v>
      </c>
      <c r="D1513">
        <v>3212</v>
      </c>
      <c r="E1513" s="2">
        <v>243.86</v>
      </c>
      <c r="F1513">
        <v>25</v>
      </c>
      <c r="G1513">
        <v>4</v>
      </c>
      <c r="H1513">
        <v>4.8000000000000001E-2</v>
      </c>
      <c r="I1513" s="3">
        <v>1612</v>
      </c>
      <c r="J1513" s="1">
        <v>45615</v>
      </c>
      <c r="K1513" t="s">
        <v>31</v>
      </c>
      <c r="L1513" t="s">
        <v>8</v>
      </c>
      <c r="M1513" t="s">
        <v>35</v>
      </c>
      <c r="N1513" s="1">
        <f t="shared" si="138"/>
        <v>45615</v>
      </c>
      <c r="O1513" s="4">
        <f t="shared" si="139"/>
        <v>2.5840597758405977E-2</v>
      </c>
      <c r="P1513">
        <f t="shared" si="140"/>
        <v>2.9380722891566267</v>
      </c>
      <c r="Q1513" s="2">
        <f t="shared" si="141"/>
        <v>9.7544000000000004</v>
      </c>
      <c r="R1513" s="2">
        <f t="shared" si="142"/>
        <v>60.965000000000003</v>
      </c>
      <c r="S1513" s="2">
        <f t="shared" si="143"/>
        <v>6.6103502009349624</v>
      </c>
    </row>
    <row r="1514" spans="1:19" hidden="1">
      <c r="A1514" t="s">
        <v>1567</v>
      </c>
      <c r="B1514" t="s">
        <v>30</v>
      </c>
      <c r="C1514">
        <v>90</v>
      </c>
      <c r="D1514">
        <v>4973</v>
      </c>
      <c r="E1514" s="2">
        <v>181.04</v>
      </c>
      <c r="F1514">
        <v>23</v>
      </c>
      <c r="G1514">
        <v>5</v>
      </c>
      <c r="H1514">
        <v>5.6000000000000001E-2</v>
      </c>
      <c r="I1514" s="3">
        <v>1039</v>
      </c>
      <c r="J1514" s="1">
        <v>45362</v>
      </c>
      <c r="K1514" t="s">
        <v>31</v>
      </c>
      <c r="L1514" t="s">
        <v>7</v>
      </c>
      <c r="M1514" t="s">
        <v>41</v>
      </c>
      <c r="N1514" s="1">
        <f t="shared" si="138"/>
        <v>45362</v>
      </c>
      <c r="O1514" s="4">
        <f t="shared" si="139"/>
        <v>1.8097727729740599E-2</v>
      </c>
      <c r="P1514">
        <f t="shared" si="140"/>
        <v>2.0115555555555553</v>
      </c>
      <c r="Q1514" s="2">
        <f t="shared" si="141"/>
        <v>7.8713043478260865</v>
      </c>
      <c r="R1514" s="2">
        <f t="shared" si="142"/>
        <v>36.207999999999998</v>
      </c>
      <c r="S1514" s="2">
        <f t="shared" si="143"/>
        <v>5.7390631904551483</v>
      </c>
    </row>
    <row r="1515" spans="1:19" hidden="1">
      <c r="A1515" t="s">
        <v>1568</v>
      </c>
      <c r="B1515" t="s">
        <v>30</v>
      </c>
      <c r="C1515">
        <v>140</v>
      </c>
      <c r="D1515">
        <v>5227</v>
      </c>
      <c r="E1515" s="2">
        <v>222.57</v>
      </c>
      <c r="F1515">
        <v>27</v>
      </c>
      <c r="G1515">
        <v>3</v>
      </c>
      <c r="H1515">
        <v>2.1000000000000001E-2</v>
      </c>
      <c r="I1515" s="3">
        <v>1527</v>
      </c>
      <c r="J1515" s="1">
        <v>45614</v>
      </c>
      <c r="K1515" t="s">
        <v>31</v>
      </c>
      <c r="L1515" t="s">
        <v>7</v>
      </c>
      <c r="M1515" t="s">
        <v>32</v>
      </c>
      <c r="N1515" s="1">
        <f t="shared" si="138"/>
        <v>45614</v>
      </c>
      <c r="O1515" s="4">
        <f t="shared" si="139"/>
        <v>2.6784006122058543E-2</v>
      </c>
      <c r="P1515">
        <f t="shared" si="140"/>
        <v>1.5897857142857141</v>
      </c>
      <c r="Q1515" s="2">
        <f t="shared" si="141"/>
        <v>8.2433333333333323</v>
      </c>
      <c r="R1515" s="2">
        <f t="shared" si="142"/>
        <v>74.19</v>
      </c>
      <c r="S1515" s="2">
        <f t="shared" si="143"/>
        <v>6.8607629060520292</v>
      </c>
    </row>
    <row r="1516" spans="1:19" hidden="1">
      <c r="A1516" t="s">
        <v>1569</v>
      </c>
      <c r="B1516" t="s">
        <v>30</v>
      </c>
      <c r="C1516">
        <v>111</v>
      </c>
      <c r="D1516">
        <v>5434</v>
      </c>
      <c r="E1516" s="2">
        <v>181.05</v>
      </c>
      <c r="F1516">
        <v>10</v>
      </c>
      <c r="G1516">
        <v>5</v>
      </c>
      <c r="H1516">
        <v>4.4999999999999998E-2</v>
      </c>
      <c r="I1516" s="3">
        <v>1627</v>
      </c>
      <c r="J1516" s="1" t="s">
        <v>111</v>
      </c>
      <c r="K1516" t="s">
        <v>31</v>
      </c>
      <c r="L1516" t="s">
        <v>8</v>
      </c>
      <c r="M1516" t="s">
        <v>39</v>
      </c>
      <c r="N1516" s="1">
        <f t="shared" si="138"/>
        <v>45619</v>
      </c>
      <c r="O1516" s="4">
        <f t="shared" si="139"/>
        <v>2.0426941479573059E-2</v>
      </c>
      <c r="P1516">
        <f t="shared" si="140"/>
        <v>1.6310810810810812</v>
      </c>
      <c r="Q1516" s="2">
        <f t="shared" si="141"/>
        <v>18.105</v>
      </c>
      <c r="R1516" s="2">
        <f t="shared" si="142"/>
        <v>36.21</v>
      </c>
      <c r="S1516" s="2">
        <f t="shared" si="143"/>
        <v>8.986467826567246</v>
      </c>
    </row>
    <row r="1517" spans="1:19" hidden="1">
      <c r="A1517" t="s">
        <v>1570</v>
      </c>
      <c r="B1517" t="s">
        <v>30</v>
      </c>
      <c r="C1517">
        <v>105</v>
      </c>
      <c r="D1517">
        <v>3300</v>
      </c>
      <c r="E1517" s="2">
        <v>180.25</v>
      </c>
      <c r="F1517">
        <v>22</v>
      </c>
      <c r="G1517">
        <v>10</v>
      </c>
      <c r="H1517">
        <v>9.5000000000000001E-2</v>
      </c>
      <c r="I1517" s="3">
        <v>1640</v>
      </c>
      <c r="J1517" s="1">
        <v>45617</v>
      </c>
      <c r="K1517" t="s">
        <v>31</v>
      </c>
      <c r="L1517" t="s">
        <v>8</v>
      </c>
      <c r="M1517" t="s">
        <v>41</v>
      </c>
      <c r="N1517" s="1">
        <f t="shared" si="138"/>
        <v>45617</v>
      </c>
      <c r="O1517" s="4">
        <f t="shared" si="139"/>
        <v>3.1818181818181815E-2</v>
      </c>
      <c r="P1517">
        <f t="shared" si="140"/>
        <v>1.7166666666666666</v>
      </c>
      <c r="Q1517" s="2">
        <f t="shared" si="141"/>
        <v>8.1931818181818183</v>
      </c>
      <c r="R1517" s="2">
        <f t="shared" si="142"/>
        <v>18.024999999999999</v>
      </c>
      <c r="S1517" s="2">
        <f t="shared" si="143"/>
        <v>9.0984743411927873</v>
      </c>
    </row>
    <row r="1518" spans="1:19" hidden="1">
      <c r="A1518" t="s">
        <v>1571</v>
      </c>
      <c r="B1518" t="s">
        <v>30</v>
      </c>
      <c r="C1518">
        <v>181</v>
      </c>
      <c r="D1518">
        <v>4857</v>
      </c>
      <c r="E1518" s="2">
        <v>215.59</v>
      </c>
      <c r="F1518">
        <v>13</v>
      </c>
      <c r="G1518">
        <v>8</v>
      </c>
      <c r="H1518">
        <v>4.3999999999999997E-2</v>
      </c>
      <c r="I1518" s="3">
        <v>1883</v>
      </c>
      <c r="J1518" s="1">
        <v>45619</v>
      </c>
      <c r="K1518" t="s">
        <v>31</v>
      </c>
      <c r="L1518" t="s">
        <v>7</v>
      </c>
      <c r="M1518" t="s">
        <v>32</v>
      </c>
      <c r="N1518" s="1">
        <f t="shared" si="138"/>
        <v>45619</v>
      </c>
      <c r="O1518" s="4">
        <f t="shared" si="139"/>
        <v>3.7265801935351041E-2</v>
      </c>
      <c r="P1518">
        <f t="shared" si="140"/>
        <v>1.1911049723756906</v>
      </c>
      <c r="Q1518" s="2">
        <f t="shared" si="141"/>
        <v>16.583846153846153</v>
      </c>
      <c r="R1518" s="2">
        <f t="shared" si="142"/>
        <v>26.94875</v>
      </c>
      <c r="S1518" s="2">
        <f t="shared" si="143"/>
        <v>8.7341713437543476</v>
      </c>
    </row>
    <row r="1519" spans="1:19" hidden="1">
      <c r="A1519" t="s">
        <v>1572</v>
      </c>
      <c r="B1519" t="s">
        <v>30</v>
      </c>
      <c r="C1519">
        <v>189</v>
      </c>
      <c r="D1519">
        <v>4019</v>
      </c>
      <c r="E1519" s="2">
        <v>248.09</v>
      </c>
      <c r="F1519">
        <v>16</v>
      </c>
      <c r="G1519">
        <v>6</v>
      </c>
      <c r="H1519">
        <v>4.4999999999999998E-2</v>
      </c>
      <c r="I1519" s="3">
        <v>1378</v>
      </c>
      <c r="J1519" s="1">
        <v>45626</v>
      </c>
      <c r="K1519" t="s">
        <v>31</v>
      </c>
      <c r="L1519" t="s">
        <v>9</v>
      </c>
      <c r="M1519" t="s">
        <v>41</v>
      </c>
      <c r="N1519" s="1">
        <f t="shared" si="138"/>
        <v>45626</v>
      </c>
      <c r="O1519" s="4">
        <f t="shared" si="139"/>
        <v>4.7026623538193583E-2</v>
      </c>
      <c r="P1519">
        <f t="shared" si="140"/>
        <v>1.3126455026455026</v>
      </c>
      <c r="Q1519" s="2">
        <f t="shared" si="141"/>
        <v>15.505625</v>
      </c>
      <c r="R1519" s="2">
        <f t="shared" si="142"/>
        <v>41.348333333333336</v>
      </c>
      <c r="S1519" s="2">
        <f t="shared" si="143"/>
        <v>5.5544358902011366</v>
      </c>
    </row>
    <row r="1520" spans="1:19" hidden="1">
      <c r="A1520" t="s">
        <v>1573</v>
      </c>
      <c r="B1520" t="s">
        <v>30</v>
      </c>
      <c r="C1520">
        <v>138</v>
      </c>
      <c r="D1520">
        <v>5495</v>
      </c>
      <c r="E1520" s="2">
        <v>220.69</v>
      </c>
      <c r="F1520">
        <v>19</v>
      </c>
      <c r="G1520">
        <v>5</v>
      </c>
      <c r="H1520">
        <v>3.5999999999999997E-2</v>
      </c>
      <c r="I1520" s="3">
        <v>1624</v>
      </c>
      <c r="J1520" s="1">
        <v>45393</v>
      </c>
      <c r="K1520" t="s">
        <v>31</v>
      </c>
      <c r="L1520" t="s">
        <v>9</v>
      </c>
      <c r="M1520" t="s">
        <v>41</v>
      </c>
      <c r="N1520" s="1">
        <f t="shared" si="138"/>
        <v>45393</v>
      </c>
      <c r="O1520" s="4">
        <f t="shared" si="139"/>
        <v>2.5113739763421291E-2</v>
      </c>
      <c r="P1520">
        <f t="shared" si="140"/>
        <v>1.5992028985507247</v>
      </c>
      <c r="Q1520" s="2">
        <f t="shared" si="141"/>
        <v>11.615263157894736</v>
      </c>
      <c r="R1520" s="2">
        <f t="shared" si="142"/>
        <v>44.137999999999998</v>
      </c>
      <c r="S1520" s="2">
        <f t="shared" si="143"/>
        <v>7.3587385019710911</v>
      </c>
    </row>
    <row r="1521" spans="1:19" hidden="1">
      <c r="A1521" t="s">
        <v>1574</v>
      </c>
      <c r="B1521" t="s">
        <v>30</v>
      </c>
      <c r="C1521">
        <v>178</v>
      </c>
      <c r="D1521">
        <v>5218</v>
      </c>
      <c r="E1521" s="2">
        <v>208.92</v>
      </c>
      <c r="F1521">
        <v>20</v>
      </c>
      <c r="G1521">
        <v>7</v>
      </c>
      <c r="H1521">
        <v>3.9E-2</v>
      </c>
      <c r="I1521" s="3">
        <v>1714</v>
      </c>
      <c r="J1521" s="1" t="s">
        <v>206</v>
      </c>
      <c r="K1521" t="s">
        <v>31</v>
      </c>
      <c r="L1521" t="s">
        <v>8</v>
      </c>
      <c r="M1521" t="s">
        <v>46</v>
      </c>
      <c r="N1521" s="1">
        <f t="shared" si="138"/>
        <v>45621</v>
      </c>
      <c r="O1521" s="4">
        <f t="shared" si="139"/>
        <v>3.4112686853200458E-2</v>
      </c>
      <c r="P1521">
        <f t="shared" si="140"/>
        <v>1.1737078651685393</v>
      </c>
      <c r="Q1521" s="2">
        <f t="shared" si="141"/>
        <v>10.446</v>
      </c>
      <c r="R1521" s="2">
        <f t="shared" si="142"/>
        <v>29.845714285714283</v>
      </c>
      <c r="S1521" s="2">
        <f t="shared" si="143"/>
        <v>8.2040972621098991</v>
      </c>
    </row>
    <row r="1522" spans="1:19" hidden="1">
      <c r="A1522" t="s">
        <v>1575</v>
      </c>
      <c r="B1522" t="s">
        <v>30</v>
      </c>
      <c r="C1522">
        <v>155</v>
      </c>
      <c r="D1522">
        <v>5996</v>
      </c>
      <c r="E1522" s="2">
        <v>247.54</v>
      </c>
      <c r="F1522">
        <v>15</v>
      </c>
      <c r="G1522">
        <v>5</v>
      </c>
      <c r="H1522">
        <v>3.2000000000000001E-2</v>
      </c>
      <c r="I1522" s="3">
        <v>1883</v>
      </c>
      <c r="J1522" s="1">
        <v>45623</v>
      </c>
      <c r="K1522" t="s">
        <v>31</v>
      </c>
      <c r="L1522" t="s">
        <v>8</v>
      </c>
      <c r="M1522" t="s">
        <v>46</v>
      </c>
      <c r="N1522" s="1">
        <f t="shared" si="138"/>
        <v>45623</v>
      </c>
      <c r="O1522" s="4">
        <f t="shared" si="139"/>
        <v>2.5850567044696463E-2</v>
      </c>
      <c r="P1522">
        <f t="shared" si="140"/>
        <v>1.597032258064516</v>
      </c>
      <c r="Q1522" s="2">
        <f t="shared" si="141"/>
        <v>16.502666666666666</v>
      </c>
      <c r="R1522" s="2">
        <f t="shared" si="142"/>
        <v>49.507999999999996</v>
      </c>
      <c r="S1522" s="2">
        <f t="shared" si="143"/>
        <v>7.6068514179526545</v>
      </c>
    </row>
    <row r="1523" spans="1:19" hidden="1">
      <c r="A1523" t="s">
        <v>1576</v>
      </c>
      <c r="B1523" t="s">
        <v>30</v>
      </c>
      <c r="C1523">
        <v>168</v>
      </c>
      <c r="D1523">
        <v>4932</v>
      </c>
      <c r="E1523" s="2">
        <v>198.95</v>
      </c>
      <c r="F1523">
        <v>16</v>
      </c>
      <c r="G1523">
        <v>7</v>
      </c>
      <c r="H1523">
        <v>5.1999999999999998E-2</v>
      </c>
      <c r="I1523" s="3">
        <v>1301</v>
      </c>
      <c r="J1523" s="1" t="s">
        <v>348</v>
      </c>
      <c r="K1523" t="s">
        <v>31</v>
      </c>
      <c r="L1523" t="s">
        <v>7</v>
      </c>
      <c r="M1523" t="s">
        <v>39</v>
      </c>
      <c r="N1523" s="1">
        <f t="shared" si="138"/>
        <v>45615</v>
      </c>
      <c r="O1523" s="4">
        <f t="shared" si="139"/>
        <v>3.4063260340632603E-2</v>
      </c>
      <c r="P1523">
        <f t="shared" si="140"/>
        <v>1.1842261904761904</v>
      </c>
      <c r="Q1523" s="2">
        <f t="shared" si="141"/>
        <v>12.434374999999999</v>
      </c>
      <c r="R1523" s="2">
        <f t="shared" si="142"/>
        <v>28.421428571428571</v>
      </c>
      <c r="S1523" s="2">
        <f t="shared" si="143"/>
        <v>6.5393314903242024</v>
      </c>
    </row>
    <row r="1524" spans="1:19" hidden="1">
      <c r="A1524" t="s">
        <v>1577</v>
      </c>
      <c r="B1524" t="s">
        <v>30</v>
      </c>
      <c r="C1524">
        <v>152</v>
      </c>
      <c r="D1524">
        <v>4498</v>
      </c>
      <c r="E1524" s="2">
        <v>233.81</v>
      </c>
      <c r="F1524">
        <v>30</v>
      </c>
      <c r="G1524">
        <v>6</v>
      </c>
      <c r="H1524">
        <v>3.9E-2</v>
      </c>
      <c r="I1524" s="3">
        <v>1090</v>
      </c>
      <c r="J1524" s="1" t="s">
        <v>206</v>
      </c>
      <c r="K1524" t="s">
        <v>31</v>
      </c>
      <c r="L1524" t="s">
        <v>7</v>
      </c>
      <c r="M1524" t="s">
        <v>37</v>
      </c>
      <c r="N1524" s="1">
        <f t="shared" si="138"/>
        <v>45621</v>
      </c>
      <c r="O1524" s="4">
        <f t="shared" si="139"/>
        <v>3.3792796798577149E-2</v>
      </c>
      <c r="P1524">
        <f t="shared" si="140"/>
        <v>1.5382236842105264</v>
      </c>
      <c r="Q1524" s="2">
        <f t="shared" si="141"/>
        <v>7.7936666666666667</v>
      </c>
      <c r="R1524" s="2">
        <f t="shared" si="142"/>
        <v>38.968333333333334</v>
      </c>
      <c r="S1524" s="2">
        <f t="shared" si="143"/>
        <v>4.6619049655703346</v>
      </c>
    </row>
    <row r="1525" spans="1:19">
      <c r="A1525" t="s">
        <v>1578</v>
      </c>
      <c r="B1525" t="s">
        <v>30</v>
      </c>
      <c r="C1525">
        <v>111</v>
      </c>
      <c r="D1525">
        <v>4164</v>
      </c>
      <c r="E1525" s="2">
        <v>191.04</v>
      </c>
      <c r="F1525">
        <v>18</v>
      </c>
      <c r="G1525">
        <v>9</v>
      </c>
      <c r="H1525">
        <v>4.5999999999999999E-2</v>
      </c>
      <c r="I1525" s="3">
        <v>1687</v>
      </c>
      <c r="J1525" s="1">
        <v>45617</v>
      </c>
      <c r="K1525" t="s">
        <v>31</v>
      </c>
      <c r="L1525" t="s">
        <v>9</v>
      </c>
      <c r="M1525" t="s">
        <v>39</v>
      </c>
      <c r="N1525" s="1">
        <f t="shared" si="138"/>
        <v>45617</v>
      </c>
      <c r="O1525" s="4">
        <f t="shared" si="139"/>
        <v>2.6657060518731988E-2</v>
      </c>
      <c r="P1525">
        <f t="shared" si="140"/>
        <v>1.721081081081081</v>
      </c>
      <c r="Q1525" s="2">
        <f t="shared" si="141"/>
        <v>10.613333333333333</v>
      </c>
      <c r="R1525" s="2">
        <f t="shared" si="142"/>
        <v>21.226666666666667</v>
      </c>
      <c r="S1525" s="2">
        <f t="shared" si="143"/>
        <v>8.8306113902847567</v>
      </c>
    </row>
    <row r="1526" spans="1:19" hidden="1">
      <c r="A1526" t="s">
        <v>1579</v>
      </c>
      <c r="B1526" t="s">
        <v>30</v>
      </c>
      <c r="C1526">
        <v>141</v>
      </c>
      <c r="D1526">
        <v>4329</v>
      </c>
      <c r="E1526" s="2">
        <v>230.44</v>
      </c>
      <c r="F1526">
        <v>14</v>
      </c>
      <c r="G1526">
        <v>6</v>
      </c>
      <c r="H1526">
        <v>4.2999999999999997E-2</v>
      </c>
      <c r="I1526" s="3">
        <v>1610</v>
      </c>
      <c r="J1526" s="1">
        <v>45484</v>
      </c>
      <c r="K1526" t="s">
        <v>31</v>
      </c>
      <c r="L1526" t="s">
        <v>8</v>
      </c>
      <c r="M1526" t="s">
        <v>32</v>
      </c>
      <c r="N1526" s="1">
        <f t="shared" si="138"/>
        <v>45484</v>
      </c>
      <c r="O1526" s="4">
        <f t="shared" si="139"/>
        <v>3.2571032571032568E-2</v>
      </c>
      <c r="P1526">
        <f t="shared" si="140"/>
        <v>1.6343262411347517</v>
      </c>
      <c r="Q1526" s="2">
        <f t="shared" si="141"/>
        <v>16.46</v>
      </c>
      <c r="R1526" s="2">
        <f t="shared" si="142"/>
        <v>38.406666666666666</v>
      </c>
      <c r="S1526" s="2">
        <f t="shared" si="143"/>
        <v>6.986634264884569</v>
      </c>
    </row>
    <row r="1527" spans="1:19">
      <c r="A1527" t="s">
        <v>1580</v>
      </c>
      <c r="B1527" t="s">
        <v>30</v>
      </c>
      <c r="C1527">
        <v>97</v>
      </c>
      <c r="D1527">
        <v>5764</v>
      </c>
      <c r="E1527" s="2">
        <v>246.15</v>
      </c>
      <c r="F1527">
        <v>30</v>
      </c>
      <c r="G1527">
        <v>7</v>
      </c>
      <c r="H1527">
        <v>4.5999999999999999E-2</v>
      </c>
      <c r="I1527" s="3">
        <v>1345</v>
      </c>
      <c r="J1527" s="1" t="s">
        <v>105</v>
      </c>
      <c r="K1527" t="s">
        <v>31</v>
      </c>
      <c r="L1527" t="s">
        <v>8</v>
      </c>
      <c r="M1527" t="s">
        <v>46</v>
      </c>
      <c r="N1527" s="1">
        <f t="shared" si="138"/>
        <v>45614</v>
      </c>
      <c r="O1527" s="4">
        <f t="shared" si="139"/>
        <v>1.6828591256072171E-2</v>
      </c>
      <c r="P1527">
        <f t="shared" si="140"/>
        <v>2.5376288659793813</v>
      </c>
      <c r="Q1527" s="2">
        <f t="shared" si="141"/>
        <v>8.2050000000000001</v>
      </c>
      <c r="R1527" s="2">
        <f t="shared" si="142"/>
        <v>35.164285714285718</v>
      </c>
      <c r="S1527" s="2">
        <f t="shared" si="143"/>
        <v>5.4641478773105829</v>
      </c>
    </row>
    <row r="1528" spans="1:19" hidden="1">
      <c r="A1528" t="s">
        <v>1581</v>
      </c>
      <c r="B1528" t="s">
        <v>30</v>
      </c>
      <c r="C1528">
        <v>82</v>
      </c>
      <c r="D1528">
        <v>5430</v>
      </c>
      <c r="E1528" s="2">
        <v>205.46</v>
      </c>
      <c r="F1528">
        <v>18</v>
      </c>
      <c r="G1528">
        <v>5</v>
      </c>
      <c r="H1528">
        <v>6.0999999999999999E-2</v>
      </c>
      <c r="I1528" s="3">
        <v>1435</v>
      </c>
      <c r="J1528" s="1">
        <v>45626</v>
      </c>
      <c r="K1528" t="s">
        <v>31</v>
      </c>
      <c r="L1528" t="s">
        <v>8</v>
      </c>
      <c r="M1528" t="s">
        <v>41</v>
      </c>
      <c r="N1528" s="1">
        <f t="shared" si="138"/>
        <v>45626</v>
      </c>
      <c r="O1528" s="4">
        <f t="shared" si="139"/>
        <v>1.5101289134438306E-2</v>
      </c>
      <c r="P1528">
        <f t="shared" si="140"/>
        <v>2.5056097560975612</v>
      </c>
      <c r="Q1528" s="2">
        <f t="shared" si="141"/>
        <v>11.414444444444445</v>
      </c>
      <c r="R1528" s="2">
        <f t="shared" si="142"/>
        <v>41.091999999999999</v>
      </c>
      <c r="S1528" s="2">
        <f t="shared" si="143"/>
        <v>6.9843278497031047</v>
      </c>
    </row>
    <row r="1529" spans="1:19" hidden="1">
      <c r="A1529" t="s">
        <v>1582</v>
      </c>
      <c r="B1529" t="s">
        <v>30</v>
      </c>
      <c r="C1529">
        <v>164</v>
      </c>
      <c r="D1529">
        <v>5179</v>
      </c>
      <c r="E1529" s="2">
        <v>206.72</v>
      </c>
      <c r="F1529">
        <v>18</v>
      </c>
      <c r="G1529">
        <v>9</v>
      </c>
      <c r="H1529">
        <v>5.5E-2</v>
      </c>
      <c r="I1529" s="3">
        <v>1213</v>
      </c>
      <c r="J1529" s="1">
        <v>45623</v>
      </c>
      <c r="K1529" t="s">
        <v>31</v>
      </c>
      <c r="L1529" t="s">
        <v>9</v>
      </c>
      <c r="M1529" t="s">
        <v>35</v>
      </c>
      <c r="N1529" s="1">
        <f t="shared" si="138"/>
        <v>45623</v>
      </c>
      <c r="O1529" s="4">
        <f t="shared" si="139"/>
        <v>3.1666344854218959E-2</v>
      </c>
      <c r="P1529">
        <f t="shared" si="140"/>
        <v>1.2604878048780488</v>
      </c>
      <c r="Q1529" s="2">
        <f t="shared" si="141"/>
        <v>11.484444444444444</v>
      </c>
      <c r="R1529" s="2">
        <f t="shared" si="142"/>
        <v>22.968888888888888</v>
      </c>
      <c r="S1529" s="2">
        <f t="shared" si="143"/>
        <v>5.8678405572755414</v>
      </c>
    </row>
    <row r="1530" spans="1:19" hidden="1">
      <c r="A1530" t="s">
        <v>1583</v>
      </c>
      <c r="B1530" t="s">
        <v>30</v>
      </c>
      <c r="C1530">
        <v>109</v>
      </c>
      <c r="D1530">
        <v>5707</v>
      </c>
      <c r="E1530" s="2">
        <v>246.86</v>
      </c>
      <c r="F1530">
        <v>22</v>
      </c>
      <c r="G1530">
        <v>4</v>
      </c>
      <c r="H1530">
        <v>3.4000000000000002E-2</v>
      </c>
      <c r="I1530" s="3">
        <v>1980</v>
      </c>
      <c r="J1530" s="1" t="s">
        <v>348</v>
      </c>
      <c r="K1530" t="s">
        <v>31</v>
      </c>
      <c r="L1530" t="s">
        <v>9</v>
      </c>
      <c r="M1530" t="s">
        <v>37</v>
      </c>
      <c r="N1530" s="1">
        <f t="shared" si="138"/>
        <v>45615</v>
      </c>
      <c r="O1530" s="4">
        <f t="shared" si="139"/>
        <v>1.9099351673383565E-2</v>
      </c>
      <c r="P1530">
        <f t="shared" si="140"/>
        <v>2.2647706422018348</v>
      </c>
      <c r="Q1530" s="2">
        <f t="shared" si="141"/>
        <v>11.220909090909091</v>
      </c>
      <c r="R1530" s="2">
        <f t="shared" si="142"/>
        <v>61.715000000000003</v>
      </c>
      <c r="S1530" s="2">
        <f t="shared" si="143"/>
        <v>8.0207405006886496</v>
      </c>
    </row>
    <row r="1531" spans="1:19">
      <c r="A1531" t="s">
        <v>1584</v>
      </c>
      <c r="B1531" t="s">
        <v>30</v>
      </c>
      <c r="C1531">
        <v>126</v>
      </c>
      <c r="D1531">
        <v>3263</v>
      </c>
      <c r="E1531" s="2">
        <v>237.54</v>
      </c>
      <c r="F1531">
        <v>20</v>
      </c>
      <c r="G1531">
        <v>9</v>
      </c>
      <c r="H1531">
        <v>4.5999999999999999E-2</v>
      </c>
      <c r="I1531" s="3">
        <v>1364</v>
      </c>
      <c r="J1531" s="1">
        <v>45613</v>
      </c>
      <c r="K1531" t="s">
        <v>31</v>
      </c>
      <c r="L1531" t="s">
        <v>8</v>
      </c>
      <c r="M1531" t="s">
        <v>37</v>
      </c>
      <c r="N1531" s="1">
        <f t="shared" si="138"/>
        <v>45613</v>
      </c>
      <c r="O1531" s="4">
        <f t="shared" si="139"/>
        <v>3.8614771682500763E-2</v>
      </c>
      <c r="P1531">
        <f t="shared" si="140"/>
        <v>1.8852380952380952</v>
      </c>
      <c r="Q1531" s="2">
        <f t="shared" si="141"/>
        <v>11.876999999999999</v>
      </c>
      <c r="R1531" s="2">
        <f t="shared" si="142"/>
        <v>26.393333333333331</v>
      </c>
      <c r="S1531" s="2">
        <f t="shared" si="143"/>
        <v>5.7421907889197614</v>
      </c>
    </row>
    <row r="1532" spans="1:19" hidden="1">
      <c r="A1532" t="s">
        <v>1585</v>
      </c>
      <c r="B1532" t="s">
        <v>30</v>
      </c>
      <c r="C1532">
        <v>175</v>
      </c>
      <c r="D1532">
        <v>5718</v>
      </c>
      <c r="E1532" s="2">
        <v>225.4</v>
      </c>
      <c r="F1532">
        <v>19</v>
      </c>
      <c r="G1532">
        <v>6</v>
      </c>
      <c r="H1532">
        <v>5.7000000000000002E-2</v>
      </c>
      <c r="I1532" s="3">
        <v>1001</v>
      </c>
      <c r="J1532" s="1">
        <v>45637</v>
      </c>
      <c r="K1532" t="s">
        <v>31</v>
      </c>
      <c r="L1532" t="s">
        <v>9</v>
      </c>
      <c r="M1532" t="s">
        <v>46</v>
      </c>
      <c r="N1532" s="1">
        <f t="shared" si="138"/>
        <v>45637</v>
      </c>
      <c r="O1532" s="4">
        <f t="shared" si="139"/>
        <v>3.0605106680657572E-2</v>
      </c>
      <c r="P1532">
        <f t="shared" si="140"/>
        <v>1.288</v>
      </c>
      <c r="Q1532" s="2">
        <f t="shared" si="141"/>
        <v>11.863157894736842</v>
      </c>
      <c r="R1532" s="2">
        <f t="shared" si="142"/>
        <v>37.56666666666667</v>
      </c>
      <c r="S1532" s="2">
        <f t="shared" si="143"/>
        <v>4.4409937888198758</v>
      </c>
    </row>
    <row r="1533" spans="1:19" hidden="1">
      <c r="A1533" t="s">
        <v>1586</v>
      </c>
      <c r="B1533" t="s">
        <v>30</v>
      </c>
      <c r="C1533">
        <v>96</v>
      </c>
      <c r="D1533">
        <v>5075</v>
      </c>
      <c r="E1533" s="2">
        <v>221.28</v>
      </c>
      <c r="F1533">
        <v>25</v>
      </c>
      <c r="G1533">
        <v>3</v>
      </c>
      <c r="H1533">
        <v>3.7999999999999999E-2</v>
      </c>
      <c r="I1533" s="3">
        <v>1937</v>
      </c>
      <c r="J1533" s="1" t="s">
        <v>111</v>
      </c>
      <c r="K1533" t="s">
        <v>31</v>
      </c>
      <c r="L1533" t="s">
        <v>7</v>
      </c>
      <c r="M1533" t="s">
        <v>32</v>
      </c>
      <c r="N1533" s="1">
        <f t="shared" si="138"/>
        <v>45619</v>
      </c>
      <c r="O1533" s="4">
        <f t="shared" si="139"/>
        <v>1.8916256157635467E-2</v>
      </c>
      <c r="P1533">
        <f t="shared" si="140"/>
        <v>2.3050000000000002</v>
      </c>
      <c r="Q1533" s="2">
        <f t="shared" si="141"/>
        <v>8.8512000000000004</v>
      </c>
      <c r="R1533" s="2">
        <f t="shared" si="142"/>
        <v>73.760000000000005</v>
      </c>
      <c r="S1533" s="2">
        <f t="shared" si="143"/>
        <v>8.7536153289949379</v>
      </c>
    </row>
    <row r="1534" spans="1:19" hidden="1">
      <c r="A1534" t="s">
        <v>1587</v>
      </c>
      <c r="B1534" t="s">
        <v>30</v>
      </c>
      <c r="C1534">
        <v>113</v>
      </c>
      <c r="D1534">
        <v>4473</v>
      </c>
      <c r="E1534" s="2">
        <v>202.3</v>
      </c>
      <c r="F1534">
        <v>17</v>
      </c>
      <c r="G1534">
        <v>5</v>
      </c>
      <c r="H1534">
        <v>4.3999999999999997E-2</v>
      </c>
      <c r="I1534" s="3">
        <v>1049</v>
      </c>
      <c r="J1534" s="1">
        <v>45604</v>
      </c>
      <c r="K1534" t="s">
        <v>31</v>
      </c>
      <c r="L1534" t="s">
        <v>9</v>
      </c>
      <c r="M1534" t="s">
        <v>41</v>
      </c>
      <c r="N1534" s="1">
        <f t="shared" si="138"/>
        <v>45604</v>
      </c>
      <c r="O1534" s="4">
        <f t="shared" si="139"/>
        <v>2.526268723451822E-2</v>
      </c>
      <c r="P1534">
        <f t="shared" si="140"/>
        <v>1.7902654867256638</v>
      </c>
      <c r="Q1534" s="2">
        <f t="shared" si="141"/>
        <v>11.9</v>
      </c>
      <c r="R1534" s="2">
        <f t="shared" si="142"/>
        <v>40.46</v>
      </c>
      <c r="S1534" s="2">
        <f t="shared" si="143"/>
        <v>5.1853682649530395</v>
      </c>
    </row>
    <row r="1535" spans="1:19">
      <c r="A1535" t="s">
        <v>1588</v>
      </c>
      <c r="B1535" t="s">
        <v>30</v>
      </c>
      <c r="C1535">
        <v>96</v>
      </c>
      <c r="D1535">
        <v>3979</v>
      </c>
      <c r="E1535" s="2">
        <v>232.44</v>
      </c>
      <c r="F1535">
        <v>27</v>
      </c>
      <c r="G1535">
        <v>7</v>
      </c>
      <c r="H1535">
        <v>4.5999999999999999E-2</v>
      </c>
      <c r="I1535" s="3">
        <v>1140</v>
      </c>
      <c r="J1535" s="1" t="s">
        <v>64</v>
      </c>
      <c r="K1535" t="s">
        <v>31</v>
      </c>
      <c r="L1535" t="s">
        <v>8</v>
      </c>
      <c r="M1535" t="s">
        <v>32</v>
      </c>
      <c r="N1535" s="1">
        <f t="shared" si="138"/>
        <v>45626</v>
      </c>
      <c r="O1535" s="4">
        <f t="shared" si="139"/>
        <v>2.4126664991203819E-2</v>
      </c>
      <c r="P1535">
        <f t="shared" si="140"/>
        <v>2.4212500000000001</v>
      </c>
      <c r="Q1535" s="2">
        <f t="shared" si="141"/>
        <v>8.6088888888888881</v>
      </c>
      <c r="R1535" s="2">
        <f t="shared" si="142"/>
        <v>33.205714285714286</v>
      </c>
      <c r="S1535" s="2">
        <f t="shared" si="143"/>
        <v>4.9044914816726894</v>
      </c>
    </row>
    <row r="1536" spans="1:19" hidden="1">
      <c r="A1536" t="s">
        <v>1589</v>
      </c>
      <c r="B1536" t="s">
        <v>30</v>
      </c>
      <c r="C1536">
        <v>162</v>
      </c>
      <c r="D1536">
        <v>5688</v>
      </c>
      <c r="E1536" s="2">
        <v>190.31</v>
      </c>
      <c r="F1536">
        <v>17</v>
      </c>
      <c r="G1536">
        <v>5</v>
      </c>
      <c r="H1536">
        <v>3.1E-2</v>
      </c>
      <c r="I1536" s="3">
        <v>1556</v>
      </c>
      <c r="J1536" s="1" t="s">
        <v>206</v>
      </c>
      <c r="K1536" t="s">
        <v>31</v>
      </c>
      <c r="L1536" t="s">
        <v>9</v>
      </c>
      <c r="M1536" t="s">
        <v>35</v>
      </c>
      <c r="N1536" s="1">
        <f t="shared" si="138"/>
        <v>45621</v>
      </c>
      <c r="O1536" s="4">
        <f t="shared" si="139"/>
        <v>2.8481012658227847E-2</v>
      </c>
      <c r="P1536">
        <f t="shared" si="140"/>
        <v>1.1747530864197531</v>
      </c>
      <c r="Q1536" s="2">
        <f t="shared" si="141"/>
        <v>11.194705882352942</v>
      </c>
      <c r="R1536" s="2">
        <f t="shared" si="142"/>
        <v>38.061999999999998</v>
      </c>
      <c r="S1536" s="2">
        <f t="shared" si="143"/>
        <v>8.1761336766328618</v>
      </c>
    </row>
    <row r="1537" spans="1:19">
      <c r="A1537" t="s">
        <v>1590</v>
      </c>
      <c r="B1537" t="s">
        <v>30</v>
      </c>
      <c r="C1537">
        <v>125</v>
      </c>
      <c r="D1537">
        <v>3546</v>
      </c>
      <c r="E1537" s="2">
        <v>234.02</v>
      </c>
      <c r="F1537">
        <v>23</v>
      </c>
      <c r="G1537">
        <v>10</v>
      </c>
      <c r="H1537">
        <v>4.5999999999999999E-2</v>
      </c>
      <c r="I1537" s="3">
        <v>1072</v>
      </c>
      <c r="J1537" s="1">
        <v>45623</v>
      </c>
      <c r="K1537" t="s">
        <v>31</v>
      </c>
      <c r="L1537" t="s">
        <v>7</v>
      </c>
      <c r="M1537" t="s">
        <v>46</v>
      </c>
      <c r="N1537" s="1">
        <f t="shared" si="138"/>
        <v>45623</v>
      </c>
      <c r="O1537" s="4">
        <f t="shared" si="139"/>
        <v>3.5250987027636772E-2</v>
      </c>
      <c r="P1537">
        <f t="shared" si="140"/>
        <v>1.87216</v>
      </c>
      <c r="Q1537" s="2">
        <f t="shared" si="141"/>
        <v>10.174782608695653</v>
      </c>
      <c r="R1537" s="2">
        <f t="shared" si="142"/>
        <v>23.402000000000001</v>
      </c>
      <c r="S1537" s="2">
        <f t="shared" si="143"/>
        <v>4.5808050593966323</v>
      </c>
    </row>
    <row r="1538" spans="1:19" hidden="1">
      <c r="A1538" t="s">
        <v>1591</v>
      </c>
      <c r="B1538" t="s">
        <v>30</v>
      </c>
      <c r="C1538">
        <v>89</v>
      </c>
      <c r="D1538">
        <v>4188</v>
      </c>
      <c r="E1538" s="2">
        <v>206.71</v>
      </c>
      <c r="F1538">
        <v>16</v>
      </c>
      <c r="G1538">
        <v>4</v>
      </c>
      <c r="H1538">
        <v>4.4999999999999998E-2</v>
      </c>
      <c r="I1538" s="3">
        <v>1382</v>
      </c>
      <c r="J1538" s="1">
        <v>45597</v>
      </c>
      <c r="K1538" t="s">
        <v>31</v>
      </c>
      <c r="L1538" t="s">
        <v>9</v>
      </c>
      <c r="M1538" t="s">
        <v>41</v>
      </c>
      <c r="N1538" s="1">
        <f t="shared" ref="N1538:N1601" si="144">IF(A1538="","",IF(ISNUMBER(J1538),J1538,IF(MID(J1538,5,1)="-",DATE(LEFT(J1538,4),MID(J1538,6,2),RIGHT(J1538,2)),IF(MID(J1538,5,1)="/",DATE(LEFT(J1538,4),MID(J1538,6,2),RIGHT(J1538,2)),DATE(RIGHT(J1538,4),MID(J1538,4,2),LEFT(J1538,2))))))</f>
        <v>45597</v>
      </c>
      <c r="O1538" s="4">
        <f t="shared" ref="O1538:O1601" si="145">IFERROR(C1538/D1538,0)</f>
        <v>2.1251193887297039E-2</v>
      </c>
      <c r="P1538">
        <f t="shared" ref="P1538:P1601" si="146">IFERROR(E1538/C1538,0)</f>
        <v>2.3225842696629213</v>
      </c>
      <c r="Q1538" s="2">
        <f t="shared" ref="Q1538:Q1601" si="147">IFERROR(E1538/F1538,0)</f>
        <v>12.919375</v>
      </c>
      <c r="R1538" s="2">
        <f t="shared" ref="R1538:R1601" si="148">IFERROR(E1538/G1538,0)</f>
        <v>51.677500000000002</v>
      </c>
      <c r="S1538" s="2">
        <f t="shared" ref="S1538:S1601" si="149">IFERROR(I1538/E1538,0)</f>
        <v>6.6856949349329975</v>
      </c>
    </row>
    <row r="1539" spans="1:19" hidden="1">
      <c r="A1539" t="s">
        <v>1592</v>
      </c>
      <c r="B1539" t="s">
        <v>30</v>
      </c>
      <c r="C1539">
        <v>99</v>
      </c>
      <c r="D1539">
        <v>4134</v>
      </c>
      <c r="E1539" s="2">
        <v>234.04</v>
      </c>
      <c r="F1539">
        <v>18</v>
      </c>
      <c r="G1539">
        <v>3</v>
      </c>
      <c r="H1539">
        <v>0.03</v>
      </c>
      <c r="I1539" s="3">
        <v>1683</v>
      </c>
      <c r="J1539" s="1">
        <v>45626</v>
      </c>
      <c r="K1539" t="s">
        <v>31</v>
      </c>
      <c r="L1539" t="s">
        <v>7</v>
      </c>
      <c r="M1539" t="s">
        <v>32</v>
      </c>
      <c r="N1539" s="1">
        <f t="shared" si="144"/>
        <v>45626</v>
      </c>
      <c r="O1539" s="4">
        <f t="shared" si="145"/>
        <v>2.3947750362844702E-2</v>
      </c>
      <c r="P1539">
        <f t="shared" si="146"/>
        <v>2.3640404040404039</v>
      </c>
      <c r="Q1539" s="2">
        <f t="shared" si="147"/>
        <v>13.002222222222223</v>
      </c>
      <c r="R1539" s="2">
        <f t="shared" si="148"/>
        <v>78.013333333333335</v>
      </c>
      <c r="S1539" s="2">
        <f t="shared" si="149"/>
        <v>7.1910784481285255</v>
      </c>
    </row>
    <row r="1540" spans="1:19" hidden="1">
      <c r="A1540" t="s">
        <v>1593</v>
      </c>
      <c r="B1540" t="s">
        <v>30</v>
      </c>
      <c r="C1540">
        <v>91</v>
      </c>
      <c r="D1540">
        <v>4710</v>
      </c>
      <c r="E1540" s="2">
        <v>199.18</v>
      </c>
      <c r="F1540">
        <v>21</v>
      </c>
      <c r="G1540">
        <v>9</v>
      </c>
      <c r="H1540">
        <v>9.9000000000000005E-2</v>
      </c>
      <c r="I1540" s="3">
        <v>1431</v>
      </c>
      <c r="J1540" s="1">
        <v>45606</v>
      </c>
      <c r="K1540" t="s">
        <v>31</v>
      </c>
      <c r="L1540" t="s">
        <v>9</v>
      </c>
      <c r="M1540" t="s">
        <v>35</v>
      </c>
      <c r="N1540" s="1">
        <f t="shared" si="144"/>
        <v>45606</v>
      </c>
      <c r="O1540" s="4">
        <f t="shared" si="145"/>
        <v>1.9320594479830148E-2</v>
      </c>
      <c r="P1540">
        <f t="shared" si="146"/>
        <v>2.1887912087912089</v>
      </c>
      <c r="Q1540" s="2">
        <f t="shared" si="147"/>
        <v>9.4847619047619052</v>
      </c>
      <c r="R1540" s="2">
        <f t="shared" si="148"/>
        <v>22.13111111111111</v>
      </c>
      <c r="S1540" s="2">
        <f t="shared" si="149"/>
        <v>7.1844562707099104</v>
      </c>
    </row>
    <row r="1541" spans="1:19" hidden="1">
      <c r="A1541" t="s">
        <v>1594</v>
      </c>
      <c r="B1541" t="s">
        <v>30</v>
      </c>
      <c r="C1541">
        <v>141</v>
      </c>
      <c r="D1541">
        <v>4654</v>
      </c>
      <c r="E1541" s="2">
        <v>192.19</v>
      </c>
      <c r="F1541">
        <v>21</v>
      </c>
      <c r="G1541">
        <v>6</v>
      </c>
      <c r="H1541">
        <v>4.2999999999999997E-2</v>
      </c>
      <c r="I1541" s="3">
        <v>1932</v>
      </c>
      <c r="J1541" s="1" t="s">
        <v>206</v>
      </c>
      <c r="K1541" t="s">
        <v>31</v>
      </c>
      <c r="L1541" t="s">
        <v>8</v>
      </c>
      <c r="M1541" t="s">
        <v>46</v>
      </c>
      <c r="N1541" s="1">
        <f t="shared" si="144"/>
        <v>45621</v>
      </c>
      <c r="O1541" s="4">
        <f t="shared" si="145"/>
        <v>3.0296519123334767E-2</v>
      </c>
      <c r="P1541">
        <f t="shared" si="146"/>
        <v>1.3630496453900709</v>
      </c>
      <c r="Q1541" s="2">
        <f t="shared" si="147"/>
        <v>9.1519047619047615</v>
      </c>
      <c r="R1541" s="2">
        <f t="shared" si="148"/>
        <v>32.031666666666666</v>
      </c>
      <c r="S1541" s="2">
        <f t="shared" si="149"/>
        <v>10.052552161923098</v>
      </c>
    </row>
    <row r="1542" spans="1:19" hidden="1">
      <c r="A1542" t="s">
        <v>1595</v>
      </c>
      <c r="B1542" t="s">
        <v>30</v>
      </c>
      <c r="C1542">
        <v>110</v>
      </c>
      <c r="D1542">
        <v>5509</v>
      </c>
      <c r="E1542" s="2">
        <v>245.38</v>
      </c>
      <c r="F1542">
        <v>13</v>
      </c>
      <c r="G1542">
        <v>8</v>
      </c>
      <c r="H1542">
        <v>4.8000000000000001E-2</v>
      </c>
      <c r="I1542" s="3">
        <v>1539</v>
      </c>
      <c r="J1542" s="1">
        <v>45606</v>
      </c>
      <c r="K1542" t="s">
        <v>31</v>
      </c>
      <c r="L1542" t="s">
        <v>8</v>
      </c>
      <c r="M1542" t="s">
        <v>32</v>
      </c>
      <c r="N1542" s="1">
        <f t="shared" si="144"/>
        <v>45606</v>
      </c>
      <c r="O1542" s="4">
        <f t="shared" si="145"/>
        <v>1.9967326193501542E-2</v>
      </c>
      <c r="P1542">
        <f t="shared" si="146"/>
        <v>2.2307272727272727</v>
      </c>
      <c r="Q1542" s="2">
        <f t="shared" si="147"/>
        <v>18.875384615384615</v>
      </c>
      <c r="R1542" s="2">
        <f t="shared" si="148"/>
        <v>30.672499999999999</v>
      </c>
      <c r="S1542" s="2">
        <f t="shared" si="149"/>
        <v>6.2719048007172553</v>
      </c>
    </row>
    <row r="1543" spans="1:19">
      <c r="A1543" t="s">
        <v>1596</v>
      </c>
      <c r="B1543" t="s">
        <v>30</v>
      </c>
      <c r="C1543">
        <v>96</v>
      </c>
      <c r="D1543">
        <v>3091</v>
      </c>
      <c r="E1543" s="2">
        <v>187.57</v>
      </c>
      <c r="F1543">
        <v>11</v>
      </c>
      <c r="G1543">
        <v>7</v>
      </c>
      <c r="H1543">
        <v>4.5999999999999999E-2</v>
      </c>
      <c r="I1543" s="3">
        <v>1737</v>
      </c>
      <c r="J1543" s="1">
        <v>45576</v>
      </c>
      <c r="K1543" t="s">
        <v>31</v>
      </c>
      <c r="L1543" t="s">
        <v>9</v>
      </c>
      <c r="M1543" t="s">
        <v>35</v>
      </c>
      <c r="N1543" s="1">
        <f t="shared" si="144"/>
        <v>45576</v>
      </c>
      <c r="O1543" s="4">
        <f t="shared" si="145"/>
        <v>3.1057910061468779E-2</v>
      </c>
      <c r="P1543">
        <f t="shared" si="146"/>
        <v>1.9538541666666667</v>
      </c>
      <c r="Q1543" s="2">
        <f t="shared" si="147"/>
        <v>17.051818181818181</v>
      </c>
      <c r="R1543" s="2">
        <f t="shared" si="148"/>
        <v>26.795714285714286</v>
      </c>
      <c r="S1543" s="2">
        <f t="shared" si="149"/>
        <v>9.2605427307138672</v>
      </c>
    </row>
    <row r="1544" spans="1:19" hidden="1">
      <c r="A1544" t="s">
        <v>1597</v>
      </c>
      <c r="B1544" t="s">
        <v>30</v>
      </c>
      <c r="C1544">
        <v>85</v>
      </c>
      <c r="D1544">
        <v>4653</v>
      </c>
      <c r="E1544" s="2">
        <v>196.73</v>
      </c>
      <c r="F1544">
        <v>23</v>
      </c>
      <c r="G1544">
        <v>6</v>
      </c>
      <c r="H1544">
        <v>7.0999999999999994E-2</v>
      </c>
      <c r="I1544" s="3">
        <v>1032</v>
      </c>
      <c r="J1544" s="1" t="s">
        <v>217</v>
      </c>
      <c r="K1544" t="s">
        <v>31</v>
      </c>
      <c r="L1544" t="s">
        <v>8</v>
      </c>
      <c r="M1544" t="s">
        <v>35</v>
      </c>
      <c r="N1544" s="1">
        <f t="shared" si="144"/>
        <v>45609</v>
      </c>
      <c r="O1544" s="4">
        <f t="shared" si="145"/>
        <v>1.8267784225231034E-2</v>
      </c>
      <c r="P1544">
        <f t="shared" si="146"/>
        <v>2.3144705882352938</v>
      </c>
      <c r="Q1544" s="2">
        <f t="shared" si="147"/>
        <v>8.5534782608695643</v>
      </c>
      <c r="R1544" s="2">
        <f t="shared" si="148"/>
        <v>32.788333333333334</v>
      </c>
      <c r="S1544" s="2">
        <f t="shared" si="149"/>
        <v>5.2457683118995577</v>
      </c>
    </row>
    <row r="1545" spans="1:19" hidden="1">
      <c r="A1545" t="s">
        <v>1598</v>
      </c>
      <c r="B1545" t="s">
        <v>30</v>
      </c>
      <c r="C1545">
        <v>151</v>
      </c>
      <c r="D1545">
        <v>5389</v>
      </c>
      <c r="E1545" s="2">
        <v>227.07</v>
      </c>
      <c r="F1545">
        <v>18</v>
      </c>
      <c r="G1545">
        <v>10</v>
      </c>
      <c r="H1545">
        <v>5.7000000000000002E-2</v>
      </c>
      <c r="I1545" s="3">
        <v>1318</v>
      </c>
      <c r="J1545" s="1">
        <v>45616</v>
      </c>
      <c r="K1545" t="s">
        <v>31</v>
      </c>
      <c r="L1545" t="s">
        <v>7</v>
      </c>
      <c r="M1545" t="s">
        <v>39</v>
      </c>
      <c r="N1545" s="1">
        <f t="shared" si="144"/>
        <v>45616</v>
      </c>
      <c r="O1545" s="4">
        <f t="shared" si="145"/>
        <v>2.8020040823900538E-2</v>
      </c>
      <c r="P1545">
        <f t="shared" si="146"/>
        <v>1.503774834437086</v>
      </c>
      <c r="Q1545" s="2">
        <f t="shared" si="147"/>
        <v>12.615</v>
      </c>
      <c r="R1545" s="2">
        <f t="shared" si="148"/>
        <v>22.707000000000001</v>
      </c>
      <c r="S1545" s="2">
        <f t="shared" si="149"/>
        <v>5.804377504734223</v>
      </c>
    </row>
    <row r="1546" spans="1:19" hidden="1">
      <c r="A1546" t="s">
        <v>1599</v>
      </c>
      <c r="B1546" t="s">
        <v>30</v>
      </c>
      <c r="C1546">
        <v>139</v>
      </c>
      <c r="D1546">
        <v>5290</v>
      </c>
      <c r="E1546" s="2">
        <v>208.43</v>
      </c>
      <c r="F1546">
        <v>28</v>
      </c>
      <c r="G1546">
        <v>4</v>
      </c>
      <c r="H1546">
        <v>5.0999999999999997E-2</v>
      </c>
      <c r="I1546" s="3">
        <v>1022</v>
      </c>
      <c r="J1546" s="1">
        <v>45616</v>
      </c>
      <c r="K1546" t="s">
        <v>31</v>
      </c>
      <c r="L1546" t="s">
        <v>9</v>
      </c>
      <c r="M1546" t="s">
        <v>37</v>
      </c>
      <c r="N1546" s="1">
        <f t="shared" si="144"/>
        <v>45616</v>
      </c>
      <c r="O1546" s="4">
        <f t="shared" si="145"/>
        <v>2.6275992438563326E-2</v>
      </c>
      <c r="P1546">
        <f t="shared" si="146"/>
        <v>1.4994964028776978</v>
      </c>
      <c r="Q1546" s="2">
        <f t="shared" si="147"/>
        <v>7.4439285714285717</v>
      </c>
      <c r="R1546" s="2">
        <f t="shared" si="148"/>
        <v>52.107500000000002</v>
      </c>
      <c r="S1546" s="2">
        <f t="shared" si="149"/>
        <v>4.9033248572662282</v>
      </c>
    </row>
    <row r="1547" spans="1:19" hidden="1">
      <c r="A1547" t="s">
        <v>1600</v>
      </c>
      <c r="B1547" t="s">
        <v>30</v>
      </c>
      <c r="C1547">
        <v>120</v>
      </c>
      <c r="D1547">
        <v>3060</v>
      </c>
      <c r="E1547" s="2">
        <v>197.96</v>
      </c>
      <c r="F1547">
        <v>20</v>
      </c>
      <c r="G1547">
        <v>8</v>
      </c>
      <c r="H1547">
        <v>6.7000000000000004E-2</v>
      </c>
      <c r="I1547" s="3">
        <v>1679</v>
      </c>
      <c r="J1547" s="1">
        <v>45619</v>
      </c>
      <c r="K1547" t="s">
        <v>31</v>
      </c>
      <c r="L1547" t="s">
        <v>9</v>
      </c>
      <c r="M1547" t="s">
        <v>46</v>
      </c>
      <c r="N1547" s="1">
        <f t="shared" si="144"/>
        <v>45619</v>
      </c>
      <c r="O1547" s="4">
        <f t="shared" si="145"/>
        <v>3.9215686274509803E-2</v>
      </c>
      <c r="P1547">
        <f t="shared" si="146"/>
        <v>1.6496666666666668</v>
      </c>
      <c r="Q1547" s="2">
        <f t="shared" si="147"/>
        <v>9.8979999999999997</v>
      </c>
      <c r="R1547" s="2">
        <f t="shared" si="148"/>
        <v>24.745000000000001</v>
      </c>
      <c r="S1547" s="2">
        <f t="shared" si="149"/>
        <v>8.4815114164477663</v>
      </c>
    </row>
    <row r="1548" spans="1:19" hidden="1">
      <c r="A1548" t="s">
        <v>1601</v>
      </c>
      <c r="B1548" t="s">
        <v>30</v>
      </c>
      <c r="C1548">
        <v>109</v>
      </c>
      <c r="D1548">
        <v>4444</v>
      </c>
      <c r="E1548" s="2">
        <v>219.46</v>
      </c>
      <c r="F1548">
        <v>12</v>
      </c>
      <c r="G1548">
        <v>9</v>
      </c>
      <c r="H1548">
        <v>8.3000000000000004E-2</v>
      </c>
      <c r="I1548" s="3">
        <v>1159</v>
      </c>
      <c r="J1548" s="1">
        <v>45624</v>
      </c>
      <c r="K1548" t="s">
        <v>31</v>
      </c>
      <c r="L1548" t="s">
        <v>8</v>
      </c>
      <c r="M1548" t="s">
        <v>39</v>
      </c>
      <c r="N1548" s="1">
        <f t="shared" si="144"/>
        <v>45624</v>
      </c>
      <c r="O1548" s="4">
        <f t="shared" si="145"/>
        <v>2.4527452745274528E-2</v>
      </c>
      <c r="P1548">
        <f t="shared" si="146"/>
        <v>2.013394495412844</v>
      </c>
      <c r="Q1548" s="2">
        <f t="shared" si="147"/>
        <v>18.288333333333334</v>
      </c>
      <c r="R1548" s="2">
        <f t="shared" si="148"/>
        <v>24.384444444444444</v>
      </c>
      <c r="S1548" s="2">
        <f t="shared" si="149"/>
        <v>5.2811446277225915</v>
      </c>
    </row>
    <row r="1549" spans="1:19" hidden="1">
      <c r="A1549" t="s">
        <v>1602</v>
      </c>
      <c r="B1549" t="s">
        <v>30</v>
      </c>
      <c r="C1549">
        <v>145</v>
      </c>
      <c r="D1549">
        <v>3509</v>
      </c>
      <c r="E1549" s="2">
        <v>181.11</v>
      </c>
      <c r="F1549">
        <v>19</v>
      </c>
      <c r="G1549">
        <v>10</v>
      </c>
      <c r="H1549">
        <v>4.8000000000000001E-2</v>
      </c>
      <c r="I1549" s="3">
        <v>1627</v>
      </c>
      <c r="J1549" s="1">
        <v>45618</v>
      </c>
      <c r="K1549" t="s">
        <v>31</v>
      </c>
      <c r="L1549" t="s">
        <v>8</v>
      </c>
      <c r="M1549" t="s">
        <v>41</v>
      </c>
      <c r="N1549" s="1">
        <f t="shared" si="144"/>
        <v>45618</v>
      </c>
      <c r="O1549" s="4">
        <f t="shared" si="145"/>
        <v>4.1322314049586778E-2</v>
      </c>
      <c r="P1549">
        <f t="shared" si="146"/>
        <v>1.2490344827586208</v>
      </c>
      <c r="Q1549" s="2">
        <f t="shared" si="147"/>
        <v>9.5321052631578951</v>
      </c>
      <c r="R1549" s="2">
        <f t="shared" si="148"/>
        <v>18.111000000000001</v>
      </c>
      <c r="S1549" s="2">
        <f t="shared" si="149"/>
        <v>8.9834906962619403</v>
      </c>
    </row>
    <row r="1550" spans="1:19" hidden="1">
      <c r="A1550" t="s">
        <v>1603</v>
      </c>
      <c r="B1550" t="s">
        <v>30</v>
      </c>
      <c r="C1550">
        <v>151</v>
      </c>
      <c r="D1550">
        <v>4675</v>
      </c>
      <c r="E1550" s="2">
        <v>183.02</v>
      </c>
      <c r="F1550">
        <v>14</v>
      </c>
      <c r="G1550">
        <v>7</v>
      </c>
      <c r="H1550">
        <v>4.5999999999999999E-2</v>
      </c>
      <c r="I1550" s="3">
        <v>1000</v>
      </c>
      <c r="J1550" s="1">
        <v>45606</v>
      </c>
      <c r="K1550" t="s">
        <v>31</v>
      </c>
      <c r="L1550" t="s">
        <v>8</v>
      </c>
      <c r="M1550" t="s">
        <v>46</v>
      </c>
      <c r="N1550" s="1">
        <f t="shared" si="144"/>
        <v>45606</v>
      </c>
      <c r="O1550" s="4">
        <f t="shared" si="145"/>
        <v>3.2299465240641714E-2</v>
      </c>
      <c r="P1550">
        <f t="shared" si="146"/>
        <v>1.2120529801324504</v>
      </c>
      <c r="Q1550" s="2">
        <f t="shared" si="147"/>
        <v>13.072857142857144</v>
      </c>
      <c r="R1550" s="2">
        <f t="shared" si="148"/>
        <v>26.145714285714288</v>
      </c>
      <c r="S1550" s="2">
        <f t="shared" si="149"/>
        <v>5.4638837285542561</v>
      </c>
    </row>
    <row r="1551" spans="1:19" hidden="1">
      <c r="A1551" t="s">
        <v>1604</v>
      </c>
      <c r="B1551" t="s">
        <v>30</v>
      </c>
      <c r="C1551">
        <v>108</v>
      </c>
      <c r="D1551">
        <v>5869</v>
      </c>
      <c r="E1551" s="2">
        <v>226.93</v>
      </c>
      <c r="F1551">
        <v>16</v>
      </c>
      <c r="G1551">
        <v>7</v>
      </c>
      <c r="H1551">
        <v>6.5000000000000002E-2</v>
      </c>
      <c r="I1551" s="3">
        <v>1633</v>
      </c>
      <c r="J1551" s="1">
        <v>45362</v>
      </c>
      <c r="K1551" t="s">
        <v>31</v>
      </c>
      <c r="L1551" t="s">
        <v>7</v>
      </c>
      <c r="M1551" t="s">
        <v>46</v>
      </c>
      <c r="N1551" s="1">
        <f t="shared" si="144"/>
        <v>45362</v>
      </c>
      <c r="O1551" s="4">
        <f t="shared" si="145"/>
        <v>1.8401772022491054E-2</v>
      </c>
      <c r="P1551">
        <f t="shared" si="146"/>
        <v>2.1012037037037037</v>
      </c>
      <c r="Q1551" s="2">
        <f t="shared" si="147"/>
        <v>14.183125</v>
      </c>
      <c r="R1551" s="2">
        <f t="shared" si="148"/>
        <v>32.418571428571433</v>
      </c>
      <c r="S1551" s="2">
        <f t="shared" si="149"/>
        <v>7.1960516458819894</v>
      </c>
    </row>
    <row r="1552" spans="1:19" hidden="1">
      <c r="A1552" t="s">
        <v>1605</v>
      </c>
      <c r="B1552" t="s">
        <v>30</v>
      </c>
      <c r="C1552">
        <v>166</v>
      </c>
      <c r="D1552">
        <v>3992</v>
      </c>
      <c r="E1552" s="2">
        <v>205.9</v>
      </c>
      <c r="F1552">
        <v>15</v>
      </c>
      <c r="G1552">
        <v>8</v>
      </c>
      <c r="H1552">
        <v>4.8000000000000001E-2</v>
      </c>
      <c r="I1552" s="3">
        <v>1899</v>
      </c>
      <c r="J1552" s="1">
        <v>45601</v>
      </c>
      <c r="K1552" t="s">
        <v>31</v>
      </c>
      <c r="L1552" t="s">
        <v>7</v>
      </c>
      <c r="M1552" t="s">
        <v>46</v>
      </c>
      <c r="N1552" s="1">
        <f t="shared" si="144"/>
        <v>45601</v>
      </c>
      <c r="O1552" s="4">
        <f t="shared" si="145"/>
        <v>4.1583166332665331E-2</v>
      </c>
      <c r="P1552">
        <f t="shared" si="146"/>
        <v>1.2403614457831325</v>
      </c>
      <c r="Q1552" s="2">
        <f t="shared" si="147"/>
        <v>13.726666666666667</v>
      </c>
      <c r="R1552" s="2">
        <f t="shared" si="148"/>
        <v>25.737500000000001</v>
      </c>
      <c r="S1552" s="2">
        <f t="shared" si="149"/>
        <v>9.2229237493929084</v>
      </c>
    </row>
    <row r="1553" spans="1:19" hidden="1">
      <c r="A1553" t="s">
        <v>1606</v>
      </c>
      <c r="B1553" t="s">
        <v>30</v>
      </c>
      <c r="C1553">
        <v>134</v>
      </c>
      <c r="D1553">
        <v>4172</v>
      </c>
      <c r="E1553" s="2">
        <v>191.8</v>
      </c>
      <c r="F1553">
        <v>26</v>
      </c>
      <c r="G1553">
        <v>5</v>
      </c>
      <c r="H1553">
        <v>3.6999999999999998E-2</v>
      </c>
      <c r="I1553" s="3">
        <v>1170</v>
      </c>
      <c r="J1553" s="1">
        <v>45614</v>
      </c>
      <c r="K1553" t="s">
        <v>31</v>
      </c>
      <c r="L1553" t="s">
        <v>9</v>
      </c>
      <c r="M1553" t="s">
        <v>41</v>
      </c>
      <c r="N1553" s="1">
        <f t="shared" si="144"/>
        <v>45614</v>
      </c>
      <c r="O1553" s="4">
        <f t="shared" si="145"/>
        <v>3.2118887823585809E-2</v>
      </c>
      <c r="P1553">
        <f t="shared" si="146"/>
        <v>1.4313432835820896</v>
      </c>
      <c r="Q1553" s="2">
        <f t="shared" si="147"/>
        <v>7.3769230769230774</v>
      </c>
      <c r="R1553" s="2">
        <f t="shared" si="148"/>
        <v>38.36</v>
      </c>
      <c r="S1553" s="2">
        <f t="shared" si="149"/>
        <v>6.1001042752867569</v>
      </c>
    </row>
    <row r="1554" spans="1:19">
      <c r="A1554" t="s">
        <v>1607</v>
      </c>
      <c r="B1554" t="s">
        <v>30</v>
      </c>
      <c r="C1554">
        <v>104</v>
      </c>
      <c r="D1554">
        <v>5926</v>
      </c>
      <c r="E1554" s="2">
        <v>224.63</v>
      </c>
      <c r="F1554">
        <v>17</v>
      </c>
      <c r="G1554">
        <v>8</v>
      </c>
      <c r="H1554">
        <v>4.5999999999999999E-2</v>
      </c>
      <c r="I1554" s="3">
        <v>1239</v>
      </c>
      <c r="J1554" s="1">
        <v>45620</v>
      </c>
      <c r="K1554" t="s">
        <v>31</v>
      </c>
      <c r="L1554" t="s">
        <v>8</v>
      </c>
      <c r="M1554" t="s">
        <v>32</v>
      </c>
      <c r="N1554" s="1">
        <f t="shared" si="144"/>
        <v>45620</v>
      </c>
      <c r="O1554" s="4">
        <f t="shared" si="145"/>
        <v>1.7549780627742154E-2</v>
      </c>
      <c r="P1554">
        <f t="shared" si="146"/>
        <v>2.159903846153846</v>
      </c>
      <c r="Q1554" s="2">
        <f t="shared" si="147"/>
        <v>13.213529411764705</v>
      </c>
      <c r="R1554" s="2">
        <f t="shared" si="148"/>
        <v>28.078749999999999</v>
      </c>
      <c r="S1554" s="2">
        <f t="shared" si="149"/>
        <v>5.515736989716423</v>
      </c>
    </row>
    <row r="1555" spans="1:19">
      <c r="A1555" t="s">
        <v>1608</v>
      </c>
      <c r="B1555" t="s">
        <v>30</v>
      </c>
      <c r="C1555">
        <v>139</v>
      </c>
      <c r="D1555">
        <v>5785</v>
      </c>
      <c r="E1555" s="2">
        <v>195.39</v>
      </c>
      <c r="F1555">
        <v>15</v>
      </c>
      <c r="G1555">
        <v>10</v>
      </c>
      <c r="H1555">
        <v>4.5999999999999999E-2</v>
      </c>
      <c r="I1555" s="3">
        <v>1296</v>
      </c>
      <c r="J1555" s="1">
        <v>45621</v>
      </c>
      <c r="K1555" t="s">
        <v>31</v>
      </c>
      <c r="L1555" t="s">
        <v>9</v>
      </c>
      <c r="M1555" t="s">
        <v>46</v>
      </c>
      <c r="N1555" s="1">
        <f t="shared" si="144"/>
        <v>45621</v>
      </c>
      <c r="O1555" s="4">
        <f t="shared" si="145"/>
        <v>2.4027657735522904E-2</v>
      </c>
      <c r="P1555">
        <f t="shared" si="146"/>
        <v>1.4056834532374101</v>
      </c>
      <c r="Q1555" s="2">
        <f t="shared" si="147"/>
        <v>13.026</v>
      </c>
      <c r="R1555" s="2">
        <f t="shared" si="148"/>
        <v>19.538999999999998</v>
      </c>
      <c r="S1555" s="2">
        <f t="shared" si="149"/>
        <v>6.6328880700138191</v>
      </c>
    </row>
    <row r="1556" spans="1:19">
      <c r="A1556" t="s">
        <v>1609</v>
      </c>
      <c r="B1556" t="s">
        <v>30</v>
      </c>
      <c r="C1556">
        <v>160</v>
      </c>
      <c r="D1556">
        <v>5664</v>
      </c>
      <c r="E1556" s="2">
        <v>210.58</v>
      </c>
      <c r="F1556">
        <v>16</v>
      </c>
      <c r="G1556">
        <v>9</v>
      </c>
      <c r="H1556">
        <v>4.5999999999999999E-2</v>
      </c>
      <c r="I1556" s="3">
        <v>1836</v>
      </c>
      <c r="J1556" s="1">
        <v>45603</v>
      </c>
      <c r="K1556" t="s">
        <v>31</v>
      </c>
      <c r="L1556" t="s">
        <v>8</v>
      </c>
      <c r="M1556" t="s">
        <v>39</v>
      </c>
      <c r="N1556" s="1">
        <f t="shared" si="144"/>
        <v>45603</v>
      </c>
      <c r="O1556" s="4">
        <f t="shared" si="145"/>
        <v>2.8248587570621469E-2</v>
      </c>
      <c r="P1556">
        <f t="shared" si="146"/>
        <v>1.316125</v>
      </c>
      <c r="Q1556" s="2">
        <f t="shared" si="147"/>
        <v>13.161250000000001</v>
      </c>
      <c r="R1556" s="2">
        <f t="shared" si="148"/>
        <v>23.39777777777778</v>
      </c>
      <c r="S1556" s="2">
        <f t="shared" si="149"/>
        <v>8.7187767119384549</v>
      </c>
    </row>
    <row r="1557" spans="1:19" hidden="1">
      <c r="A1557" t="s">
        <v>1610</v>
      </c>
      <c r="B1557" t="s">
        <v>30</v>
      </c>
      <c r="C1557">
        <v>147</v>
      </c>
      <c r="D1557">
        <v>5930</v>
      </c>
      <c r="E1557" s="2">
        <v>248.18</v>
      </c>
      <c r="F1557">
        <v>22</v>
      </c>
      <c r="G1557">
        <v>10</v>
      </c>
      <c r="H1557">
        <v>6.8000000000000005E-2</v>
      </c>
      <c r="I1557" s="3">
        <v>1743</v>
      </c>
      <c r="J1557" s="1" t="s">
        <v>89</v>
      </c>
      <c r="K1557" t="s">
        <v>31</v>
      </c>
      <c r="L1557" t="s">
        <v>7</v>
      </c>
      <c r="M1557" t="s">
        <v>46</v>
      </c>
      <c r="N1557" s="1">
        <f t="shared" si="144"/>
        <v>45611</v>
      </c>
      <c r="O1557" s="4">
        <f t="shared" si="145"/>
        <v>2.4789207419898821E-2</v>
      </c>
      <c r="P1557">
        <f t="shared" si="146"/>
        <v>1.6882993197278913</v>
      </c>
      <c r="Q1557" s="2">
        <f t="shared" si="147"/>
        <v>11.280909090909091</v>
      </c>
      <c r="R1557" s="2">
        <f t="shared" si="148"/>
        <v>24.818000000000001</v>
      </c>
      <c r="S1557" s="2">
        <f t="shared" si="149"/>
        <v>7.0231283745668467</v>
      </c>
    </row>
    <row r="1558" spans="1:19" hidden="1">
      <c r="A1558" t="s">
        <v>1611</v>
      </c>
      <c r="B1558" t="s">
        <v>30</v>
      </c>
      <c r="C1558">
        <v>196</v>
      </c>
      <c r="D1558">
        <v>3656</v>
      </c>
      <c r="E1558" s="2">
        <v>240.44</v>
      </c>
      <c r="F1558">
        <v>15</v>
      </c>
      <c r="G1558">
        <v>6</v>
      </c>
      <c r="H1558">
        <v>5.1999999999999998E-2</v>
      </c>
      <c r="I1558" s="3">
        <v>1894</v>
      </c>
      <c r="J1558" s="1">
        <v>45362</v>
      </c>
      <c r="K1558" t="s">
        <v>31</v>
      </c>
      <c r="L1558" t="s">
        <v>9</v>
      </c>
      <c r="M1558" t="s">
        <v>46</v>
      </c>
      <c r="N1558" s="1">
        <f t="shared" si="144"/>
        <v>45362</v>
      </c>
      <c r="O1558" s="4">
        <f t="shared" si="145"/>
        <v>5.3610503282275714E-2</v>
      </c>
      <c r="P1558">
        <f t="shared" si="146"/>
        <v>1.226734693877551</v>
      </c>
      <c r="Q1558" s="2">
        <f t="shared" si="147"/>
        <v>16.029333333333334</v>
      </c>
      <c r="R1558" s="2">
        <f t="shared" si="148"/>
        <v>40.073333333333331</v>
      </c>
      <c r="S1558" s="2">
        <f t="shared" si="149"/>
        <v>7.8772250873398768</v>
      </c>
    </row>
    <row r="1559" spans="1:19" hidden="1">
      <c r="A1559" t="s">
        <v>1612</v>
      </c>
      <c r="B1559" t="s">
        <v>30</v>
      </c>
      <c r="C1559">
        <v>159</v>
      </c>
      <c r="D1559">
        <v>5078</v>
      </c>
      <c r="E1559" s="2">
        <v>182.57</v>
      </c>
      <c r="F1559">
        <v>30</v>
      </c>
      <c r="G1559">
        <v>8</v>
      </c>
      <c r="H1559">
        <v>0.05</v>
      </c>
      <c r="I1559" s="3">
        <v>1541</v>
      </c>
      <c r="J1559" s="1">
        <v>45605</v>
      </c>
      <c r="K1559" t="s">
        <v>31</v>
      </c>
      <c r="L1559" t="s">
        <v>8</v>
      </c>
      <c r="M1559" t="s">
        <v>35</v>
      </c>
      <c r="N1559" s="1">
        <f t="shared" si="144"/>
        <v>45605</v>
      </c>
      <c r="O1559" s="4">
        <f t="shared" si="145"/>
        <v>3.1311539976368652E-2</v>
      </c>
      <c r="P1559">
        <f t="shared" si="146"/>
        <v>1.1482389937106918</v>
      </c>
      <c r="Q1559" s="2">
        <f t="shared" si="147"/>
        <v>6.0856666666666666</v>
      </c>
      <c r="R1559" s="2">
        <f t="shared" si="148"/>
        <v>22.821249999999999</v>
      </c>
      <c r="S1559" s="2">
        <f t="shared" si="149"/>
        <v>8.4405981267459058</v>
      </c>
    </row>
    <row r="1560" spans="1:19" hidden="1">
      <c r="A1560" t="s">
        <v>1613</v>
      </c>
      <c r="B1560" t="s">
        <v>30</v>
      </c>
      <c r="C1560">
        <v>104</v>
      </c>
      <c r="D1560">
        <v>5257</v>
      </c>
      <c r="E1560" s="2">
        <v>220.44</v>
      </c>
      <c r="F1560">
        <v>17</v>
      </c>
      <c r="G1560">
        <v>7</v>
      </c>
      <c r="H1560">
        <v>5.1999999999999998E-2</v>
      </c>
      <c r="I1560" s="3">
        <v>1462</v>
      </c>
      <c r="J1560" s="1">
        <v>45623</v>
      </c>
      <c r="K1560" t="s">
        <v>31</v>
      </c>
      <c r="L1560" t="s">
        <v>8</v>
      </c>
      <c r="M1560" t="s">
        <v>37</v>
      </c>
      <c r="N1560" s="1">
        <f t="shared" si="144"/>
        <v>45623</v>
      </c>
      <c r="O1560" s="4">
        <f t="shared" si="145"/>
        <v>1.9783146281148946E-2</v>
      </c>
      <c r="P1560">
        <f t="shared" si="146"/>
        <v>2.1196153846153845</v>
      </c>
      <c r="Q1560" s="2">
        <f t="shared" si="147"/>
        <v>12.967058823529412</v>
      </c>
      <c r="R1560" s="2">
        <f t="shared" si="148"/>
        <v>31.491428571428571</v>
      </c>
      <c r="S1560" s="2">
        <f t="shared" si="149"/>
        <v>6.6321901651242969</v>
      </c>
    </row>
    <row r="1561" spans="1:19" hidden="1">
      <c r="A1561" t="s">
        <v>1614</v>
      </c>
      <c r="B1561" t="s">
        <v>30</v>
      </c>
      <c r="C1561">
        <v>135</v>
      </c>
      <c r="D1561">
        <v>5582</v>
      </c>
      <c r="E1561" s="2">
        <v>209.14</v>
      </c>
      <c r="F1561">
        <v>28</v>
      </c>
      <c r="G1561">
        <v>5</v>
      </c>
      <c r="H1561">
        <v>3.6999999999999998E-2</v>
      </c>
      <c r="I1561" s="3">
        <v>1912</v>
      </c>
      <c r="J1561" s="1" t="s">
        <v>206</v>
      </c>
      <c r="K1561" t="s">
        <v>31</v>
      </c>
      <c r="L1561" t="s">
        <v>9</v>
      </c>
      <c r="M1561" t="s">
        <v>41</v>
      </c>
      <c r="N1561" s="1">
        <f t="shared" si="144"/>
        <v>45621</v>
      </c>
      <c r="O1561" s="4">
        <f t="shared" si="145"/>
        <v>2.4184879971336438E-2</v>
      </c>
      <c r="P1561">
        <f t="shared" si="146"/>
        <v>1.549185185185185</v>
      </c>
      <c r="Q1561" s="2">
        <f t="shared" si="147"/>
        <v>7.4692857142857134</v>
      </c>
      <c r="R1561" s="2">
        <f t="shared" si="148"/>
        <v>41.827999999999996</v>
      </c>
      <c r="S1561" s="2">
        <f t="shared" si="149"/>
        <v>9.1422013961939381</v>
      </c>
    </row>
    <row r="1562" spans="1:19">
      <c r="A1562" t="s">
        <v>1615</v>
      </c>
      <c r="B1562" t="s">
        <v>30</v>
      </c>
      <c r="C1562">
        <v>92</v>
      </c>
      <c r="D1562">
        <v>3097</v>
      </c>
      <c r="E1562" s="2">
        <v>232.27</v>
      </c>
      <c r="F1562">
        <v>21</v>
      </c>
      <c r="G1562">
        <v>7</v>
      </c>
      <c r="H1562">
        <v>4.5999999999999999E-2</v>
      </c>
      <c r="I1562" s="3">
        <v>1905</v>
      </c>
      <c r="J1562" s="1" t="s">
        <v>50</v>
      </c>
      <c r="K1562" t="s">
        <v>31</v>
      </c>
      <c r="L1562" t="s">
        <v>7</v>
      </c>
      <c r="M1562" t="s">
        <v>46</v>
      </c>
      <c r="N1562" s="1">
        <f t="shared" si="144"/>
        <v>45610</v>
      </c>
      <c r="O1562" s="4">
        <f t="shared" si="145"/>
        <v>2.9706167258637391E-2</v>
      </c>
      <c r="P1562">
        <f t="shared" si="146"/>
        <v>2.5246739130434785</v>
      </c>
      <c r="Q1562" s="2">
        <f t="shared" si="147"/>
        <v>11.060476190476191</v>
      </c>
      <c r="R1562" s="2">
        <f t="shared" si="148"/>
        <v>33.181428571428576</v>
      </c>
      <c r="S1562" s="2">
        <f t="shared" si="149"/>
        <v>8.2016618590433552</v>
      </c>
    </row>
    <row r="1563" spans="1:19" hidden="1">
      <c r="A1563" t="s">
        <v>1616</v>
      </c>
      <c r="B1563" t="s">
        <v>30</v>
      </c>
      <c r="C1563">
        <v>136</v>
      </c>
      <c r="D1563">
        <v>3657</v>
      </c>
      <c r="E1563" s="2">
        <v>236.19</v>
      </c>
      <c r="F1563">
        <v>12</v>
      </c>
      <c r="G1563">
        <v>5</v>
      </c>
      <c r="H1563">
        <v>3.6999999999999998E-2</v>
      </c>
      <c r="I1563" s="3">
        <v>1425</v>
      </c>
      <c r="J1563" s="1">
        <v>45602</v>
      </c>
      <c r="K1563" t="s">
        <v>31</v>
      </c>
      <c r="L1563" t="s">
        <v>8</v>
      </c>
      <c r="M1563" t="s">
        <v>41</v>
      </c>
      <c r="N1563" s="1">
        <f t="shared" si="144"/>
        <v>45602</v>
      </c>
      <c r="O1563" s="4">
        <f t="shared" si="145"/>
        <v>3.7188952693464589E-2</v>
      </c>
      <c r="P1563">
        <f t="shared" si="146"/>
        <v>1.7366911764705881</v>
      </c>
      <c r="Q1563" s="2">
        <f t="shared" si="147"/>
        <v>19.682500000000001</v>
      </c>
      <c r="R1563" s="2">
        <f t="shared" si="148"/>
        <v>47.238</v>
      </c>
      <c r="S1563" s="2">
        <f t="shared" si="149"/>
        <v>6.0332782928997846</v>
      </c>
    </row>
    <row r="1564" spans="1:19" hidden="1">
      <c r="A1564" t="s">
        <v>1617</v>
      </c>
      <c r="B1564" t="s">
        <v>30</v>
      </c>
      <c r="C1564">
        <v>135</v>
      </c>
      <c r="D1564">
        <v>3198</v>
      </c>
      <c r="E1564" s="2">
        <v>227.48</v>
      </c>
      <c r="F1564">
        <v>20</v>
      </c>
      <c r="G1564">
        <v>6</v>
      </c>
      <c r="H1564">
        <v>4.3999999999999997E-2</v>
      </c>
      <c r="I1564" s="3">
        <v>1882</v>
      </c>
      <c r="J1564" s="1">
        <v>45605</v>
      </c>
      <c r="K1564" t="s">
        <v>31</v>
      </c>
      <c r="L1564" t="s">
        <v>7</v>
      </c>
      <c r="M1564" t="s">
        <v>41</v>
      </c>
      <c r="N1564" s="1">
        <f t="shared" si="144"/>
        <v>45605</v>
      </c>
      <c r="O1564" s="4">
        <f t="shared" si="145"/>
        <v>4.2213883677298308E-2</v>
      </c>
      <c r="P1564">
        <f t="shared" si="146"/>
        <v>1.6850370370370369</v>
      </c>
      <c r="Q1564" s="2">
        <f t="shared" si="147"/>
        <v>11.373999999999999</v>
      </c>
      <c r="R1564" s="2">
        <f t="shared" si="148"/>
        <v>37.913333333333334</v>
      </c>
      <c r="S1564" s="2">
        <f t="shared" si="149"/>
        <v>8.2732547916300341</v>
      </c>
    </row>
    <row r="1565" spans="1:19" hidden="1">
      <c r="A1565" t="s">
        <v>1618</v>
      </c>
      <c r="B1565" t="s">
        <v>30</v>
      </c>
      <c r="C1565">
        <v>91</v>
      </c>
      <c r="D1565">
        <v>5017</v>
      </c>
      <c r="E1565" s="2">
        <v>239.34</v>
      </c>
      <c r="F1565">
        <v>15</v>
      </c>
      <c r="G1565">
        <v>5</v>
      </c>
      <c r="H1565">
        <v>5.5E-2</v>
      </c>
      <c r="I1565" s="3">
        <v>1505</v>
      </c>
      <c r="J1565" s="1">
        <v>45333</v>
      </c>
      <c r="K1565" t="s">
        <v>31</v>
      </c>
      <c r="L1565" t="s">
        <v>9</v>
      </c>
      <c r="M1565" t="s">
        <v>46</v>
      </c>
      <c r="N1565" s="1">
        <f t="shared" si="144"/>
        <v>45333</v>
      </c>
      <c r="O1565" s="4">
        <f t="shared" si="145"/>
        <v>1.8138329679091091E-2</v>
      </c>
      <c r="P1565">
        <f t="shared" si="146"/>
        <v>2.6301098901098903</v>
      </c>
      <c r="Q1565" s="2">
        <f t="shared" si="147"/>
        <v>15.956</v>
      </c>
      <c r="R1565" s="2">
        <f t="shared" si="148"/>
        <v>47.868000000000002</v>
      </c>
      <c r="S1565" s="2">
        <f t="shared" si="149"/>
        <v>6.2881256789504469</v>
      </c>
    </row>
    <row r="1566" spans="1:19" hidden="1">
      <c r="A1566" t="s">
        <v>1619</v>
      </c>
      <c r="B1566" t="s">
        <v>30</v>
      </c>
      <c r="C1566">
        <v>181</v>
      </c>
      <c r="D1566">
        <v>5343</v>
      </c>
      <c r="E1566" s="2">
        <v>244.02</v>
      </c>
      <c r="F1566">
        <v>30</v>
      </c>
      <c r="G1566">
        <v>9</v>
      </c>
      <c r="H1566">
        <v>3.7999999999999999E-2</v>
      </c>
      <c r="I1566" s="3">
        <v>1639</v>
      </c>
      <c r="J1566" s="1">
        <v>45622</v>
      </c>
      <c r="K1566" t="s">
        <v>31</v>
      </c>
      <c r="L1566" t="s">
        <v>8</v>
      </c>
      <c r="M1566" t="s">
        <v>32</v>
      </c>
      <c r="N1566" s="1">
        <f t="shared" si="144"/>
        <v>45622</v>
      </c>
      <c r="O1566" s="4">
        <f t="shared" si="145"/>
        <v>3.3876099569530228E-2</v>
      </c>
      <c r="P1566">
        <f t="shared" si="146"/>
        <v>1.3481767955801105</v>
      </c>
      <c r="Q1566" s="2">
        <f t="shared" si="147"/>
        <v>8.1340000000000003</v>
      </c>
      <c r="R1566" s="2">
        <f t="shared" si="148"/>
        <v>27.113333333333333</v>
      </c>
      <c r="S1566" s="2">
        <f t="shared" si="149"/>
        <v>6.7166625686419144</v>
      </c>
    </row>
    <row r="1567" spans="1:19">
      <c r="A1567" t="s">
        <v>1620</v>
      </c>
      <c r="B1567" t="s">
        <v>30</v>
      </c>
      <c r="C1567">
        <v>139</v>
      </c>
      <c r="D1567">
        <v>4896</v>
      </c>
      <c r="E1567" s="2">
        <v>207.51</v>
      </c>
      <c r="F1567">
        <v>17</v>
      </c>
      <c r="G1567">
        <v>7</v>
      </c>
      <c r="H1567">
        <v>4.5999999999999999E-2</v>
      </c>
      <c r="I1567" s="3">
        <v>1505</v>
      </c>
      <c r="J1567" s="1">
        <v>45607</v>
      </c>
      <c r="K1567" t="s">
        <v>31</v>
      </c>
      <c r="L1567" t="s">
        <v>8</v>
      </c>
      <c r="M1567" t="s">
        <v>37</v>
      </c>
      <c r="N1567" s="1">
        <f t="shared" si="144"/>
        <v>45607</v>
      </c>
      <c r="O1567" s="4">
        <f t="shared" si="145"/>
        <v>2.8390522875816993E-2</v>
      </c>
      <c r="P1567">
        <f t="shared" si="146"/>
        <v>1.4928776978417266</v>
      </c>
      <c r="Q1567" s="2">
        <f t="shared" si="147"/>
        <v>12.206470588235293</v>
      </c>
      <c r="R1567" s="2">
        <f t="shared" si="148"/>
        <v>29.644285714285711</v>
      </c>
      <c r="S1567" s="2">
        <f t="shared" si="149"/>
        <v>7.2526625222880829</v>
      </c>
    </row>
    <row r="1568" spans="1:19" hidden="1">
      <c r="A1568" t="s">
        <v>1621</v>
      </c>
      <c r="B1568" t="s">
        <v>30</v>
      </c>
      <c r="C1568">
        <v>80</v>
      </c>
      <c r="D1568">
        <v>5756</v>
      </c>
      <c r="E1568" s="2">
        <v>205.38</v>
      </c>
      <c r="F1568">
        <v>16</v>
      </c>
      <c r="G1568">
        <v>4</v>
      </c>
      <c r="H1568">
        <v>0.05</v>
      </c>
      <c r="I1568" s="3">
        <v>1778</v>
      </c>
      <c r="J1568" s="1">
        <v>45616</v>
      </c>
      <c r="K1568" t="s">
        <v>31</v>
      </c>
      <c r="L1568" t="s">
        <v>7</v>
      </c>
      <c r="M1568" t="s">
        <v>41</v>
      </c>
      <c r="N1568" s="1">
        <f t="shared" si="144"/>
        <v>45616</v>
      </c>
      <c r="O1568" s="4">
        <f t="shared" si="145"/>
        <v>1.3898540653231411E-2</v>
      </c>
      <c r="P1568">
        <f t="shared" si="146"/>
        <v>2.56725</v>
      </c>
      <c r="Q1568" s="2">
        <f t="shared" si="147"/>
        <v>12.83625</v>
      </c>
      <c r="R1568" s="2">
        <f t="shared" si="148"/>
        <v>51.344999999999999</v>
      </c>
      <c r="S1568" s="2">
        <f t="shared" si="149"/>
        <v>8.657123381049761</v>
      </c>
    </row>
    <row r="1569" spans="1:19" hidden="1">
      <c r="A1569" t="s">
        <v>1622</v>
      </c>
      <c r="B1569" t="s">
        <v>30</v>
      </c>
      <c r="C1569">
        <v>155</v>
      </c>
      <c r="D1569">
        <v>5696</v>
      </c>
      <c r="E1569" s="2">
        <v>236.44</v>
      </c>
      <c r="F1569">
        <v>13</v>
      </c>
      <c r="G1569">
        <v>3</v>
      </c>
      <c r="H1569">
        <v>1.9E-2</v>
      </c>
      <c r="I1569" s="3">
        <v>1207</v>
      </c>
      <c r="J1569" s="1">
        <v>45619</v>
      </c>
      <c r="K1569" t="s">
        <v>31</v>
      </c>
      <c r="L1569" t="s">
        <v>8</v>
      </c>
      <c r="M1569" t="s">
        <v>37</v>
      </c>
      <c r="N1569" s="1">
        <f t="shared" si="144"/>
        <v>45619</v>
      </c>
      <c r="O1569" s="4">
        <f t="shared" si="145"/>
        <v>2.7212078651685394E-2</v>
      </c>
      <c r="P1569">
        <f t="shared" si="146"/>
        <v>1.5254193548387096</v>
      </c>
      <c r="Q1569" s="2">
        <f t="shared" si="147"/>
        <v>18.187692307692309</v>
      </c>
      <c r="R1569" s="2">
        <f t="shared" si="148"/>
        <v>78.813333333333333</v>
      </c>
      <c r="S1569" s="2">
        <f t="shared" si="149"/>
        <v>5.1048891896464221</v>
      </c>
    </row>
    <row r="1570" spans="1:19" hidden="1">
      <c r="A1570" t="s">
        <v>1623</v>
      </c>
      <c r="B1570" t="s">
        <v>30</v>
      </c>
      <c r="C1570">
        <v>114</v>
      </c>
      <c r="D1570">
        <v>5683</v>
      </c>
      <c r="E1570" s="2">
        <v>214.42</v>
      </c>
      <c r="F1570">
        <v>20</v>
      </c>
      <c r="G1570">
        <v>8</v>
      </c>
      <c r="H1570">
        <v>7.0000000000000007E-2</v>
      </c>
      <c r="I1570" s="3">
        <v>1474</v>
      </c>
      <c r="J1570" s="1">
        <v>45604</v>
      </c>
      <c r="K1570" t="s">
        <v>31</v>
      </c>
      <c r="L1570" t="s">
        <v>8</v>
      </c>
      <c r="M1570" t="s">
        <v>32</v>
      </c>
      <c r="N1570" s="1">
        <f t="shared" si="144"/>
        <v>45604</v>
      </c>
      <c r="O1570" s="4">
        <f t="shared" si="145"/>
        <v>2.0059827555868378E-2</v>
      </c>
      <c r="P1570">
        <f t="shared" si="146"/>
        <v>1.8808771929824559</v>
      </c>
      <c r="Q1570" s="2">
        <f t="shared" si="147"/>
        <v>10.721</v>
      </c>
      <c r="R1570" s="2">
        <f t="shared" si="148"/>
        <v>26.802499999999998</v>
      </c>
      <c r="S1570" s="2">
        <f t="shared" si="149"/>
        <v>6.8743587351926134</v>
      </c>
    </row>
    <row r="1571" spans="1:19" hidden="1">
      <c r="A1571" t="s">
        <v>1624</v>
      </c>
      <c r="B1571" t="s">
        <v>30</v>
      </c>
      <c r="C1571">
        <v>98</v>
      </c>
      <c r="D1571">
        <v>4669</v>
      </c>
      <c r="E1571" s="2">
        <v>205.72</v>
      </c>
      <c r="F1571">
        <v>16</v>
      </c>
      <c r="G1571">
        <v>6</v>
      </c>
      <c r="H1571">
        <v>6.0999999999999999E-2</v>
      </c>
      <c r="I1571" s="3">
        <v>1767</v>
      </c>
      <c r="J1571" s="1">
        <v>45626</v>
      </c>
      <c r="K1571" t="s">
        <v>31</v>
      </c>
      <c r="L1571" t="s">
        <v>7</v>
      </c>
      <c r="M1571" t="s">
        <v>46</v>
      </c>
      <c r="N1571" s="1">
        <f t="shared" si="144"/>
        <v>45626</v>
      </c>
      <c r="O1571" s="4">
        <f t="shared" si="145"/>
        <v>2.0989505247376312E-2</v>
      </c>
      <c r="P1571">
        <f t="shared" si="146"/>
        <v>2.0991836734693878</v>
      </c>
      <c r="Q1571" s="2">
        <f t="shared" si="147"/>
        <v>12.8575</v>
      </c>
      <c r="R1571" s="2">
        <f t="shared" si="148"/>
        <v>34.286666666666669</v>
      </c>
      <c r="S1571" s="2">
        <f t="shared" si="149"/>
        <v>8.5893447404238774</v>
      </c>
    </row>
    <row r="1572" spans="1:19" hidden="1">
      <c r="A1572" t="s">
        <v>1625</v>
      </c>
      <c r="B1572" t="s">
        <v>30</v>
      </c>
      <c r="C1572">
        <v>125</v>
      </c>
      <c r="D1572">
        <v>3807</v>
      </c>
      <c r="E1572" s="2">
        <v>234.92</v>
      </c>
      <c r="F1572">
        <v>11</v>
      </c>
      <c r="G1572">
        <v>6</v>
      </c>
      <c r="H1572">
        <v>4.8000000000000001E-2</v>
      </c>
      <c r="I1572" s="3">
        <v>1505</v>
      </c>
      <c r="J1572" s="1">
        <v>45625</v>
      </c>
      <c r="K1572" t="s">
        <v>31</v>
      </c>
      <c r="L1572" t="s">
        <v>8</v>
      </c>
      <c r="M1572" t="s">
        <v>41</v>
      </c>
      <c r="N1572" s="1">
        <f t="shared" si="144"/>
        <v>45625</v>
      </c>
      <c r="O1572" s="4">
        <f t="shared" si="145"/>
        <v>3.2834252692408722E-2</v>
      </c>
      <c r="P1572">
        <f t="shared" si="146"/>
        <v>1.8793599999999999</v>
      </c>
      <c r="Q1572" s="2">
        <f t="shared" si="147"/>
        <v>21.356363636363636</v>
      </c>
      <c r="R1572" s="2">
        <f t="shared" si="148"/>
        <v>39.153333333333329</v>
      </c>
      <c r="S1572" s="2">
        <f t="shared" si="149"/>
        <v>6.4064362336114424</v>
      </c>
    </row>
    <row r="1573" spans="1:19" hidden="1">
      <c r="A1573" t="s">
        <v>1626</v>
      </c>
      <c r="B1573" t="s">
        <v>30</v>
      </c>
      <c r="C1573">
        <v>160</v>
      </c>
      <c r="D1573">
        <v>3163</v>
      </c>
      <c r="E1573" s="2">
        <v>238.95</v>
      </c>
      <c r="F1573">
        <v>20</v>
      </c>
      <c r="G1573">
        <v>8</v>
      </c>
      <c r="H1573">
        <v>0.05</v>
      </c>
      <c r="I1573" s="3">
        <v>1569</v>
      </c>
      <c r="J1573" s="1">
        <v>45622</v>
      </c>
      <c r="K1573" t="s">
        <v>31</v>
      </c>
      <c r="L1573" t="s">
        <v>7</v>
      </c>
      <c r="M1573" t="s">
        <v>41</v>
      </c>
      <c r="N1573" s="1">
        <f t="shared" si="144"/>
        <v>45622</v>
      </c>
      <c r="O1573" s="4">
        <f t="shared" si="145"/>
        <v>5.0584887764780269E-2</v>
      </c>
      <c r="P1573">
        <f t="shared" si="146"/>
        <v>1.4934375</v>
      </c>
      <c r="Q1573" s="2">
        <f t="shared" si="147"/>
        <v>11.9475</v>
      </c>
      <c r="R1573" s="2">
        <f t="shared" si="148"/>
        <v>29.868749999999999</v>
      </c>
      <c r="S1573" s="2">
        <f t="shared" si="149"/>
        <v>6.566227244193346</v>
      </c>
    </row>
    <row r="1574" spans="1:19" hidden="1">
      <c r="A1574" t="s">
        <v>1627</v>
      </c>
      <c r="B1574" t="s">
        <v>30</v>
      </c>
      <c r="C1574">
        <v>175</v>
      </c>
      <c r="D1574">
        <v>3732</v>
      </c>
      <c r="E1574" s="2">
        <v>231.25</v>
      </c>
      <c r="F1574">
        <v>16</v>
      </c>
      <c r="G1574">
        <v>10</v>
      </c>
      <c r="H1574">
        <v>5.7000000000000002E-2</v>
      </c>
      <c r="I1574" s="3">
        <v>1014</v>
      </c>
      <c r="J1574" s="1">
        <v>45611</v>
      </c>
      <c r="K1574" t="s">
        <v>31</v>
      </c>
      <c r="L1574" t="s">
        <v>8</v>
      </c>
      <c r="M1574" t="s">
        <v>32</v>
      </c>
      <c r="N1574" s="1">
        <f t="shared" si="144"/>
        <v>45611</v>
      </c>
      <c r="O1574" s="4">
        <f t="shared" si="145"/>
        <v>4.6891747052518758E-2</v>
      </c>
      <c r="P1574">
        <f t="shared" si="146"/>
        <v>1.3214285714285714</v>
      </c>
      <c r="Q1574" s="2">
        <f t="shared" si="147"/>
        <v>14.453125</v>
      </c>
      <c r="R1574" s="2">
        <f t="shared" si="148"/>
        <v>23.125</v>
      </c>
      <c r="S1574" s="2">
        <f t="shared" si="149"/>
        <v>4.3848648648648645</v>
      </c>
    </row>
    <row r="1575" spans="1:19" hidden="1">
      <c r="A1575" t="s">
        <v>1628</v>
      </c>
      <c r="B1575" t="s">
        <v>30</v>
      </c>
      <c r="C1575">
        <v>123</v>
      </c>
      <c r="D1575">
        <v>3860</v>
      </c>
      <c r="E1575" s="2">
        <v>224.63</v>
      </c>
      <c r="F1575">
        <v>24</v>
      </c>
      <c r="G1575">
        <v>8</v>
      </c>
      <c r="H1575">
        <v>6.5000000000000002E-2</v>
      </c>
      <c r="I1575" s="3">
        <v>1800</v>
      </c>
      <c r="J1575" s="1">
        <v>45611</v>
      </c>
      <c r="K1575" t="s">
        <v>31</v>
      </c>
      <c r="L1575" t="s">
        <v>7</v>
      </c>
      <c r="M1575" t="s">
        <v>46</v>
      </c>
      <c r="N1575" s="1">
        <f t="shared" si="144"/>
        <v>45611</v>
      </c>
      <c r="O1575" s="4">
        <f t="shared" si="145"/>
        <v>3.1865284974093265E-2</v>
      </c>
      <c r="P1575">
        <f t="shared" si="146"/>
        <v>1.8262601626016259</v>
      </c>
      <c r="Q1575" s="2">
        <f t="shared" si="147"/>
        <v>9.3595833333333331</v>
      </c>
      <c r="R1575" s="2">
        <f t="shared" si="148"/>
        <v>28.078749999999999</v>
      </c>
      <c r="S1575" s="2">
        <f t="shared" si="149"/>
        <v>8.0131772247696205</v>
      </c>
    </row>
    <row r="1576" spans="1:19">
      <c r="A1576" t="s">
        <v>1629</v>
      </c>
      <c r="B1576" t="s">
        <v>30</v>
      </c>
      <c r="C1576">
        <v>106</v>
      </c>
      <c r="D1576">
        <v>3196</v>
      </c>
      <c r="E1576" s="2">
        <v>212.12</v>
      </c>
      <c r="F1576">
        <v>15</v>
      </c>
      <c r="G1576">
        <v>6</v>
      </c>
      <c r="H1576">
        <v>4.5999999999999999E-2</v>
      </c>
      <c r="I1576" s="3">
        <v>1314</v>
      </c>
      <c r="J1576" s="1">
        <v>45619</v>
      </c>
      <c r="K1576" t="s">
        <v>31</v>
      </c>
      <c r="L1576" t="s">
        <v>9</v>
      </c>
      <c r="M1576" t="s">
        <v>46</v>
      </c>
      <c r="N1576" s="1">
        <f t="shared" si="144"/>
        <v>45619</v>
      </c>
      <c r="O1576" s="4">
        <f t="shared" si="145"/>
        <v>3.3166458072590742E-2</v>
      </c>
      <c r="P1576">
        <f t="shared" si="146"/>
        <v>2.0011320754716984</v>
      </c>
      <c r="Q1576" s="2">
        <f t="shared" si="147"/>
        <v>14.141333333333334</v>
      </c>
      <c r="R1576" s="2">
        <f t="shared" si="148"/>
        <v>35.353333333333332</v>
      </c>
      <c r="S1576" s="2">
        <f t="shared" si="149"/>
        <v>6.1946068263247218</v>
      </c>
    </row>
    <row r="1577" spans="1:19">
      <c r="A1577" t="s">
        <v>1630</v>
      </c>
      <c r="B1577" t="s">
        <v>30</v>
      </c>
      <c r="C1577">
        <v>139</v>
      </c>
      <c r="D1577">
        <v>3322</v>
      </c>
      <c r="E1577" s="2">
        <v>205.85</v>
      </c>
      <c r="F1577">
        <v>24</v>
      </c>
      <c r="G1577">
        <v>4</v>
      </c>
      <c r="H1577">
        <v>4.5999999999999999E-2</v>
      </c>
      <c r="I1577" s="3">
        <v>1031</v>
      </c>
      <c r="J1577" s="1">
        <v>45546</v>
      </c>
      <c r="K1577" t="s">
        <v>31</v>
      </c>
      <c r="L1577" t="s">
        <v>9</v>
      </c>
      <c r="M1577" t="s">
        <v>39</v>
      </c>
      <c r="N1577" s="1">
        <f t="shared" si="144"/>
        <v>45546</v>
      </c>
      <c r="O1577" s="4">
        <f t="shared" si="145"/>
        <v>4.1842263696568335E-2</v>
      </c>
      <c r="P1577">
        <f t="shared" si="146"/>
        <v>1.480935251798561</v>
      </c>
      <c r="Q1577" s="2">
        <f t="shared" si="147"/>
        <v>8.5770833333333325</v>
      </c>
      <c r="R1577" s="2">
        <f t="shared" si="148"/>
        <v>51.462499999999999</v>
      </c>
      <c r="S1577" s="2">
        <f t="shared" si="149"/>
        <v>5.0085013359242172</v>
      </c>
    </row>
    <row r="1578" spans="1:19" hidden="1">
      <c r="A1578" t="s">
        <v>1631</v>
      </c>
      <c r="B1578" t="s">
        <v>30</v>
      </c>
      <c r="C1578">
        <v>185</v>
      </c>
      <c r="D1578">
        <v>5121</v>
      </c>
      <c r="E1578" s="2">
        <v>215.46</v>
      </c>
      <c r="F1578">
        <v>12</v>
      </c>
      <c r="G1578">
        <v>9</v>
      </c>
      <c r="H1578">
        <v>4.9000000000000002E-2</v>
      </c>
      <c r="I1578" s="3">
        <v>1724</v>
      </c>
      <c r="J1578" s="1">
        <v>45333</v>
      </c>
      <c r="K1578" t="s">
        <v>31</v>
      </c>
      <c r="L1578" t="s">
        <v>8</v>
      </c>
      <c r="M1578" t="s">
        <v>35</v>
      </c>
      <c r="N1578" s="1">
        <f t="shared" si="144"/>
        <v>45333</v>
      </c>
      <c r="O1578" s="4">
        <f t="shared" si="145"/>
        <v>3.6125756688146847E-2</v>
      </c>
      <c r="P1578">
        <f t="shared" si="146"/>
        <v>1.1646486486486487</v>
      </c>
      <c r="Q1578" s="2">
        <f t="shared" si="147"/>
        <v>17.955000000000002</v>
      </c>
      <c r="R1578" s="2">
        <f t="shared" si="148"/>
        <v>23.94</v>
      </c>
      <c r="S1578" s="2">
        <f t="shared" si="149"/>
        <v>8.0014851944676497</v>
      </c>
    </row>
    <row r="1579" spans="1:19" hidden="1">
      <c r="A1579" t="s">
        <v>1632</v>
      </c>
      <c r="B1579" t="s">
        <v>30</v>
      </c>
      <c r="C1579">
        <v>139</v>
      </c>
      <c r="D1579">
        <v>5610</v>
      </c>
      <c r="E1579" s="2">
        <v>239.44</v>
      </c>
      <c r="F1579">
        <v>17</v>
      </c>
      <c r="G1579">
        <v>6</v>
      </c>
      <c r="H1579">
        <v>4.2999999999999997E-2</v>
      </c>
      <c r="I1579" s="3">
        <v>1548</v>
      </c>
      <c r="J1579" s="1" t="s">
        <v>50</v>
      </c>
      <c r="K1579" t="s">
        <v>31</v>
      </c>
      <c r="L1579" t="s">
        <v>9</v>
      </c>
      <c r="M1579" t="s">
        <v>41</v>
      </c>
      <c r="N1579" s="1">
        <f t="shared" si="144"/>
        <v>45610</v>
      </c>
      <c r="O1579" s="4">
        <f t="shared" si="145"/>
        <v>2.4777183600713012E-2</v>
      </c>
      <c r="P1579">
        <f t="shared" si="146"/>
        <v>1.7225899280575538</v>
      </c>
      <c r="Q1579" s="2">
        <f t="shared" si="147"/>
        <v>14.084705882352941</v>
      </c>
      <c r="R1579" s="2">
        <f t="shared" si="148"/>
        <v>39.906666666666666</v>
      </c>
      <c r="S1579" s="2">
        <f t="shared" si="149"/>
        <v>6.4650851987971931</v>
      </c>
    </row>
    <row r="1580" spans="1:19" hidden="1">
      <c r="A1580" t="s">
        <v>1633</v>
      </c>
      <c r="B1580" t="s">
        <v>30</v>
      </c>
      <c r="C1580">
        <v>174</v>
      </c>
      <c r="D1580">
        <v>3890</v>
      </c>
      <c r="E1580" s="2">
        <v>186.04</v>
      </c>
      <c r="F1580">
        <v>28</v>
      </c>
      <c r="G1580">
        <v>7</v>
      </c>
      <c r="H1580">
        <v>0.04</v>
      </c>
      <c r="I1580" s="3">
        <v>1793</v>
      </c>
      <c r="J1580" s="1">
        <v>45617</v>
      </c>
      <c r="K1580" t="s">
        <v>31</v>
      </c>
      <c r="L1580" t="s">
        <v>9</v>
      </c>
      <c r="M1580" t="s">
        <v>41</v>
      </c>
      <c r="N1580" s="1">
        <f t="shared" si="144"/>
        <v>45617</v>
      </c>
      <c r="O1580" s="4">
        <f t="shared" si="145"/>
        <v>4.4730077120822623E-2</v>
      </c>
      <c r="P1580">
        <f t="shared" si="146"/>
        <v>1.0691954022988506</v>
      </c>
      <c r="Q1580" s="2">
        <f t="shared" si="147"/>
        <v>6.6442857142857141</v>
      </c>
      <c r="R1580" s="2">
        <f t="shared" si="148"/>
        <v>26.577142857142857</v>
      </c>
      <c r="S1580" s="2">
        <f t="shared" si="149"/>
        <v>9.6377123199311985</v>
      </c>
    </row>
    <row r="1581" spans="1:19" hidden="1">
      <c r="A1581" t="s">
        <v>1634</v>
      </c>
      <c r="B1581" t="s">
        <v>30</v>
      </c>
      <c r="C1581">
        <v>157</v>
      </c>
      <c r="D1581">
        <v>4671</v>
      </c>
      <c r="E1581" s="2">
        <v>248.17</v>
      </c>
      <c r="F1581">
        <v>14</v>
      </c>
      <c r="G1581">
        <v>7</v>
      </c>
      <c r="H1581">
        <v>4.4999999999999998E-2</v>
      </c>
      <c r="I1581" s="3">
        <v>1247</v>
      </c>
      <c r="J1581" s="1">
        <v>45599</v>
      </c>
      <c r="K1581" t="s">
        <v>31</v>
      </c>
      <c r="L1581" t="s">
        <v>8</v>
      </c>
      <c r="M1581" t="s">
        <v>39</v>
      </c>
      <c r="N1581" s="1">
        <f t="shared" si="144"/>
        <v>45599</v>
      </c>
      <c r="O1581" s="4">
        <f t="shared" si="145"/>
        <v>3.3611646328409336E-2</v>
      </c>
      <c r="P1581">
        <f t="shared" si="146"/>
        <v>1.580700636942675</v>
      </c>
      <c r="Q1581" s="2">
        <f t="shared" si="147"/>
        <v>17.726428571428571</v>
      </c>
      <c r="R1581" s="2">
        <f t="shared" si="148"/>
        <v>35.452857142857141</v>
      </c>
      <c r="S1581" s="2">
        <f t="shared" si="149"/>
        <v>5.0247813998468791</v>
      </c>
    </row>
    <row r="1582" spans="1:19" hidden="1">
      <c r="A1582" t="s">
        <v>1635</v>
      </c>
      <c r="B1582" t="s">
        <v>30</v>
      </c>
      <c r="C1582">
        <v>160</v>
      </c>
      <c r="D1582">
        <v>5438</v>
      </c>
      <c r="E1582" s="2">
        <v>197.5</v>
      </c>
      <c r="F1582">
        <v>16</v>
      </c>
      <c r="G1582">
        <v>6</v>
      </c>
      <c r="H1582">
        <v>3.6999999999999998E-2</v>
      </c>
      <c r="I1582" s="3">
        <v>1752</v>
      </c>
      <c r="J1582" s="1">
        <v>45362</v>
      </c>
      <c r="K1582" t="s">
        <v>31</v>
      </c>
      <c r="L1582" t="s">
        <v>9</v>
      </c>
      <c r="M1582" t="s">
        <v>35</v>
      </c>
      <c r="N1582" s="1">
        <f t="shared" si="144"/>
        <v>45362</v>
      </c>
      <c r="O1582" s="4">
        <f t="shared" si="145"/>
        <v>2.942258183155572E-2</v>
      </c>
      <c r="P1582">
        <f t="shared" si="146"/>
        <v>1.234375</v>
      </c>
      <c r="Q1582" s="2">
        <f t="shared" si="147"/>
        <v>12.34375</v>
      </c>
      <c r="R1582" s="2">
        <f t="shared" si="148"/>
        <v>32.916666666666664</v>
      </c>
      <c r="S1582" s="2">
        <f t="shared" si="149"/>
        <v>8.8708860759493664</v>
      </c>
    </row>
    <row r="1583" spans="1:19">
      <c r="A1583" t="s">
        <v>1636</v>
      </c>
      <c r="B1583" t="s">
        <v>30</v>
      </c>
      <c r="C1583">
        <v>198</v>
      </c>
      <c r="D1583">
        <v>4726</v>
      </c>
      <c r="E1583" s="2">
        <v>185.13</v>
      </c>
      <c r="F1583">
        <v>14</v>
      </c>
      <c r="G1583">
        <v>7</v>
      </c>
      <c r="H1583">
        <v>4.5999999999999999E-2</v>
      </c>
      <c r="I1583" s="3">
        <v>1580</v>
      </c>
      <c r="J1583" s="1" t="s">
        <v>132</v>
      </c>
      <c r="K1583" t="s">
        <v>31</v>
      </c>
      <c r="L1583" t="s">
        <v>9</v>
      </c>
      <c r="M1583" t="s">
        <v>32</v>
      </c>
      <c r="N1583" s="1">
        <f t="shared" si="144"/>
        <v>45613</v>
      </c>
      <c r="O1583" s="4">
        <f t="shared" si="145"/>
        <v>4.1895895048666948E-2</v>
      </c>
      <c r="P1583">
        <f t="shared" si="146"/>
        <v>0.93499999999999994</v>
      </c>
      <c r="Q1583" s="2">
        <f t="shared" si="147"/>
        <v>13.223571428571429</v>
      </c>
      <c r="R1583" s="2">
        <f t="shared" si="148"/>
        <v>26.447142857142858</v>
      </c>
      <c r="S1583" s="2">
        <f t="shared" si="149"/>
        <v>8.5345432939015833</v>
      </c>
    </row>
    <row r="1584" spans="1:19">
      <c r="A1584" t="s">
        <v>1637</v>
      </c>
      <c r="B1584" t="s">
        <v>30</v>
      </c>
      <c r="C1584">
        <v>144</v>
      </c>
      <c r="D1584">
        <v>5301</v>
      </c>
      <c r="E1584" s="2">
        <v>195.83</v>
      </c>
      <c r="F1584">
        <v>12</v>
      </c>
      <c r="G1584">
        <v>3</v>
      </c>
      <c r="H1584">
        <v>4.5999999999999999E-2</v>
      </c>
      <c r="I1584" s="3">
        <v>1654</v>
      </c>
      <c r="J1584" s="1" t="s">
        <v>115</v>
      </c>
      <c r="K1584" t="s">
        <v>31</v>
      </c>
      <c r="L1584" t="s">
        <v>9</v>
      </c>
      <c r="M1584" t="s">
        <v>37</v>
      </c>
      <c r="N1584" s="1">
        <f t="shared" si="144"/>
        <v>45623</v>
      </c>
      <c r="O1584" s="4">
        <f t="shared" si="145"/>
        <v>2.7164685908319185E-2</v>
      </c>
      <c r="P1584">
        <f t="shared" si="146"/>
        <v>1.3599305555555556</v>
      </c>
      <c r="Q1584" s="2">
        <f t="shared" si="147"/>
        <v>16.319166666666668</v>
      </c>
      <c r="R1584" s="2">
        <f t="shared" si="148"/>
        <v>65.276666666666671</v>
      </c>
      <c r="S1584" s="2">
        <f t="shared" si="149"/>
        <v>8.4461012102333655</v>
      </c>
    </row>
    <row r="1585" spans="1:19" hidden="1">
      <c r="A1585" t="s">
        <v>1638</v>
      </c>
      <c r="B1585" t="s">
        <v>30</v>
      </c>
      <c r="C1585">
        <v>187</v>
      </c>
      <c r="D1585">
        <v>3722</v>
      </c>
      <c r="E1585" s="2">
        <v>182.43</v>
      </c>
      <c r="F1585">
        <v>27</v>
      </c>
      <c r="G1585">
        <v>7</v>
      </c>
      <c r="H1585">
        <v>3.6999999999999998E-2</v>
      </c>
      <c r="I1585" s="3">
        <v>1613</v>
      </c>
      <c r="J1585" s="1" t="s">
        <v>34</v>
      </c>
      <c r="K1585" t="s">
        <v>31</v>
      </c>
      <c r="L1585" t="s">
        <v>8</v>
      </c>
      <c r="M1585" t="s">
        <v>39</v>
      </c>
      <c r="N1585" s="1">
        <f t="shared" si="144"/>
        <v>45616</v>
      </c>
      <c r="O1585" s="4">
        <f t="shared" si="145"/>
        <v>5.0241805480924231E-2</v>
      </c>
      <c r="P1585">
        <f t="shared" si="146"/>
        <v>0.97556149732620323</v>
      </c>
      <c r="Q1585" s="2">
        <f t="shared" si="147"/>
        <v>6.7566666666666668</v>
      </c>
      <c r="R1585" s="2">
        <f t="shared" si="148"/>
        <v>26.061428571428571</v>
      </c>
      <c r="S1585" s="2">
        <f t="shared" si="149"/>
        <v>8.8417475195965576</v>
      </c>
    </row>
    <row r="1586" spans="1:19" hidden="1">
      <c r="A1586" t="s">
        <v>1639</v>
      </c>
      <c r="B1586" t="s">
        <v>30</v>
      </c>
      <c r="C1586">
        <v>139</v>
      </c>
      <c r="D1586">
        <v>3944</v>
      </c>
      <c r="E1586" s="2">
        <v>215.57</v>
      </c>
      <c r="F1586">
        <v>29</v>
      </c>
      <c r="G1586">
        <v>3</v>
      </c>
      <c r="H1586">
        <v>2.1999999999999999E-2</v>
      </c>
      <c r="I1586" s="3">
        <v>1863</v>
      </c>
      <c r="J1586" s="1">
        <v>45600</v>
      </c>
      <c r="K1586" t="s">
        <v>31</v>
      </c>
      <c r="L1586" t="s">
        <v>9</v>
      </c>
      <c r="M1586" t="s">
        <v>46</v>
      </c>
      <c r="N1586" s="1">
        <f t="shared" si="144"/>
        <v>45600</v>
      </c>
      <c r="O1586" s="4">
        <f t="shared" si="145"/>
        <v>3.5243407707910748E-2</v>
      </c>
      <c r="P1586">
        <f t="shared" si="146"/>
        <v>1.5508633093525179</v>
      </c>
      <c r="Q1586" s="2">
        <f t="shared" si="147"/>
        <v>7.4334482758620686</v>
      </c>
      <c r="R1586" s="2">
        <f t="shared" si="148"/>
        <v>71.856666666666669</v>
      </c>
      <c r="S1586" s="2">
        <f t="shared" si="149"/>
        <v>8.6422043883657285</v>
      </c>
    </row>
    <row r="1587" spans="1:19" hidden="1">
      <c r="A1587" t="s">
        <v>1640</v>
      </c>
      <c r="B1587" t="s">
        <v>30</v>
      </c>
      <c r="C1587">
        <v>194</v>
      </c>
      <c r="D1587">
        <v>5123</v>
      </c>
      <c r="E1587" s="2">
        <v>180.01</v>
      </c>
      <c r="F1587">
        <v>27</v>
      </c>
      <c r="G1587">
        <v>5</v>
      </c>
      <c r="H1587">
        <v>3.5999999999999997E-2</v>
      </c>
      <c r="I1587" s="3">
        <v>1978</v>
      </c>
      <c r="J1587" s="1">
        <v>45423</v>
      </c>
      <c r="K1587" t="s">
        <v>31</v>
      </c>
      <c r="L1587" t="s">
        <v>8</v>
      </c>
      <c r="M1587" t="s">
        <v>32</v>
      </c>
      <c r="N1587" s="1">
        <f t="shared" si="144"/>
        <v>45423</v>
      </c>
      <c r="O1587" s="4">
        <f t="shared" si="145"/>
        <v>3.7868436463009955E-2</v>
      </c>
      <c r="P1587">
        <f t="shared" si="146"/>
        <v>0.92788659793814432</v>
      </c>
      <c r="Q1587" s="2">
        <f t="shared" si="147"/>
        <v>6.6670370370370371</v>
      </c>
      <c r="R1587" s="2">
        <f t="shared" si="148"/>
        <v>36.001999999999995</v>
      </c>
      <c r="S1587" s="2">
        <f t="shared" si="149"/>
        <v>10.988278428976168</v>
      </c>
    </row>
    <row r="1588" spans="1:19" hidden="1">
      <c r="A1588" t="s">
        <v>1641</v>
      </c>
      <c r="B1588" t="s">
        <v>30</v>
      </c>
      <c r="C1588">
        <v>157</v>
      </c>
      <c r="D1588">
        <v>4127</v>
      </c>
      <c r="E1588" s="2">
        <v>200.44</v>
      </c>
      <c r="F1588">
        <v>30</v>
      </c>
      <c r="G1588">
        <v>8</v>
      </c>
      <c r="H1588">
        <v>5.8000000000000003E-2</v>
      </c>
      <c r="I1588" s="3">
        <v>1044</v>
      </c>
      <c r="J1588" s="1">
        <v>45611</v>
      </c>
      <c r="K1588" t="s">
        <v>31</v>
      </c>
      <c r="L1588" t="s">
        <v>7</v>
      </c>
      <c r="M1588" t="s">
        <v>39</v>
      </c>
      <c r="N1588" s="1">
        <f t="shared" si="144"/>
        <v>45611</v>
      </c>
      <c r="O1588" s="4">
        <f t="shared" si="145"/>
        <v>3.8042161376302397E-2</v>
      </c>
      <c r="P1588">
        <f t="shared" si="146"/>
        <v>1.276687898089172</v>
      </c>
      <c r="Q1588" s="2">
        <f t="shared" si="147"/>
        <v>6.6813333333333329</v>
      </c>
      <c r="R1588" s="2">
        <f t="shared" si="148"/>
        <v>25.055</v>
      </c>
      <c r="S1588" s="2">
        <f t="shared" si="149"/>
        <v>5.2085412093394536</v>
      </c>
    </row>
    <row r="1589" spans="1:19" hidden="1">
      <c r="A1589" t="s">
        <v>1642</v>
      </c>
      <c r="B1589" t="s">
        <v>30</v>
      </c>
      <c r="C1589">
        <v>112</v>
      </c>
      <c r="D1589">
        <v>4944</v>
      </c>
      <c r="E1589" s="2">
        <v>233.83</v>
      </c>
      <c r="F1589">
        <v>19</v>
      </c>
      <c r="G1589">
        <v>4</v>
      </c>
      <c r="H1589">
        <v>3.5999999999999997E-2</v>
      </c>
      <c r="I1589" s="3">
        <v>1296</v>
      </c>
      <c r="J1589" s="1">
        <v>45623</v>
      </c>
      <c r="K1589" t="s">
        <v>31</v>
      </c>
      <c r="L1589" t="s">
        <v>9</v>
      </c>
      <c r="M1589" t="s">
        <v>39</v>
      </c>
      <c r="N1589" s="1">
        <f t="shared" si="144"/>
        <v>45623</v>
      </c>
      <c r="O1589" s="4">
        <f t="shared" si="145"/>
        <v>2.2653721682847898E-2</v>
      </c>
      <c r="P1589">
        <f t="shared" si="146"/>
        <v>2.0877678571428571</v>
      </c>
      <c r="Q1589" s="2">
        <f t="shared" si="147"/>
        <v>12.306842105263158</v>
      </c>
      <c r="R1589" s="2">
        <f t="shared" si="148"/>
        <v>58.457500000000003</v>
      </c>
      <c r="S1589" s="2">
        <f t="shared" si="149"/>
        <v>5.542488132403883</v>
      </c>
    </row>
    <row r="1590" spans="1:19" hidden="1">
      <c r="A1590" t="s">
        <v>1643</v>
      </c>
      <c r="B1590" t="s">
        <v>30</v>
      </c>
      <c r="C1590">
        <v>82</v>
      </c>
      <c r="D1590">
        <v>4534</v>
      </c>
      <c r="E1590" s="2">
        <v>203.89</v>
      </c>
      <c r="F1590">
        <v>10</v>
      </c>
      <c r="G1590">
        <v>6</v>
      </c>
      <c r="H1590">
        <v>7.2999999999999995E-2</v>
      </c>
      <c r="I1590" s="3">
        <v>1589</v>
      </c>
      <c r="J1590" s="1">
        <v>45622</v>
      </c>
      <c r="K1590" t="s">
        <v>31</v>
      </c>
      <c r="L1590" t="s">
        <v>9</v>
      </c>
      <c r="M1590" t="s">
        <v>41</v>
      </c>
      <c r="N1590" s="1">
        <f t="shared" si="144"/>
        <v>45622</v>
      </c>
      <c r="O1590" s="4">
        <f t="shared" si="145"/>
        <v>1.8085575650639611E-2</v>
      </c>
      <c r="P1590">
        <f t="shared" si="146"/>
        <v>2.4864634146341462</v>
      </c>
      <c r="Q1590" s="2">
        <f t="shared" si="147"/>
        <v>20.388999999999999</v>
      </c>
      <c r="R1590" s="2">
        <f t="shared" si="148"/>
        <v>33.981666666666662</v>
      </c>
      <c r="S1590" s="2">
        <f t="shared" si="149"/>
        <v>7.7934180195203302</v>
      </c>
    </row>
    <row r="1591" spans="1:19" hidden="1">
      <c r="A1591" t="s">
        <v>1644</v>
      </c>
      <c r="B1591" t="s">
        <v>30</v>
      </c>
      <c r="C1591">
        <v>152</v>
      </c>
      <c r="D1591">
        <v>5894</v>
      </c>
      <c r="E1591" s="2">
        <v>219.23</v>
      </c>
      <c r="F1591">
        <v>14</v>
      </c>
      <c r="G1591">
        <v>5</v>
      </c>
      <c r="H1591">
        <v>3.3000000000000002E-2</v>
      </c>
      <c r="I1591" s="3">
        <v>1641</v>
      </c>
      <c r="J1591" s="1">
        <v>45609</v>
      </c>
      <c r="K1591" t="s">
        <v>31</v>
      </c>
      <c r="L1591" t="s">
        <v>8</v>
      </c>
      <c r="M1591" t="s">
        <v>39</v>
      </c>
      <c r="N1591" s="1">
        <f t="shared" si="144"/>
        <v>45609</v>
      </c>
      <c r="O1591" s="4">
        <f t="shared" si="145"/>
        <v>2.5788937902952155E-2</v>
      </c>
      <c r="P1591">
        <f t="shared" si="146"/>
        <v>1.4423026315789473</v>
      </c>
      <c r="Q1591" s="2">
        <f t="shared" si="147"/>
        <v>15.659285714285714</v>
      </c>
      <c r="R1591" s="2">
        <f t="shared" si="148"/>
        <v>43.845999999999997</v>
      </c>
      <c r="S1591" s="2">
        <f t="shared" si="149"/>
        <v>7.4852894220681483</v>
      </c>
    </row>
    <row r="1592" spans="1:19" hidden="1">
      <c r="A1592" t="s">
        <v>1645</v>
      </c>
      <c r="B1592" t="s">
        <v>30</v>
      </c>
      <c r="C1592">
        <v>81</v>
      </c>
      <c r="D1592">
        <v>5545</v>
      </c>
      <c r="E1592" s="2">
        <v>212.89</v>
      </c>
      <c r="F1592">
        <v>11</v>
      </c>
      <c r="G1592">
        <v>5</v>
      </c>
      <c r="H1592">
        <v>6.2E-2</v>
      </c>
      <c r="I1592" s="3">
        <v>1818</v>
      </c>
      <c r="J1592" s="1" t="s">
        <v>89</v>
      </c>
      <c r="K1592" t="s">
        <v>31</v>
      </c>
      <c r="L1592" t="s">
        <v>8</v>
      </c>
      <c r="M1592" t="s">
        <v>37</v>
      </c>
      <c r="N1592" s="1">
        <f t="shared" si="144"/>
        <v>45611</v>
      </c>
      <c r="O1592" s="4">
        <f t="shared" si="145"/>
        <v>1.460775473399459E-2</v>
      </c>
      <c r="P1592">
        <f t="shared" si="146"/>
        <v>2.6282716049382713</v>
      </c>
      <c r="Q1592" s="2">
        <f t="shared" si="147"/>
        <v>19.353636363636362</v>
      </c>
      <c r="R1592" s="2">
        <f t="shared" si="148"/>
        <v>42.577999999999996</v>
      </c>
      <c r="S1592" s="2">
        <f t="shared" si="149"/>
        <v>8.5396214007233784</v>
      </c>
    </row>
    <row r="1593" spans="1:19" hidden="1">
      <c r="A1593" t="s">
        <v>1646</v>
      </c>
      <c r="B1593" t="s">
        <v>30</v>
      </c>
      <c r="C1593">
        <v>84</v>
      </c>
      <c r="D1593">
        <v>5573</v>
      </c>
      <c r="E1593" s="2">
        <v>215.57</v>
      </c>
      <c r="F1593">
        <v>23</v>
      </c>
      <c r="G1593">
        <v>6</v>
      </c>
      <c r="H1593">
        <v>7.0999999999999994E-2</v>
      </c>
      <c r="I1593" s="3">
        <v>1656</v>
      </c>
      <c r="J1593" s="1">
        <v>45608</v>
      </c>
      <c r="K1593" t="s">
        <v>31</v>
      </c>
      <c r="L1593" t="s">
        <v>7</v>
      </c>
      <c r="M1593" t="s">
        <v>41</v>
      </c>
      <c r="N1593" s="1">
        <f t="shared" si="144"/>
        <v>45608</v>
      </c>
      <c r="O1593" s="4">
        <f t="shared" si="145"/>
        <v>1.5072671810514983E-2</v>
      </c>
      <c r="P1593">
        <f t="shared" si="146"/>
        <v>2.5663095238095237</v>
      </c>
      <c r="Q1593" s="2">
        <f t="shared" si="147"/>
        <v>9.3726086956521737</v>
      </c>
      <c r="R1593" s="2">
        <f t="shared" si="148"/>
        <v>35.928333333333335</v>
      </c>
      <c r="S1593" s="2">
        <f t="shared" si="149"/>
        <v>7.6819594563250915</v>
      </c>
    </row>
    <row r="1594" spans="1:19" hidden="1">
      <c r="A1594" t="s">
        <v>1647</v>
      </c>
      <c r="B1594" t="s">
        <v>30</v>
      </c>
      <c r="C1594">
        <v>117</v>
      </c>
      <c r="D1594">
        <v>3039</v>
      </c>
      <c r="E1594" s="2">
        <v>223.72</v>
      </c>
      <c r="F1594">
        <v>27</v>
      </c>
      <c r="G1594">
        <v>8</v>
      </c>
      <c r="H1594">
        <v>6.8000000000000005E-2</v>
      </c>
      <c r="I1594" s="3">
        <v>1340</v>
      </c>
      <c r="J1594" s="1">
        <v>45610</v>
      </c>
      <c r="K1594" t="s">
        <v>31</v>
      </c>
      <c r="L1594" t="s">
        <v>8</v>
      </c>
      <c r="M1594" t="s">
        <v>39</v>
      </c>
      <c r="N1594" s="1">
        <f t="shared" si="144"/>
        <v>45610</v>
      </c>
      <c r="O1594" s="4">
        <f t="shared" si="145"/>
        <v>3.8499506416584402E-2</v>
      </c>
      <c r="P1594">
        <f t="shared" si="146"/>
        <v>1.912136752136752</v>
      </c>
      <c r="Q1594" s="2">
        <f t="shared" si="147"/>
        <v>8.285925925925925</v>
      </c>
      <c r="R1594" s="2">
        <f t="shared" si="148"/>
        <v>27.965</v>
      </c>
      <c r="S1594" s="2">
        <f t="shared" si="149"/>
        <v>5.9896298945109958</v>
      </c>
    </row>
    <row r="1595" spans="1:19" hidden="1">
      <c r="A1595" t="s">
        <v>1648</v>
      </c>
      <c r="B1595" t="s">
        <v>30</v>
      </c>
      <c r="C1595">
        <v>82</v>
      </c>
      <c r="D1595">
        <v>3556</v>
      </c>
      <c r="E1595" s="2">
        <v>215.57</v>
      </c>
      <c r="F1595">
        <v>16</v>
      </c>
      <c r="G1595">
        <v>5</v>
      </c>
      <c r="H1595">
        <v>6.0999999999999999E-2</v>
      </c>
      <c r="I1595" s="3">
        <v>1331</v>
      </c>
      <c r="J1595" s="1">
        <v>45613</v>
      </c>
      <c r="K1595" t="s">
        <v>31</v>
      </c>
      <c r="L1595" t="s">
        <v>8</v>
      </c>
      <c r="M1595" t="s">
        <v>37</v>
      </c>
      <c r="N1595" s="1">
        <f t="shared" si="144"/>
        <v>45613</v>
      </c>
      <c r="O1595" s="4">
        <f t="shared" si="145"/>
        <v>2.3059617547806523E-2</v>
      </c>
      <c r="P1595">
        <f t="shared" si="146"/>
        <v>2.6289024390243902</v>
      </c>
      <c r="Q1595" s="2">
        <f t="shared" si="147"/>
        <v>13.473125</v>
      </c>
      <c r="R1595" s="2">
        <f t="shared" si="148"/>
        <v>43.113999999999997</v>
      </c>
      <c r="S1595" s="2">
        <f t="shared" si="149"/>
        <v>6.1743285243772323</v>
      </c>
    </row>
    <row r="1596" spans="1:19" hidden="1">
      <c r="A1596" t="s">
        <v>1649</v>
      </c>
      <c r="B1596" t="s">
        <v>30</v>
      </c>
      <c r="C1596">
        <v>192</v>
      </c>
      <c r="D1596">
        <v>4920</v>
      </c>
      <c r="E1596" s="2">
        <v>192.15</v>
      </c>
      <c r="F1596">
        <v>18</v>
      </c>
      <c r="G1596">
        <v>10</v>
      </c>
      <c r="H1596">
        <v>5.1999999999999998E-2</v>
      </c>
      <c r="I1596" s="3">
        <v>1665</v>
      </c>
      <c r="J1596" s="1">
        <v>45605</v>
      </c>
      <c r="K1596" t="s">
        <v>31</v>
      </c>
      <c r="L1596" t="s">
        <v>8</v>
      </c>
      <c r="M1596" t="s">
        <v>37</v>
      </c>
      <c r="N1596" s="1">
        <f t="shared" si="144"/>
        <v>45605</v>
      </c>
      <c r="O1596" s="4">
        <f t="shared" si="145"/>
        <v>3.9024390243902439E-2</v>
      </c>
      <c r="P1596">
        <f t="shared" si="146"/>
        <v>1.00078125</v>
      </c>
      <c r="Q1596" s="2">
        <f t="shared" si="147"/>
        <v>10.675000000000001</v>
      </c>
      <c r="R1596" s="2">
        <f t="shared" si="148"/>
        <v>19.215</v>
      </c>
      <c r="S1596" s="2">
        <f t="shared" si="149"/>
        <v>8.6651053864168617</v>
      </c>
    </row>
    <row r="1597" spans="1:19">
      <c r="A1597" t="s">
        <v>1650</v>
      </c>
      <c r="B1597" t="s">
        <v>30</v>
      </c>
      <c r="C1597">
        <v>131</v>
      </c>
      <c r="D1597">
        <v>3187</v>
      </c>
      <c r="E1597" s="2">
        <v>234.53</v>
      </c>
      <c r="F1597">
        <v>24</v>
      </c>
      <c r="G1597">
        <v>10</v>
      </c>
      <c r="H1597">
        <v>4.5999999999999999E-2</v>
      </c>
      <c r="I1597" s="3">
        <v>1656</v>
      </c>
      <c r="J1597" s="1">
        <v>45484</v>
      </c>
      <c r="K1597" t="s">
        <v>31</v>
      </c>
      <c r="L1597" t="s">
        <v>8</v>
      </c>
      <c r="M1597" t="s">
        <v>35</v>
      </c>
      <c r="N1597" s="1">
        <f t="shared" si="144"/>
        <v>45484</v>
      </c>
      <c r="O1597" s="4">
        <f t="shared" si="145"/>
        <v>4.1104486978349543E-2</v>
      </c>
      <c r="P1597">
        <f t="shared" si="146"/>
        <v>1.7903053435114504</v>
      </c>
      <c r="Q1597" s="2">
        <f t="shared" si="147"/>
        <v>9.7720833333333328</v>
      </c>
      <c r="R1597" s="2">
        <f t="shared" si="148"/>
        <v>23.452999999999999</v>
      </c>
      <c r="S1597" s="2">
        <f t="shared" si="149"/>
        <v>7.0609303713810601</v>
      </c>
    </row>
    <row r="1598" spans="1:19" hidden="1">
      <c r="A1598" t="s">
        <v>1651</v>
      </c>
      <c r="B1598" t="s">
        <v>30</v>
      </c>
      <c r="C1598">
        <v>177</v>
      </c>
      <c r="D1598">
        <v>3238</v>
      </c>
      <c r="E1598" s="2">
        <v>189.61</v>
      </c>
      <c r="F1598">
        <v>29</v>
      </c>
      <c r="G1598">
        <v>7</v>
      </c>
      <c r="H1598">
        <v>0.05</v>
      </c>
      <c r="I1598" s="3">
        <v>1925</v>
      </c>
      <c r="J1598" s="1" t="s">
        <v>115</v>
      </c>
      <c r="K1598" t="s">
        <v>31</v>
      </c>
      <c r="L1598" t="s">
        <v>9</v>
      </c>
      <c r="M1598" t="s">
        <v>37</v>
      </c>
      <c r="N1598" s="1">
        <f t="shared" si="144"/>
        <v>45623</v>
      </c>
      <c r="O1598" s="4">
        <f t="shared" si="145"/>
        <v>5.4663372452130946E-2</v>
      </c>
      <c r="P1598">
        <f t="shared" si="146"/>
        <v>1.0712429378531074</v>
      </c>
      <c r="Q1598" s="2">
        <f t="shared" si="147"/>
        <v>6.538275862068966</v>
      </c>
      <c r="R1598" s="2">
        <f t="shared" si="148"/>
        <v>27.087142857142858</v>
      </c>
      <c r="S1598" s="2">
        <f t="shared" si="149"/>
        <v>10.152418121407099</v>
      </c>
    </row>
    <row r="1599" spans="1:19">
      <c r="A1599" t="s">
        <v>1652</v>
      </c>
      <c r="B1599" t="s">
        <v>30</v>
      </c>
      <c r="C1599">
        <v>139</v>
      </c>
      <c r="D1599">
        <v>4518.5</v>
      </c>
      <c r="E1599" s="2">
        <v>182.66</v>
      </c>
      <c r="F1599">
        <v>22</v>
      </c>
      <c r="G1599">
        <v>10</v>
      </c>
      <c r="H1599">
        <v>4.5999999999999999E-2</v>
      </c>
      <c r="I1599" s="3">
        <v>1482</v>
      </c>
      <c r="J1599" s="1">
        <v>45620</v>
      </c>
      <c r="K1599" t="s">
        <v>31</v>
      </c>
      <c r="L1599" t="s">
        <v>7</v>
      </c>
      <c r="M1599" t="s">
        <v>32</v>
      </c>
      <c r="N1599" s="1">
        <f t="shared" si="144"/>
        <v>45620</v>
      </c>
      <c r="O1599" s="4">
        <f t="shared" si="145"/>
        <v>3.0762421157463759E-2</v>
      </c>
      <c r="P1599">
        <f t="shared" si="146"/>
        <v>1.3141007194244605</v>
      </c>
      <c r="Q1599" s="2">
        <f t="shared" si="147"/>
        <v>8.3027272727272727</v>
      </c>
      <c r="R1599" s="2">
        <f t="shared" si="148"/>
        <v>18.265999999999998</v>
      </c>
      <c r="S1599" s="2">
        <f t="shared" si="149"/>
        <v>8.113434796890397</v>
      </c>
    </row>
    <row r="1600" spans="1:19" hidden="1">
      <c r="A1600" t="s">
        <v>1653</v>
      </c>
      <c r="B1600" t="s">
        <v>30</v>
      </c>
      <c r="C1600">
        <v>147</v>
      </c>
      <c r="D1600">
        <v>4507</v>
      </c>
      <c r="E1600" s="2">
        <v>190.42</v>
      </c>
      <c r="F1600">
        <v>27</v>
      </c>
      <c r="G1600">
        <v>8</v>
      </c>
      <c r="H1600">
        <v>5.3999999999999999E-2</v>
      </c>
      <c r="I1600" s="3">
        <v>1073</v>
      </c>
      <c r="J1600" s="1">
        <v>45601</v>
      </c>
      <c r="K1600" t="s">
        <v>31</v>
      </c>
      <c r="L1600" t="s">
        <v>7</v>
      </c>
      <c r="M1600" t="s">
        <v>32</v>
      </c>
      <c r="N1600" s="1">
        <f t="shared" si="144"/>
        <v>45601</v>
      </c>
      <c r="O1600" s="4">
        <f t="shared" si="145"/>
        <v>3.2615930774351008E-2</v>
      </c>
      <c r="P1600">
        <f t="shared" si="146"/>
        <v>1.2953741496598639</v>
      </c>
      <c r="Q1600" s="2">
        <f t="shared" si="147"/>
        <v>7.0525925925925925</v>
      </c>
      <c r="R1600" s="2">
        <f t="shared" si="148"/>
        <v>23.802499999999998</v>
      </c>
      <c r="S1600" s="2">
        <f t="shared" si="149"/>
        <v>5.634912299128243</v>
      </c>
    </row>
    <row r="1601" spans="1:19" hidden="1">
      <c r="A1601" t="s">
        <v>1654</v>
      </c>
      <c r="B1601" t="s">
        <v>30</v>
      </c>
      <c r="C1601">
        <v>143</v>
      </c>
      <c r="D1601">
        <v>3606</v>
      </c>
      <c r="E1601" s="2">
        <v>200.29</v>
      </c>
      <c r="F1601">
        <v>20</v>
      </c>
      <c r="G1601">
        <v>3</v>
      </c>
      <c r="H1601">
        <v>3.5000000000000003E-2</v>
      </c>
      <c r="I1601" s="3">
        <v>1550</v>
      </c>
      <c r="J1601" s="1" t="s">
        <v>34</v>
      </c>
      <c r="K1601" t="s">
        <v>31</v>
      </c>
      <c r="L1601" t="s">
        <v>8</v>
      </c>
      <c r="M1601" t="s">
        <v>32</v>
      </c>
      <c r="N1601" s="1">
        <f t="shared" si="144"/>
        <v>45616</v>
      </c>
      <c r="O1601" s="4">
        <f t="shared" si="145"/>
        <v>3.9656128674431503E-2</v>
      </c>
      <c r="P1601">
        <f t="shared" si="146"/>
        <v>1.4006293706293707</v>
      </c>
      <c r="Q1601" s="2">
        <f t="shared" si="147"/>
        <v>10.0145</v>
      </c>
      <c r="R1601" s="2">
        <f t="shared" si="148"/>
        <v>66.763333333333335</v>
      </c>
      <c r="S1601" s="2">
        <f t="shared" si="149"/>
        <v>7.7387787707823659</v>
      </c>
    </row>
    <row r="1602" spans="1:19">
      <c r="A1602" t="s">
        <v>1655</v>
      </c>
      <c r="B1602" t="s">
        <v>30</v>
      </c>
      <c r="C1602">
        <v>139</v>
      </c>
      <c r="D1602">
        <v>3355</v>
      </c>
      <c r="E1602" s="2">
        <v>186.9</v>
      </c>
      <c r="F1602">
        <v>20</v>
      </c>
      <c r="G1602">
        <v>4</v>
      </c>
      <c r="H1602">
        <v>4.5999999999999999E-2</v>
      </c>
      <c r="I1602" s="3">
        <v>1524</v>
      </c>
      <c r="J1602" s="1">
        <v>45606</v>
      </c>
      <c r="K1602" t="s">
        <v>31</v>
      </c>
      <c r="L1602" t="s">
        <v>8</v>
      </c>
      <c r="M1602" t="s">
        <v>41</v>
      </c>
      <c r="N1602" s="1">
        <f t="shared" ref="N1602:N1665" si="150">IF(A1602="","",IF(ISNUMBER(J1602),J1602,IF(MID(J1602,5,1)="-",DATE(LEFT(J1602,4),MID(J1602,6,2),RIGHT(J1602,2)),IF(MID(J1602,5,1)="/",DATE(LEFT(J1602,4),MID(J1602,6,2),RIGHT(J1602,2)),DATE(RIGHT(J1602,4),MID(J1602,4,2),LEFT(J1602,2))))))</f>
        <v>45606</v>
      </c>
      <c r="O1602" s="4">
        <f t="shared" ref="O1602:O1665" si="151">IFERROR(C1602/D1602,0)</f>
        <v>4.1430700447093891E-2</v>
      </c>
      <c r="P1602">
        <f t="shared" ref="P1602:P1665" si="152">IFERROR(E1602/C1602,0)</f>
        <v>1.3446043165467627</v>
      </c>
      <c r="Q1602" s="2">
        <f t="shared" ref="Q1602:Q1665" si="153">IFERROR(E1602/F1602,0)</f>
        <v>9.3450000000000006</v>
      </c>
      <c r="R1602" s="2">
        <f t="shared" ref="R1602:R1665" si="154">IFERROR(E1602/G1602,0)</f>
        <v>46.725000000000001</v>
      </c>
      <c r="S1602" s="2">
        <f t="shared" ref="S1602:S1665" si="155">IFERROR(I1602/E1602,0)</f>
        <v>8.1540930979133233</v>
      </c>
    </row>
    <row r="1603" spans="1:19" hidden="1">
      <c r="A1603" t="s">
        <v>1656</v>
      </c>
      <c r="B1603" t="s">
        <v>30</v>
      </c>
      <c r="C1603">
        <v>160</v>
      </c>
      <c r="D1603">
        <v>3711</v>
      </c>
      <c r="E1603" s="2">
        <v>214.41</v>
      </c>
      <c r="F1603">
        <v>10</v>
      </c>
      <c r="G1603">
        <v>6</v>
      </c>
      <c r="H1603">
        <v>3.6999999999999998E-2</v>
      </c>
      <c r="I1603" s="3">
        <v>1550</v>
      </c>
      <c r="J1603" s="1">
        <v>45603</v>
      </c>
      <c r="K1603" t="s">
        <v>31</v>
      </c>
      <c r="L1603" t="s">
        <v>8</v>
      </c>
      <c r="M1603" t="s">
        <v>46</v>
      </c>
      <c r="N1603" s="1">
        <f t="shared" si="150"/>
        <v>45603</v>
      </c>
      <c r="O1603" s="4">
        <f t="shared" si="151"/>
        <v>4.311506332524926E-2</v>
      </c>
      <c r="P1603">
        <f t="shared" si="152"/>
        <v>1.3400624999999999</v>
      </c>
      <c r="Q1603" s="2">
        <f t="shared" si="153"/>
        <v>21.440999999999999</v>
      </c>
      <c r="R1603" s="2">
        <f t="shared" si="154"/>
        <v>35.734999999999999</v>
      </c>
      <c r="S1603" s="2">
        <f t="shared" si="155"/>
        <v>7.2291404318828416</v>
      </c>
    </row>
    <row r="1604" spans="1:19">
      <c r="A1604" t="s">
        <v>1657</v>
      </c>
      <c r="B1604" t="s">
        <v>30</v>
      </c>
      <c r="C1604">
        <v>172</v>
      </c>
      <c r="D1604">
        <v>4841</v>
      </c>
      <c r="E1604" s="2">
        <v>234.94</v>
      </c>
      <c r="F1604">
        <v>28</v>
      </c>
      <c r="G1604">
        <v>8</v>
      </c>
      <c r="H1604">
        <v>4.5999999999999999E-2</v>
      </c>
      <c r="I1604" s="3">
        <v>1258</v>
      </c>
      <c r="J1604" s="1">
        <v>45608</v>
      </c>
      <c r="K1604" t="s">
        <v>31</v>
      </c>
      <c r="L1604" t="s">
        <v>7</v>
      </c>
      <c r="M1604" t="s">
        <v>46</v>
      </c>
      <c r="N1604" s="1">
        <f t="shared" si="150"/>
        <v>45608</v>
      </c>
      <c r="O1604" s="4">
        <f t="shared" si="151"/>
        <v>3.5529849204709772E-2</v>
      </c>
      <c r="P1604">
        <f t="shared" si="152"/>
        <v>1.3659302325581395</v>
      </c>
      <c r="Q1604" s="2">
        <f t="shared" si="153"/>
        <v>8.3907142857142851</v>
      </c>
      <c r="R1604" s="2">
        <f t="shared" si="154"/>
        <v>29.3675</v>
      </c>
      <c r="S1604" s="2">
        <f t="shared" si="155"/>
        <v>5.354558610709117</v>
      </c>
    </row>
    <row r="1605" spans="1:19" hidden="1">
      <c r="A1605" t="s">
        <v>1658</v>
      </c>
      <c r="B1605" t="s">
        <v>30</v>
      </c>
      <c r="C1605">
        <v>95</v>
      </c>
      <c r="D1605">
        <v>5411</v>
      </c>
      <c r="E1605" s="2">
        <v>182.58</v>
      </c>
      <c r="F1605">
        <v>13</v>
      </c>
      <c r="G1605">
        <v>4</v>
      </c>
      <c r="H1605">
        <v>4.2000000000000003E-2</v>
      </c>
      <c r="I1605" s="3">
        <v>1111</v>
      </c>
      <c r="J1605" s="1" t="s">
        <v>64</v>
      </c>
      <c r="K1605" t="s">
        <v>31</v>
      </c>
      <c r="L1605" t="s">
        <v>9</v>
      </c>
      <c r="M1605" t="s">
        <v>39</v>
      </c>
      <c r="N1605" s="1">
        <f t="shared" si="150"/>
        <v>45626</v>
      </c>
      <c r="O1605" s="4">
        <f t="shared" si="151"/>
        <v>1.7556828682313806E-2</v>
      </c>
      <c r="P1605">
        <f t="shared" si="152"/>
        <v>1.9218947368421053</v>
      </c>
      <c r="Q1605" s="2">
        <f t="shared" si="153"/>
        <v>14.044615384615385</v>
      </c>
      <c r="R1605" s="2">
        <f t="shared" si="154"/>
        <v>45.645000000000003</v>
      </c>
      <c r="S1605" s="2">
        <f t="shared" si="155"/>
        <v>6.0850038339358088</v>
      </c>
    </row>
    <row r="1606" spans="1:19" hidden="1">
      <c r="A1606" t="s">
        <v>1659</v>
      </c>
      <c r="B1606" t="s">
        <v>30</v>
      </c>
      <c r="C1606">
        <v>111</v>
      </c>
      <c r="D1606">
        <v>3520</v>
      </c>
      <c r="E1606" s="2">
        <v>237.4</v>
      </c>
      <c r="F1606">
        <v>13</v>
      </c>
      <c r="G1606">
        <v>3</v>
      </c>
      <c r="H1606">
        <v>2.7E-2</v>
      </c>
      <c r="I1606" s="3">
        <v>1395</v>
      </c>
      <c r="J1606" s="1">
        <v>45615</v>
      </c>
      <c r="K1606" t="s">
        <v>31</v>
      </c>
      <c r="L1606" t="s">
        <v>8</v>
      </c>
      <c r="M1606" t="s">
        <v>41</v>
      </c>
      <c r="N1606" s="1">
        <f t="shared" si="150"/>
        <v>45615</v>
      </c>
      <c r="O1606" s="4">
        <f t="shared" si="151"/>
        <v>3.1534090909090907E-2</v>
      </c>
      <c r="P1606">
        <f t="shared" si="152"/>
        <v>2.1387387387387387</v>
      </c>
      <c r="Q1606" s="2">
        <f t="shared" si="153"/>
        <v>18.261538461538461</v>
      </c>
      <c r="R1606" s="2">
        <f t="shared" si="154"/>
        <v>79.13333333333334</v>
      </c>
      <c r="S1606" s="2">
        <f t="shared" si="155"/>
        <v>5.8761583824768326</v>
      </c>
    </row>
    <row r="1607" spans="1:19" hidden="1">
      <c r="A1607" t="s">
        <v>1660</v>
      </c>
      <c r="B1607" t="s">
        <v>30</v>
      </c>
      <c r="C1607">
        <v>171</v>
      </c>
      <c r="D1607">
        <v>3460</v>
      </c>
      <c r="E1607" s="2">
        <v>184.14</v>
      </c>
      <c r="F1607">
        <v>27</v>
      </c>
      <c r="G1607">
        <v>9</v>
      </c>
      <c r="H1607">
        <v>5.2999999999999999E-2</v>
      </c>
      <c r="I1607" s="3">
        <v>1565</v>
      </c>
      <c r="J1607" s="1" t="s">
        <v>43</v>
      </c>
      <c r="K1607" t="s">
        <v>31</v>
      </c>
      <c r="L1607" t="s">
        <v>9</v>
      </c>
      <c r="M1607" t="s">
        <v>37</v>
      </c>
      <c r="N1607" s="1">
        <f t="shared" si="150"/>
        <v>45612</v>
      </c>
      <c r="O1607" s="4">
        <f t="shared" si="151"/>
        <v>4.9421965317919078E-2</v>
      </c>
      <c r="P1607">
        <f t="shared" si="152"/>
        <v>1.0768421052631578</v>
      </c>
      <c r="Q1607" s="2">
        <f t="shared" si="153"/>
        <v>6.8199999999999994</v>
      </c>
      <c r="R1607" s="2">
        <f t="shared" si="154"/>
        <v>20.459999999999997</v>
      </c>
      <c r="S1607" s="2">
        <f t="shared" si="155"/>
        <v>8.4989681763875318</v>
      </c>
    </row>
    <row r="1608" spans="1:19" hidden="1">
      <c r="A1608" t="s">
        <v>1661</v>
      </c>
      <c r="B1608" t="s">
        <v>30</v>
      </c>
      <c r="C1608">
        <v>145</v>
      </c>
      <c r="D1608">
        <v>5875</v>
      </c>
      <c r="E1608" s="2">
        <v>221</v>
      </c>
      <c r="F1608">
        <v>14</v>
      </c>
      <c r="G1608">
        <v>7</v>
      </c>
      <c r="H1608">
        <v>4.8000000000000001E-2</v>
      </c>
      <c r="I1608" s="3">
        <v>1230</v>
      </c>
      <c r="J1608" s="1">
        <v>45620</v>
      </c>
      <c r="K1608" t="s">
        <v>31</v>
      </c>
      <c r="L1608" t="s">
        <v>7</v>
      </c>
      <c r="M1608" t="s">
        <v>32</v>
      </c>
      <c r="N1608" s="1">
        <f t="shared" si="150"/>
        <v>45620</v>
      </c>
      <c r="O1608" s="4">
        <f t="shared" si="151"/>
        <v>2.4680851063829789E-2</v>
      </c>
      <c r="P1608">
        <f t="shared" si="152"/>
        <v>1.5241379310344827</v>
      </c>
      <c r="Q1608" s="2">
        <f t="shared" si="153"/>
        <v>15.785714285714286</v>
      </c>
      <c r="R1608" s="2">
        <f t="shared" si="154"/>
        <v>31.571428571428573</v>
      </c>
      <c r="S1608" s="2">
        <f t="shared" si="155"/>
        <v>5.5656108597285066</v>
      </c>
    </row>
    <row r="1609" spans="1:19" hidden="1">
      <c r="A1609" t="s">
        <v>1662</v>
      </c>
      <c r="B1609" t="s">
        <v>30</v>
      </c>
      <c r="C1609">
        <v>118</v>
      </c>
      <c r="D1609">
        <v>3404</v>
      </c>
      <c r="E1609" s="2">
        <v>183.15</v>
      </c>
      <c r="F1609">
        <v>27</v>
      </c>
      <c r="G1609">
        <v>7</v>
      </c>
      <c r="H1609">
        <v>5.8999999999999997E-2</v>
      </c>
      <c r="I1609" s="3">
        <v>1489</v>
      </c>
      <c r="J1609" s="1">
        <v>45617</v>
      </c>
      <c r="K1609" t="s">
        <v>31</v>
      </c>
      <c r="L1609" t="s">
        <v>9</v>
      </c>
      <c r="M1609" t="s">
        <v>32</v>
      </c>
      <c r="N1609" s="1">
        <f t="shared" si="150"/>
        <v>45617</v>
      </c>
      <c r="O1609" s="4">
        <f t="shared" si="151"/>
        <v>3.4665099882491189E-2</v>
      </c>
      <c r="P1609">
        <f t="shared" si="152"/>
        <v>1.5521186440677968</v>
      </c>
      <c r="Q1609" s="2">
        <f t="shared" si="153"/>
        <v>6.7833333333333332</v>
      </c>
      <c r="R1609" s="2">
        <f t="shared" si="154"/>
        <v>26.164285714285715</v>
      </c>
      <c r="S1609" s="2">
        <f t="shared" si="155"/>
        <v>8.1299481299481293</v>
      </c>
    </row>
    <row r="1610" spans="1:19">
      <c r="A1610" t="s">
        <v>1663</v>
      </c>
      <c r="B1610" t="s">
        <v>30</v>
      </c>
      <c r="C1610">
        <v>171</v>
      </c>
      <c r="D1610">
        <v>3567</v>
      </c>
      <c r="E1610" s="2">
        <v>233.32</v>
      </c>
      <c r="F1610">
        <v>27</v>
      </c>
      <c r="G1610">
        <v>4</v>
      </c>
      <c r="H1610">
        <v>4.5999999999999999E-2</v>
      </c>
      <c r="I1610" s="3">
        <v>1271</v>
      </c>
      <c r="J1610" s="1">
        <v>45601</v>
      </c>
      <c r="K1610" t="s">
        <v>31</v>
      </c>
      <c r="L1610" t="s">
        <v>7</v>
      </c>
      <c r="M1610" t="s">
        <v>46</v>
      </c>
      <c r="N1610" s="1">
        <f t="shared" si="150"/>
        <v>45601</v>
      </c>
      <c r="O1610" s="4">
        <f t="shared" si="151"/>
        <v>4.7939444911690499E-2</v>
      </c>
      <c r="P1610">
        <f t="shared" si="152"/>
        <v>1.3644444444444443</v>
      </c>
      <c r="Q1610" s="2">
        <f t="shared" si="153"/>
        <v>8.6414814814814811</v>
      </c>
      <c r="R1610" s="2">
        <f t="shared" si="154"/>
        <v>58.33</v>
      </c>
      <c r="S1610" s="2">
        <f t="shared" si="155"/>
        <v>5.4474541402365855</v>
      </c>
    </row>
    <row r="1611" spans="1:19" hidden="1">
      <c r="A1611" t="s">
        <v>1664</v>
      </c>
      <c r="B1611" t="s">
        <v>30</v>
      </c>
      <c r="C1611">
        <v>108</v>
      </c>
      <c r="D1611">
        <v>3628</v>
      </c>
      <c r="E1611" s="2">
        <v>185.68</v>
      </c>
      <c r="F1611">
        <v>24</v>
      </c>
      <c r="G1611">
        <v>8</v>
      </c>
      <c r="H1611">
        <v>7.3999999999999996E-2</v>
      </c>
      <c r="I1611" s="3">
        <v>1682</v>
      </c>
      <c r="J1611" s="1">
        <v>45615</v>
      </c>
      <c r="K1611" t="s">
        <v>31</v>
      </c>
      <c r="L1611" t="s">
        <v>9</v>
      </c>
      <c r="M1611" t="s">
        <v>32</v>
      </c>
      <c r="N1611" s="1">
        <f t="shared" si="150"/>
        <v>45615</v>
      </c>
      <c r="O1611" s="4">
        <f t="shared" si="151"/>
        <v>2.9768467475192944E-2</v>
      </c>
      <c r="P1611">
        <f t="shared" si="152"/>
        <v>1.7192592592592593</v>
      </c>
      <c r="Q1611" s="2">
        <f t="shared" si="153"/>
        <v>7.7366666666666672</v>
      </c>
      <c r="R1611" s="2">
        <f t="shared" si="154"/>
        <v>23.21</v>
      </c>
      <c r="S1611" s="2">
        <f t="shared" si="155"/>
        <v>9.0585954330030152</v>
      </c>
    </row>
    <row r="1612" spans="1:19" hidden="1">
      <c r="A1612" t="s">
        <v>1665</v>
      </c>
      <c r="B1612" t="s">
        <v>30</v>
      </c>
      <c r="C1612">
        <v>100</v>
      </c>
      <c r="D1612">
        <v>4994</v>
      </c>
      <c r="E1612" s="2">
        <v>206.32</v>
      </c>
      <c r="F1612">
        <v>21</v>
      </c>
      <c r="G1612">
        <v>7</v>
      </c>
      <c r="H1612">
        <v>0.04</v>
      </c>
      <c r="I1612" s="3">
        <v>1673</v>
      </c>
      <c r="J1612" s="1">
        <v>45616</v>
      </c>
      <c r="K1612" t="s">
        <v>31</v>
      </c>
      <c r="L1612" t="s">
        <v>9</v>
      </c>
      <c r="M1612" t="s">
        <v>32</v>
      </c>
      <c r="N1612" s="1">
        <f t="shared" si="150"/>
        <v>45616</v>
      </c>
      <c r="O1612" s="4">
        <f t="shared" si="151"/>
        <v>2.0024028834601523E-2</v>
      </c>
      <c r="P1612">
        <f t="shared" si="152"/>
        <v>2.0632000000000001</v>
      </c>
      <c r="Q1612" s="2">
        <f t="shared" si="153"/>
        <v>9.824761904761905</v>
      </c>
      <c r="R1612" s="2">
        <f t="shared" si="154"/>
        <v>29.474285714285713</v>
      </c>
      <c r="S1612" s="2">
        <f t="shared" si="155"/>
        <v>8.1087630864676239</v>
      </c>
    </row>
    <row r="1613" spans="1:19" hidden="1">
      <c r="A1613" t="s">
        <v>1666</v>
      </c>
      <c r="B1613" t="s">
        <v>30</v>
      </c>
      <c r="C1613">
        <v>138</v>
      </c>
      <c r="D1613">
        <v>5758</v>
      </c>
      <c r="E1613" s="2">
        <v>193.53</v>
      </c>
      <c r="F1613">
        <v>14</v>
      </c>
      <c r="G1613">
        <v>4</v>
      </c>
      <c r="H1613">
        <v>2.9000000000000001E-2</v>
      </c>
      <c r="I1613" s="3">
        <v>1902</v>
      </c>
      <c r="J1613" s="1">
        <v>45611</v>
      </c>
      <c r="K1613" t="s">
        <v>31</v>
      </c>
      <c r="L1613" t="s">
        <v>9</v>
      </c>
      <c r="M1613" t="s">
        <v>46</v>
      </c>
      <c r="N1613" s="1">
        <f t="shared" si="150"/>
        <v>45611</v>
      </c>
      <c r="O1613" s="4">
        <f t="shared" si="151"/>
        <v>2.396665508857242E-2</v>
      </c>
      <c r="P1613">
        <f t="shared" si="152"/>
        <v>1.402391304347826</v>
      </c>
      <c r="Q1613" s="2">
        <f t="shared" si="153"/>
        <v>13.823571428571428</v>
      </c>
      <c r="R1613" s="2">
        <f t="shared" si="154"/>
        <v>48.3825</v>
      </c>
      <c r="S1613" s="2">
        <f t="shared" si="155"/>
        <v>9.8279336536971016</v>
      </c>
    </row>
    <row r="1614" spans="1:19" hidden="1">
      <c r="A1614" t="s">
        <v>1667</v>
      </c>
      <c r="B1614" t="s">
        <v>30</v>
      </c>
      <c r="C1614">
        <v>88</v>
      </c>
      <c r="D1614">
        <v>3382</v>
      </c>
      <c r="E1614" s="2">
        <v>198.62</v>
      </c>
      <c r="F1614">
        <v>25</v>
      </c>
      <c r="G1614">
        <v>9</v>
      </c>
      <c r="H1614">
        <v>0.10199999999999999</v>
      </c>
      <c r="I1614" s="3">
        <v>1599</v>
      </c>
      <c r="J1614" s="1">
        <v>45576</v>
      </c>
      <c r="K1614" t="s">
        <v>31</v>
      </c>
      <c r="L1614" t="s">
        <v>7</v>
      </c>
      <c r="M1614" t="s">
        <v>39</v>
      </c>
      <c r="N1614" s="1">
        <f t="shared" si="150"/>
        <v>45576</v>
      </c>
      <c r="O1614" s="4">
        <f t="shared" si="151"/>
        <v>2.6020106445890007E-2</v>
      </c>
      <c r="P1614">
        <f t="shared" si="152"/>
        <v>2.2570454545454548</v>
      </c>
      <c r="Q1614" s="2">
        <f t="shared" si="153"/>
        <v>7.9447999999999999</v>
      </c>
      <c r="R1614" s="2">
        <f t="shared" si="154"/>
        <v>22.068888888888889</v>
      </c>
      <c r="S1614" s="2">
        <f t="shared" si="155"/>
        <v>8.050548786627731</v>
      </c>
    </row>
    <row r="1615" spans="1:19" hidden="1">
      <c r="A1615" t="s">
        <v>1668</v>
      </c>
      <c r="B1615" t="s">
        <v>30</v>
      </c>
      <c r="C1615">
        <v>125</v>
      </c>
      <c r="D1615">
        <v>3652</v>
      </c>
      <c r="E1615" s="2">
        <v>186.61</v>
      </c>
      <c r="F1615">
        <v>29</v>
      </c>
      <c r="G1615">
        <v>10</v>
      </c>
      <c r="H1615">
        <v>0.08</v>
      </c>
      <c r="I1615" s="3">
        <v>1017</v>
      </c>
      <c r="J1615" s="1">
        <v>45625</v>
      </c>
      <c r="K1615" t="s">
        <v>31</v>
      </c>
      <c r="L1615" t="s">
        <v>8</v>
      </c>
      <c r="M1615" t="s">
        <v>32</v>
      </c>
      <c r="N1615" s="1">
        <f t="shared" si="150"/>
        <v>45625</v>
      </c>
      <c r="O1615" s="4">
        <f t="shared" si="151"/>
        <v>3.4227820372398687E-2</v>
      </c>
      <c r="P1615">
        <f t="shared" si="152"/>
        <v>1.4928800000000002</v>
      </c>
      <c r="Q1615" s="2">
        <f t="shared" si="153"/>
        <v>6.4348275862068967</v>
      </c>
      <c r="R1615" s="2">
        <f t="shared" si="154"/>
        <v>18.661000000000001</v>
      </c>
      <c r="S1615" s="2">
        <f t="shared" si="155"/>
        <v>5.4498687101441501</v>
      </c>
    </row>
    <row r="1616" spans="1:19" hidden="1">
      <c r="A1616" t="s">
        <v>1669</v>
      </c>
      <c r="B1616" t="s">
        <v>30</v>
      </c>
      <c r="C1616">
        <v>169</v>
      </c>
      <c r="D1616">
        <v>4120</v>
      </c>
      <c r="E1616" s="2">
        <v>215.75</v>
      </c>
      <c r="F1616">
        <v>27</v>
      </c>
      <c r="G1616">
        <v>5</v>
      </c>
      <c r="H1616">
        <v>0.03</v>
      </c>
      <c r="I1616" s="3">
        <v>1362</v>
      </c>
      <c r="J1616" s="1">
        <v>45615</v>
      </c>
      <c r="K1616" t="s">
        <v>31</v>
      </c>
      <c r="L1616" t="s">
        <v>8</v>
      </c>
      <c r="M1616" t="s">
        <v>46</v>
      </c>
      <c r="N1616" s="1">
        <f t="shared" si="150"/>
        <v>45615</v>
      </c>
      <c r="O1616" s="4">
        <f t="shared" si="151"/>
        <v>4.1019417475728154E-2</v>
      </c>
      <c r="P1616">
        <f t="shared" si="152"/>
        <v>1.2766272189349113</v>
      </c>
      <c r="Q1616" s="2">
        <f t="shared" si="153"/>
        <v>7.9907407407407405</v>
      </c>
      <c r="R1616" s="2">
        <f t="shared" si="154"/>
        <v>43.15</v>
      </c>
      <c r="S1616" s="2">
        <f t="shared" si="155"/>
        <v>6.3128621089223635</v>
      </c>
    </row>
    <row r="1617" spans="1:19" hidden="1">
      <c r="A1617" t="s">
        <v>1670</v>
      </c>
      <c r="B1617" t="s">
        <v>30</v>
      </c>
      <c r="C1617">
        <v>169</v>
      </c>
      <c r="D1617">
        <v>3142</v>
      </c>
      <c r="E1617" s="2">
        <v>236.79</v>
      </c>
      <c r="F1617">
        <v>18</v>
      </c>
      <c r="G1617">
        <v>7</v>
      </c>
      <c r="H1617">
        <v>4.1000000000000002E-2</v>
      </c>
      <c r="I1617" s="3">
        <v>1505</v>
      </c>
      <c r="J1617" s="1">
        <v>45602</v>
      </c>
      <c r="K1617" t="s">
        <v>31</v>
      </c>
      <c r="L1617" t="s">
        <v>8</v>
      </c>
      <c r="M1617" t="s">
        <v>37</v>
      </c>
      <c r="N1617" s="1">
        <f t="shared" si="150"/>
        <v>45602</v>
      </c>
      <c r="O1617" s="4">
        <f t="shared" si="151"/>
        <v>5.3787396562698916E-2</v>
      </c>
      <c r="P1617">
        <f t="shared" si="152"/>
        <v>1.4011242603550296</v>
      </c>
      <c r="Q1617" s="2">
        <f t="shared" si="153"/>
        <v>13.154999999999999</v>
      </c>
      <c r="R1617" s="2">
        <f t="shared" si="154"/>
        <v>33.827142857142853</v>
      </c>
      <c r="S1617" s="2">
        <f t="shared" si="155"/>
        <v>6.3558427298450102</v>
      </c>
    </row>
    <row r="1618" spans="1:19" hidden="1">
      <c r="A1618" t="s">
        <v>1671</v>
      </c>
      <c r="B1618" t="s">
        <v>30</v>
      </c>
      <c r="C1618">
        <v>149</v>
      </c>
      <c r="D1618">
        <v>5726</v>
      </c>
      <c r="E1618" s="2">
        <v>235.72</v>
      </c>
      <c r="F1618">
        <v>17</v>
      </c>
      <c r="G1618">
        <v>7</v>
      </c>
      <c r="H1618">
        <v>4.7E-2</v>
      </c>
      <c r="I1618" s="3">
        <v>1902</v>
      </c>
      <c r="J1618" s="1">
        <v>45607</v>
      </c>
      <c r="K1618" t="s">
        <v>31</v>
      </c>
      <c r="L1618" t="s">
        <v>8</v>
      </c>
      <c r="M1618" t="s">
        <v>37</v>
      </c>
      <c r="N1618" s="1">
        <f t="shared" si="150"/>
        <v>45607</v>
      </c>
      <c r="O1618" s="4">
        <f t="shared" si="151"/>
        <v>2.6021655606007683E-2</v>
      </c>
      <c r="P1618">
        <f t="shared" si="152"/>
        <v>1.5820134228187919</v>
      </c>
      <c r="Q1618" s="2">
        <f t="shared" si="153"/>
        <v>13.865882352941176</v>
      </c>
      <c r="R1618" s="2">
        <f t="shared" si="154"/>
        <v>33.674285714285716</v>
      </c>
      <c r="S1618" s="2">
        <f t="shared" si="155"/>
        <v>8.06889529950789</v>
      </c>
    </row>
    <row r="1619" spans="1:19" hidden="1">
      <c r="A1619" t="s">
        <v>1672</v>
      </c>
      <c r="B1619" t="s">
        <v>30</v>
      </c>
      <c r="C1619">
        <v>99</v>
      </c>
      <c r="D1619">
        <v>5938</v>
      </c>
      <c r="E1619" s="2">
        <v>183.49</v>
      </c>
      <c r="F1619">
        <v>30</v>
      </c>
      <c r="G1619">
        <v>3</v>
      </c>
      <c r="H1619">
        <v>0.03</v>
      </c>
      <c r="I1619" s="3">
        <v>1487</v>
      </c>
      <c r="J1619" s="1" t="s">
        <v>105</v>
      </c>
      <c r="K1619" t="s">
        <v>31</v>
      </c>
      <c r="L1619" t="s">
        <v>8</v>
      </c>
      <c r="M1619" t="s">
        <v>37</v>
      </c>
      <c r="N1619" s="1">
        <f t="shared" si="150"/>
        <v>45614</v>
      </c>
      <c r="O1619" s="4">
        <f t="shared" si="151"/>
        <v>1.6672280229033345E-2</v>
      </c>
      <c r="P1619">
        <f t="shared" si="152"/>
        <v>1.8534343434343434</v>
      </c>
      <c r="Q1619" s="2">
        <f t="shared" si="153"/>
        <v>6.1163333333333334</v>
      </c>
      <c r="R1619" s="2">
        <f t="shared" si="154"/>
        <v>61.163333333333334</v>
      </c>
      <c r="S1619" s="2">
        <f t="shared" si="155"/>
        <v>8.1039838683306993</v>
      </c>
    </row>
    <row r="1620" spans="1:19" hidden="1">
      <c r="A1620" t="s">
        <v>1673</v>
      </c>
      <c r="B1620" t="s">
        <v>30</v>
      </c>
      <c r="C1620">
        <v>177</v>
      </c>
      <c r="D1620">
        <v>3567</v>
      </c>
      <c r="E1620" s="2">
        <v>214.71</v>
      </c>
      <c r="F1620">
        <v>28</v>
      </c>
      <c r="G1620">
        <v>5</v>
      </c>
      <c r="H1620">
        <v>2.8000000000000001E-2</v>
      </c>
      <c r="I1620" s="3">
        <v>1001</v>
      </c>
      <c r="J1620" s="1">
        <v>45607</v>
      </c>
      <c r="K1620" t="s">
        <v>31</v>
      </c>
      <c r="L1620" t="s">
        <v>9</v>
      </c>
      <c r="M1620" t="s">
        <v>46</v>
      </c>
      <c r="N1620" s="1">
        <f t="shared" si="150"/>
        <v>45607</v>
      </c>
      <c r="O1620" s="4">
        <f t="shared" si="151"/>
        <v>4.9621530698065602E-2</v>
      </c>
      <c r="P1620">
        <f t="shared" si="152"/>
        <v>1.2130508474576271</v>
      </c>
      <c r="Q1620" s="2">
        <f t="shared" si="153"/>
        <v>7.6682142857142859</v>
      </c>
      <c r="R1620" s="2">
        <f t="shared" si="154"/>
        <v>42.942</v>
      </c>
      <c r="S1620" s="2">
        <f t="shared" si="155"/>
        <v>4.6621023706394666</v>
      </c>
    </row>
    <row r="1621" spans="1:19" hidden="1">
      <c r="A1621" t="s">
        <v>1674</v>
      </c>
      <c r="B1621" t="s">
        <v>30</v>
      </c>
      <c r="C1621">
        <v>189</v>
      </c>
      <c r="D1621">
        <v>3215</v>
      </c>
      <c r="E1621" s="2">
        <v>224.53</v>
      </c>
      <c r="F1621">
        <v>23</v>
      </c>
      <c r="G1621">
        <v>7</v>
      </c>
      <c r="H1621">
        <v>5.1999999999999998E-2</v>
      </c>
      <c r="I1621" s="3">
        <v>1309</v>
      </c>
      <c r="J1621" s="1">
        <v>45611</v>
      </c>
      <c r="K1621" t="s">
        <v>31</v>
      </c>
      <c r="L1621" t="s">
        <v>7</v>
      </c>
      <c r="M1621" t="s">
        <v>41</v>
      </c>
      <c r="N1621" s="1">
        <f t="shared" si="150"/>
        <v>45611</v>
      </c>
      <c r="O1621" s="4">
        <f t="shared" si="151"/>
        <v>5.8786936236391911E-2</v>
      </c>
      <c r="P1621">
        <f t="shared" si="152"/>
        <v>1.1879894179894179</v>
      </c>
      <c r="Q1621" s="2">
        <f t="shared" si="153"/>
        <v>9.7621739130434779</v>
      </c>
      <c r="R1621" s="2">
        <f t="shared" si="154"/>
        <v>32.075714285714284</v>
      </c>
      <c r="S1621" s="2">
        <f t="shared" si="155"/>
        <v>5.8299559078964949</v>
      </c>
    </row>
    <row r="1622" spans="1:19">
      <c r="A1622" t="s">
        <v>1675</v>
      </c>
      <c r="B1622" t="s">
        <v>30</v>
      </c>
      <c r="C1622">
        <v>94</v>
      </c>
      <c r="D1622">
        <v>5094</v>
      </c>
      <c r="E1622" s="2">
        <v>215.57</v>
      </c>
      <c r="F1622">
        <v>24</v>
      </c>
      <c r="G1622">
        <v>3</v>
      </c>
      <c r="H1622">
        <v>4.5999999999999999E-2</v>
      </c>
      <c r="I1622" s="3">
        <v>1974</v>
      </c>
      <c r="J1622" s="1">
        <v>45546</v>
      </c>
      <c r="K1622" t="s">
        <v>31</v>
      </c>
      <c r="L1622" t="s">
        <v>7</v>
      </c>
      <c r="M1622" t="s">
        <v>41</v>
      </c>
      <c r="N1622" s="1">
        <f t="shared" si="150"/>
        <v>45546</v>
      </c>
      <c r="O1622" s="4">
        <f t="shared" si="151"/>
        <v>1.845308205732234E-2</v>
      </c>
      <c r="P1622">
        <f t="shared" si="152"/>
        <v>2.2932978723404256</v>
      </c>
      <c r="Q1622" s="2">
        <f t="shared" si="153"/>
        <v>8.9820833333333336</v>
      </c>
      <c r="R1622" s="2">
        <f t="shared" si="154"/>
        <v>71.856666666666669</v>
      </c>
      <c r="S1622" s="2">
        <f t="shared" si="155"/>
        <v>9.1571183374309975</v>
      </c>
    </row>
    <row r="1623" spans="1:19" hidden="1">
      <c r="A1623" t="s">
        <v>1676</v>
      </c>
      <c r="B1623" t="s">
        <v>30</v>
      </c>
      <c r="C1623">
        <v>191</v>
      </c>
      <c r="D1623">
        <v>3337</v>
      </c>
      <c r="E1623" s="2">
        <v>231</v>
      </c>
      <c r="F1623">
        <v>29</v>
      </c>
      <c r="G1623">
        <v>6</v>
      </c>
      <c r="H1623">
        <v>3.1E-2</v>
      </c>
      <c r="I1623" s="3">
        <v>1424</v>
      </c>
      <c r="J1623" s="1">
        <v>45614</v>
      </c>
      <c r="K1623" t="s">
        <v>31</v>
      </c>
      <c r="L1623" t="s">
        <v>9</v>
      </c>
      <c r="M1623" t="s">
        <v>35</v>
      </c>
      <c r="N1623" s="1">
        <f t="shared" si="150"/>
        <v>45614</v>
      </c>
      <c r="O1623" s="4">
        <f t="shared" si="151"/>
        <v>5.7237039256817501E-2</v>
      </c>
      <c r="P1623">
        <f t="shared" si="152"/>
        <v>1.2094240837696335</v>
      </c>
      <c r="Q1623" s="2">
        <f t="shared" si="153"/>
        <v>7.9655172413793105</v>
      </c>
      <c r="R1623" s="2">
        <f t="shared" si="154"/>
        <v>38.5</v>
      </c>
      <c r="S1623" s="2">
        <f t="shared" si="155"/>
        <v>6.1645021645021645</v>
      </c>
    </row>
    <row r="1624" spans="1:19" hidden="1">
      <c r="A1624" t="s">
        <v>1677</v>
      </c>
      <c r="B1624" t="s">
        <v>30</v>
      </c>
      <c r="C1624">
        <v>83</v>
      </c>
      <c r="D1624">
        <v>4359</v>
      </c>
      <c r="E1624" s="2">
        <v>227.14</v>
      </c>
      <c r="F1624">
        <v>20</v>
      </c>
      <c r="G1624">
        <v>10</v>
      </c>
      <c r="H1624">
        <v>0.12</v>
      </c>
      <c r="I1624" s="3">
        <v>1505</v>
      </c>
      <c r="J1624" s="1">
        <v>45598</v>
      </c>
      <c r="K1624" t="s">
        <v>31</v>
      </c>
      <c r="L1624" t="s">
        <v>7</v>
      </c>
      <c r="M1624" t="s">
        <v>37</v>
      </c>
      <c r="N1624" s="1">
        <f t="shared" si="150"/>
        <v>45598</v>
      </c>
      <c r="O1624" s="4">
        <f t="shared" si="151"/>
        <v>1.9041064464326681E-2</v>
      </c>
      <c r="P1624">
        <f t="shared" si="152"/>
        <v>2.7366265060240962</v>
      </c>
      <c r="Q1624" s="2">
        <f t="shared" si="153"/>
        <v>11.356999999999999</v>
      </c>
      <c r="R1624" s="2">
        <f t="shared" si="154"/>
        <v>22.713999999999999</v>
      </c>
      <c r="S1624" s="2">
        <f t="shared" si="155"/>
        <v>6.6258695077925509</v>
      </c>
    </row>
    <row r="1625" spans="1:19">
      <c r="A1625" t="s">
        <v>1678</v>
      </c>
      <c r="B1625" t="s">
        <v>30</v>
      </c>
      <c r="C1625">
        <v>148</v>
      </c>
      <c r="D1625">
        <v>4813</v>
      </c>
      <c r="E1625" s="2">
        <v>212.78</v>
      </c>
      <c r="F1625">
        <v>12</v>
      </c>
      <c r="G1625">
        <v>7</v>
      </c>
      <c r="H1625">
        <v>4.5999999999999999E-2</v>
      </c>
      <c r="I1625" s="3">
        <v>1833</v>
      </c>
      <c r="J1625" s="1">
        <v>45619</v>
      </c>
      <c r="K1625" t="s">
        <v>31</v>
      </c>
      <c r="L1625" t="s">
        <v>8</v>
      </c>
      <c r="M1625" t="s">
        <v>41</v>
      </c>
      <c r="N1625" s="1">
        <f t="shared" si="150"/>
        <v>45619</v>
      </c>
      <c r="O1625" s="4">
        <f t="shared" si="151"/>
        <v>3.0750051942655308E-2</v>
      </c>
      <c r="P1625">
        <f t="shared" si="152"/>
        <v>1.4377027027027027</v>
      </c>
      <c r="Q1625" s="2">
        <f t="shared" si="153"/>
        <v>17.731666666666666</v>
      </c>
      <c r="R1625" s="2">
        <f t="shared" si="154"/>
        <v>30.397142857142857</v>
      </c>
      <c r="S1625" s="2">
        <f t="shared" si="155"/>
        <v>8.6145314409248996</v>
      </c>
    </row>
    <row r="1626" spans="1:19" hidden="1">
      <c r="A1626" t="s">
        <v>1679</v>
      </c>
      <c r="B1626" t="s">
        <v>30</v>
      </c>
      <c r="C1626">
        <v>125</v>
      </c>
      <c r="D1626">
        <v>4300</v>
      </c>
      <c r="E1626" s="2">
        <v>221.37</v>
      </c>
      <c r="F1626">
        <v>16</v>
      </c>
      <c r="G1626">
        <v>10</v>
      </c>
      <c r="H1626">
        <v>0.08</v>
      </c>
      <c r="I1626" s="3">
        <v>1066</v>
      </c>
      <c r="J1626" s="1">
        <v>45623</v>
      </c>
      <c r="K1626" t="s">
        <v>31</v>
      </c>
      <c r="L1626" t="s">
        <v>9</v>
      </c>
      <c r="M1626" t="s">
        <v>35</v>
      </c>
      <c r="N1626" s="1">
        <f t="shared" si="150"/>
        <v>45623</v>
      </c>
      <c r="O1626" s="4">
        <f t="shared" si="151"/>
        <v>2.9069767441860465E-2</v>
      </c>
      <c r="P1626">
        <f t="shared" si="152"/>
        <v>1.7709600000000001</v>
      </c>
      <c r="Q1626" s="2">
        <f t="shared" si="153"/>
        <v>13.835625</v>
      </c>
      <c r="R1626" s="2">
        <f t="shared" si="154"/>
        <v>22.137</v>
      </c>
      <c r="S1626" s="2">
        <f t="shared" si="155"/>
        <v>4.8154673171613132</v>
      </c>
    </row>
    <row r="1627" spans="1:19">
      <c r="A1627" t="s">
        <v>1680</v>
      </c>
      <c r="B1627" t="s">
        <v>30</v>
      </c>
      <c r="C1627">
        <v>105</v>
      </c>
      <c r="D1627">
        <v>4094</v>
      </c>
      <c r="E1627" s="2">
        <v>183.47</v>
      </c>
      <c r="F1627">
        <v>11</v>
      </c>
      <c r="G1627">
        <v>6</v>
      </c>
      <c r="H1627">
        <v>4.5999999999999999E-2</v>
      </c>
      <c r="I1627" s="3">
        <v>1817</v>
      </c>
      <c r="J1627" s="1">
        <v>45621</v>
      </c>
      <c r="K1627" t="s">
        <v>31</v>
      </c>
      <c r="L1627" t="s">
        <v>8</v>
      </c>
      <c r="M1627" t="s">
        <v>41</v>
      </c>
      <c r="N1627" s="1">
        <f t="shared" si="150"/>
        <v>45621</v>
      </c>
      <c r="O1627" s="4">
        <f t="shared" si="151"/>
        <v>2.5647288715192965E-2</v>
      </c>
      <c r="P1627">
        <f t="shared" si="152"/>
        <v>1.7473333333333334</v>
      </c>
      <c r="Q1627" s="2">
        <f t="shared" si="153"/>
        <v>16.67909090909091</v>
      </c>
      <c r="R1627" s="2">
        <f t="shared" si="154"/>
        <v>30.578333333333333</v>
      </c>
      <c r="S1627" s="2">
        <f t="shared" si="155"/>
        <v>9.9035264620918948</v>
      </c>
    </row>
    <row r="1628" spans="1:19" hidden="1">
      <c r="A1628" t="s">
        <v>1681</v>
      </c>
      <c r="B1628" t="s">
        <v>30</v>
      </c>
      <c r="C1628">
        <v>84</v>
      </c>
      <c r="D1628">
        <v>4263</v>
      </c>
      <c r="E1628" s="2">
        <v>234.62</v>
      </c>
      <c r="F1628">
        <v>29</v>
      </c>
      <c r="G1628">
        <v>9</v>
      </c>
      <c r="H1628">
        <v>0.107</v>
      </c>
      <c r="I1628" s="3">
        <v>1599</v>
      </c>
      <c r="J1628" s="1" t="s">
        <v>105</v>
      </c>
      <c r="K1628" t="s">
        <v>31</v>
      </c>
      <c r="L1628" t="s">
        <v>8</v>
      </c>
      <c r="M1628" t="s">
        <v>32</v>
      </c>
      <c r="N1628" s="1">
        <f t="shared" si="150"/>
        <v>45614</v>
      </c>
      <c r="O1628" s="4">
        <f t="shared" si="151"/>
        <v>1.9704433497536946E-2</v>
      </c>
      <c r="P1628">
        <f t="shared" si="152"/>
        <v>2.7930952380952383</v>
      </c>
      <c r="Q1628" s="2">
        <f t="shared" si="153"/>
        <v>8.0903448275862075</v>
      </c>
      <c r="R1628" s="2">
        <f t="shared" si="154"/>
        <v>26.068888888888889</v>
      </c>
      <c r="S1628" s="2">
        <f t="shared" si="155"/>
        <v>6.8152757650669162</v>
      </c>
    </row>
    <row r="1629" spans="1:19">
      <c r="A1629" t="s">
        <v>1682</v>
      </c>
      <c r="B1629" t="s">
        <v>30</v>
      </c>
      <c r="C1629">
        <v>114</v>
      </c>
      <c r="D1629">
        <v>3472</v>
      </c>
      <c r="E1629" s="2">
        <v>242.89</v>
      </c>
      <c r="F1629">
        <v>16</v>
      </c>
      <c r="G1629">
        <v>10</v>
      </c>
      <c r="H1629">
        <v>4.5999999999999999E-2</v>
      </c>
      <c r="I1629" s="3">
        <v>1642</v>
      </c>
      <c r="J1629" s="1">
        <v>45624</v>
      </c>
      <c r="K1629" t="s">
        <v>31</v>
      </c>
      <c r="L1629" t="s">
        <v>9</v>
      </c>
      <c r="M1629" t="s">
        <v>46</v>
      </c>
      <c r="N1629" s="1">
        <f t="shared" si="150"/>
        <v>45624</v>
      </c>
      <c r="O1629" s="4">
        <f t="shared" si="151"/>
        <v>3.2834101382488476E-2</v>
      </c>
      <c r="P1629">
        <f t="shared" si="152"/>
        <v>2.130614035087719</v>
      </c>
      <c r="Q1629" s="2">
        <f t="shared" si="153"/>
        <v>15.180624999999999</v>
      </c>
      <c r="R1629" s="2">
        <f t="shared" si="154"/>
        <v>24.288999999999998</v>
      </c>
      <c r="S1629" s="2">
        <f t="shared" si="155"/>
        <v>6.7602618469265927</v>
      </c>
    </row>
    <row r="1630" spans="1:19" hidden="1">
      <c r="A1630" t="s">
        <v>1683</v>
      </c>
      <c r="B1630" t="s">
        <v>30</v>
      </c>
      <c r="C1630">
        <v>129</v>
      </c>
      <c r="D1630">
        <v>4411</v>
      </c>
      <c r="E1630" s="2">
        <v>180.17</v>
      </c>
      <c r="F1630">
        <v>28</v>
      </c>
      <c r="G1630">
        <v>5</v>
      </c>
      <c r="H1630">
        <v>3.9E-2</v>
      </c>
      <c r="I1630" s="3">
        <v>1173</v>
      </c>
      <c r="J1630" s="1">
        <v>45576</v>
      </c>
      <c r="K1630" t="s">
        <v>31</v>
      </c>
      <c r="L1630" t="s">
        <v>7</v>
      </c>
      <c r="M1630" t="s">
        <v>37</v>
      </c>
      <c r="N1630" s="1">
        <f t="shared" si="150"/>
        <v>45576</v>
      </c>
      <c r="O1630" s="4">
        <f t="shared" si="151"/>
        <v>2.9245069145318523E-2</v>
      </c>
      <c r="P1630">
        <f t="shared" si="152"/>
        <v>1.3966666666666665</v>
      </c>
      <c r="Q1630" s="2">
        <f t="shared" si="153"/>
        <v>6.4346428571428564</v>
      </c>
      <c r="R1630" s="2">
        <f t="shared" si="154"/>
        <v>36.033999999999999</v>
      </c>
      <c r="S1630" s="2">
        <f t="shared" si="155"/>
        <v>6.5105178442582012</v>
      </c>
    </row>
    <row r="1631" spans="1:19" hidden="1">
      <c r="A1631" t="s">
        <v>1684</v>
      </c>
      <c r="B1631" t="s">
        <v>30</v>
      </c>
      <c r="C1631">
        <v>128</v>
      </c>
      <c r="D1631">
        <v>4787</v>
      </c>
      <c r="E1631" s="2">
        <v>204.29</v>
      </c>
      <c r="F1631">
        <v>20</v>
      </c>
      <c r="G1631">
        <v>7</v>
      </c>
      <c r="H1631">
        <v>5.8999999999999997E-2</v>
      </c>
      <c r="I1631" s="3">
        <v>1880</v>
      </c>
      <c r="J1631" s="1">
        <v>45625</v>
      </c>
      <c r="K1631" t="s">
        <v>31</v>
      </c>
      <c r="L1631" t="s">
        <v>7</v>
      </c>
      <c r="M1631" t="s">
        <v>39</v>
      </c>
      <c r="N1631" s="1">
        <f t="shared" si="150"/>
        <v>45625</v>
      </c>
      <c r="O1631" s="4">
        <f t="shared" si="151"/>
        <v>2.6739085021934405E-2</v>
      </c>
      <c r="P1631">
        <f t="shared" si="152"/>
        <v>1.5960156249999999</v>
      </c>
      <c r="Q1631" s="2">
        <f t="shared" si="153"/>
        <v>10.214499999999999</v>
      </c>
      <c r="R1631" s="2">
        <f t="shared" si="154"/>
        <v>29.184285714285714</v>
      </c>
      <c r="S1631" s="2">
        <f t="shared" si="155"/>
        <v>9.2026041411718644</v>
      </c>
    </row>
    <row r="1632" spans="1:19">
      <c r="A1632" t="s">
        <v>1685</v>
      </c>
      <c r="B1632" t="s">
        <v>30</v>
      </c>
      <c r="C1632">
        <v>120</v>
      </c>
      <c r="D1632">
        <v>5915</v>
      </c>
      <c r="E1632" s="2">
        <v>241.95</v>
      </c>
      <c r="F1632">
        <v>26</v>
      </c>
      <c r="G1632">
        <v>3</v>
      </c>
      <c r="H1632">
        <v>4.5999999999999999E-2</v>
      </c>
      <c r="I1632" s="3">
        <v>1253</v>
      </c>
      <c r="J1632" s="1">
        <v>45621</v>
      </c>
      <c r="K1632" t="s">
        <v>31</v>
      </c>
      <c r="L1632" t="s">
        <v>7</v>
      </c>
      <c r="M1632" t="s">
        <v>46</v>
      </c>
      <c r="N1632" s="1">
        <f t="shared" si="150"/>
        <v>45621</v>
      </c>
      <c r="O1632" s="4">
        <f t="shared" si="151"/>
        <v>2.0287404902789519E-2</v>
      </c>
      <c r="P1632">
        <f t="shared" si="152"/>
        <v>2.0162499999999999</v>
      </c>
      <c r="Q1632" s="2">
        <f t="shared" si="153"/>
        <v>9.305769230769231</v>
      </c>
      <c r="R1632" s="2">
        <f t="shared" si="154"/>
        <v>80.649999999999991</v>
      </c>
      <c r="S1632" s="2">
        <f t="shared" si="155"/>
        <v>5.1787559413101887</v>
      </c>
    </row>
    <row r="1633" spans="1:19">
      <c r="A1633" t="s">
        <v>1686</v>
      </c>
      <c r="B1633" t="s">
        <v>30</v>
      </c>
      <c r="C1633">
        <v>99</v>
      </c>
      <c r="D1633">
        <v>4111</v>
      </c>
      <c r="E1633" s="2">
        <v>192.09</v>
      </c>
      <c r="F1633">
        <v>14</v>
      </c>
      <c r="G1633">
        <v>5</v>
      </c>
      <c r="H1633">
        <v>4.5999999999999999E-2</v>
      </c>
      <c r="I1633" s="3">
        <v>1497</v>
      </c>
      <c r="J1633" s="1">
        <v>45615</v>
      </c>
      <c r="K1633" t="s">
        <v>31</v>
      </c>
      <c r="L1633" t="s">
        <v>8</v>
      </c>
      <c r="M1633" t="s">
        <v>46</v>
      </c>
      <c r="N1633" s="1">
        <f t="shared" si="150"/>
        <v>45615</v>
      </c>
      <c r="O1633" s="4">
        <f t="shared" si="151"/>
        <v>2.4081731938701046E-2</v>
      </c>
      <c r="P1633">
        <f t="shared" si="152"/>
        <v>1.9403030303030304</v>
      </c>
      <c r="Q1633" s="2">
        <f t="shared" si="153"/>
        <v>13.720714285714285</v>
      </c>
      <c r="R1633" s="2">
        <f t="shared" si="154"/>
        <v>38.417999999999999</v>
      </c>
      <c r="S1633" s="2">
        <f t="shared" si="155"/>
        <v>7.793221927221615</v>
      </c>
    </row>
    <row r="1634" spans="1:19" hidden="1">
      <c r="A1634" t="s">
        <v>1687</v>
      </c>
      <c r="B1634" t="s">
        <v>30</v>
      </c>
      <c r="C1634">
        <v>180</v>
      </c>
      <c r="D1634">
        <v>3305</v>
      </c>
      <c r="E1634" s="2">
        <v>187.59</v>
      </c>
      <c r="F1634">
        <v>14</v>
      </c>
      <c r="G1634">
        <v>10</v>
      </c>
      <c r="H1634">
        <v>5.6000000000000001E-2</v>
      </c>
      <c r="I1634" s="3">
        <v>1505</v>
      </c>
      <c r="J1634" s="1">
        <v>45615</v>
      </c>
      <c r="K1634" t="s">
        <v>31</v>
      </c>
      <c r="L1634" t="s">
        <v>7</v>
      </c>
      <c r="M1634" t="s">
        <v>37</v>
      </c>
      <c r="N1634" s="1">
        <f t="shared" si="150"/>
        <v>45615</v>
      </c>
      <c r="O1634" s="4">
        <f t="shared" si="151"/>
        <v>5.4462934947049922E-2</v>
      </c>
      <c r="P1634">
        <f t="shared" si="152"/>
        <v>1.0421666666666667</v>
      </c>
      <c r="Q1634" s="2">
        <f t="shared" si="153"/>
        <v>13.399285714285714</v>
      </c>
      <c r="R1634" s="2">
        <f t="shared" si="154"/>
        <v>18.759</v>
      </c>
      <c r="S1634" s="2">
        <f t="shared" si="155"/>
        <v>8.0228157151234072</v>
      </c>
    </row>
    <row r="1635" spans="1:19" hidden="1">
      <c r="A1635" t="s">
        <v>1688</v>
      </c>
      <c r="B1635" t="s">
        <v>30</v>
      </c>
      <c r="C1635">
        <v>154</v>
      </c>
      <c r="D1635">
        <v>3510</v>
      </c>
      <c r="E1635" s="2">
        <v>211.16</v>
      </c>
      <c r="F1635">
        <v>26</v>
      </c>
      <c r="G1635">
        <v>10</v>
      </c>
      <c r="H1635">
        <v>6.5000000000000002E-2</v>
      </c>
      <c r="I1635" s="3">
        <v>1167</v>
      </c>
      <c r="J1635" s="1">
        <v>45610</v>
      </c>
      <c r="K1635" t="s">
        <v>31</v>
      </c>
      <c r="L1635" t="s">
        <v>9</v>
      </c>
      <c r="M1635" t="s">
        <v>41</v>
      </c>
      <c r="N1635" s="1">
        <f t="shared" si="150"/>
        <v>45610</v>
      </c>
      <c r="O1635" s="4">
        <f t="shared" si="151"/>
        <v>4.3874643874643876E-2</v>
      </c>
      <c r="P1635">
        <f t="shared" si="152"/>
        <v>1.371168831168831</v>
      </c>
      <c r="Q1635" s="2">
        <f t="shared" si="153"/>
        <v>8.1215384615384618</v>
      </c>
      <c r="R1635" s="2">
        <f t="shared" si="154"/>
        <v>21.116</v>
      </c>
      <c r="S1635" s="2">
        <f t="shared" si="155"/>
        <v>5.5266148891835574</v>
      </c>
    </row>
    <row r="1636" spans="1:19" hidden="1">
      <c r="A1636" t="s">
        <v>1689</v>
      </c>
      <c r="B1636" t="s">
        <v>30</v>
      </c>
      <c r="C1636">
        <v>89</v>
      </c>
      <c r="D1636">
        <v>3265</v>
      </c>
      <c r="E1636" s="2">
        <v>234.51</v>
      </c>
      <c r="F1636">
        <v>29</v>
      </c>
      <c r="G1636">
        <v>8</v>
      </c>
      <c r="H1636">
        <v>0.09</v>
      </c>
      <c r="I1636" s="3">
        <v>1505</v>
      </c>
      <c r="J1636" s="1">
        <v>45624</v>
      </c>
      <c r="K1636" t="s">
        <v>31</v>
      </c>
      <c r="L1636" t="s">
        <v>9</v>
      </c>
      <c r="M1636" t="s">
        <v>35</v>
      </c>
      <c r="N1636" s="1">
        <f t="shared" si="150"/>
        <v>45624</v>
      </c>
      <c r="O1636" s="4">
        <f t="shared" si="151"/>
        <v>2.7258805513016845E-2</v>
      </c>
      <c r="P1636">
        <f t="shared" si="152"/>
        <v>2.6349438202247191</v>
      </c>
      <c r="Q1636" s="2">
        <f t="shared" si="153"/>
        <v>8.0865517241379301</v>
      </c>
      <c r="R1636" s="2">
        <f t="shared" si="154"/>
        <v>29.313749999999999</v>
      </c>
      <c r="S1636" s="2">
        <f t="shared" si="155"/>
        <v>6.417636774551192</v>
      </c>
    </row>
    <row r="1637" spans="1:19" hidden="1">
      <c r="A1637" t="s">
        <v>1690</v>
      </c>
      <c r="B1637" t="s">
        <v>30</v>
      </c>
      <c r="C1637">
        <v>136</v>
      </c>
      <c r="D1637">
        <v>5977</v>
      </c>
      <c r="E1637" s="2">
        <v>249.89</v>
      </c>
      <c r="F1637">
        <v>15</v>
      </c>
      <c r="G1637">
        <v>9</v>
      </c>
      <c r="H1637">
        <v>6.6000000000000003E-2</v>
      </c>
      <c r="I1637" s="3">
        <v>1477</v>
      </c>
      <c r="J1637" s="1">
        <v>45624</v>
      </c>
      <c r="K1637" t="s">
        <v>31</v>
      </c>
      <c r="L1637" t="s">
        <v>9</v>
      </c>
      <c r="M1637" t="s">
        <v>46</v>
      </c>
      <c r="N1637" s="1">
        <f t="shared" si="150"/>
        <v>45624</v>
      </c>
      <c r="O1637" s="4">
        <f t="shared" si="151"/>
        <v>2.2753889911326753E-2</v>
      </c>
      <c r="P1637">
        <f t="shared" si="152"/>
        <v>1.8374264705882353</v>
      </c>
      <c r="Q1637" s="2">
        <f t="shared" si="153"/>
        <v>16.659333333333333</v>
      </c>
      <c r="R1637" s="2">
        <f t="shared" si="154"/>
        <v>27.765555555555554</v>
      </c>
      <c r="S1637" s="2">
        <f t="shared" si="155"/>
        <v>5.9106006642922893</v>
      </c>
    </row>
    <row r="1638" spans="1:19">
      <c r="A1638" t="s">
        <v>1691</v>
      </c>
      <c r="B1638" t="s">
        <v>30</v>
      </c>
      <c r="C1638">
        <v>177</v>
      </c>
      <c r="D1638">
        <v>5409</v>
      </c>
      <c r="E1638" s="2">
        <v>181.75</v>
      </c>
      <c r="F1638">
        <v>19</v>
      </c>
      <c r="G1638">
        <v>4</v>
      </c>
      <c r="H1638">
        <v>4.5999999999999999E-2</v>
      </c>
      <c r="I1638" s="3">
        <v>1793</v>
      </c>
      <c r="J1638" s="1">
        <v>45362</v>
      </c>
      <c r="K1638" t="s">
        <v>31</v>
      </c>
      <c r="L1638" t="s">
        <v>9</v>
      </c>
      <c r="M1638" t="s">
        <v>35</v>
      </c>
      <c r="N1638" s="1">
        <f t="shared" si="150"/>
        <v>45362</v>
      </c>
      <c r="O1638" s="4">
        <f t="shared" si="151"/>
        <v>3.2723239046034386E-2</v>
      </c>
      <c r="P1638">
        <f t="shared" si="152"/>
        <v>1.0268361581920904</v>
      </c>
      <c r="Q1638" s="2">
        <f t="shared" si="153"/>
        <v>9.5657894736842106</v>
      </c>
      <c r="R1638" s="2">
        <f t="shared" si="154"/>
        <v>45.4375</v>
      </c>
      <c r="S1638" s="2">
        <f t="shared" si="155"/>
        <v>9.865199449793673</v>
      </c>
    </row>
    <row r="1639" spans="1:19">
      <c r="A1639" t="s">
        <v>1692</v>
      </c>
      <c r="B1639" t="s">
        <v>30</v>
      </c>
      <c r="C1639">
        <v>145</v>
      </c>
      <c r="D1639">
        <v>5523</v>
      </c>
      <c r="E1639" s="2">
        <v>215.57</v>
      </c>
      <c r="F1639">
        <v>10</v>
      </c>
      <c r="G1639">
        <v>7</v>
      </c>
      <c r="H1639">
        <v>4.5999999999999999E-2</v>
      </c>
      <c r="I1639" s="3">
        <v>1668</v>
      </c>
      <c r="J1639" s="1" t="s">
        <v>348</v>
      </c>
      <c r="K1639" t="s">
        <v>31</v>
      </c>
      <c r="L1639" t="s">
        <v>8</v>
      </c>
      <c r="M1639" t="s">
        <v>39</v>
      </c>
      <c r="N1639" s="1">
        <f t="shared" si="150"/>
        <v>45615</v>
      </c>
      <c r="O1639" s="4">
        <f t="shared" si="151"/>
        <v>2.6253847546623212E-2</v>
      </c>
      <c r="P1639">
        <f t="shared" si="152"/>
        <v>1.4866896551724138</v>
      </c>
      <c r="Q1639" s="2">
        <f t="shared" si="153"/>
        <v>21.556999999999999</v>
      </c>
      <c r="R1639" s="2">
        <f t="shared" si="154"/>
        <v>30.795714285714286</v>
      </c>
      <c r="S1639" s="2">
        <f t="shared" si="155"/>
        <v>7.7376258291970128</v>
      </c>
    </row>
    <row r="1640" spans="1:19" hidden="1">
      <c r="A1640" t="s">
        <v>1693</v>
      </c>
      <c r="B1640" t="s">
        <v>30</v>
      </c>
      <c r="C1640">
        <v>152</v>
      </c>
      <c r="D1640">
        <v>5421</v>
      </c>
      <c r="E1640" s="2">
        <v>248.08</v>
      </c>
      <c r="F1640">
        <v>16</v>
      </c>
      <c r="G1640">
        <v>6</v>
      </c>
      <c r="H1640">
        <v>3.5000000000000003E-2</v>
      </c>
      <c r="I1640" s="3">
        <v>1752</v>
      </c>
      <c r="J1640" s="1">
        <v>45623</v>
      </c>
      <c r="K1640" t="s">
        <v>31</v>
      </c>
      <c r="L1640" t="s">
        <v>8</v>
      </c>
      <c r="M1640" t="s">
        <v>46</v>
      </c>
      <c r="N1640" s="1">
        <f t="shared" si="150"/>
        <v>45623</v>
      </c>
      <c r="O1640" s="4">
        <f t="shared" si="151"/>
        <v>2.8039107175797825E-2</v>
      </c>
      <c r="P1640">
        <f t="shared" si="152"/>
        <v>1.6321052631578947</v>
      </c>
      <c r="Q1640" s="2">
        <f t="shared" si="153"/>
        <v>15.505000000000001</v>
      </c>
      <c r="R1640" s="2">
        <f t="shared" si="154"/>
        <v>41.346666666666671</v>
      </c>
      <c r="S1640" s="2">
        <f t="shared" si="155"/>
        <v>7.0622379877458883</v>
      </c>
    </row>
    <row r="1641" spans="1:19">
      <c r="A1641" t="s">
        <v>1694</v>
      </c>
      <c r="B1641" t="s">
        <v>30</v>
      </c>
      <c r="C1641">
        <v>187</v>
      </c>
      <c r="D1641">
        <v>5181</v>
      </c>
      <c r="E1641" s="2">
        <v>227.15</v>
      </c>
      <c r="F1641">
        <v>18</v>
      </c>
      <c r="G1641">
        <v>10</v>
      </c>
      <c r="H1641">
        <v>4.5999999999999999E-2</v>
      </c>
      <c r="I1641" s="3">
        <v>1516</v>
      </c>
      <c r="J1641" s="1">
        <v>45621</v>
      </c>
      <c r="K1641" t="s">
        <v>31</v>
      </c>
      <c r="L1641" t="s">
        <v>9</v>
      </c>
      <c r="M1641" t="s">
        <v>39</v>
      </c>
      <c r="N1641" s="1">
        <f t="shared" si="150"/>
        <v>45621</v>
      </c>
      <c r="O1641" s="4">
        <f t="shared" si="151"/>
        <v>3.6093418259023353E-2</v>
      </c>
      <c r="P1641">
        <f t="shared" si="152"/>
        <v>1.2147058823529413</v>
      </c>
      <c r="Q1641" s="2">
        <f t="shared" si="153"/>
        <v>12.619444444444445</v>
      </c>
      <c r="R1641" s="2">
        <f t="shared" si="154"/>
        <v>22.715</v>
      </c>
      <c r="S1641" s="2">
        <f t="shared" si="155"/>
        <v>6.6740039621395555</v>
      </c>
    </row>
    <row r="1642" spans="1:19" hidden="1">
      <c r="A1642" t="s">
        <v>1695</v>
      </c>
      <c r="B1642" t="s">
        <v>30</v>
      </c>
      <c r="C1642">
        <v>91</v>
      </c>
      <c r="D1642">
        <v>5484</v>
      </c>
      <c r="E1642" s="2">
        <v>198.25</v>
      </c>
      <c r="F1642">
        <v>16</v>
      </c>
      <c r="G1642">
        <v>6</v>
      </c>
      <c r="H1642">
        <v>6.6000000000000003E-2</v>
      </c>
      <c r="I1642" s="3">
        <v>1981</v>
      </c>
      <c r="J1642" s="1">
        <v>45616</v>
      </c>
      <c r="K1642" t="s">
        <v>31</v>
      </c>
      <c r="L1642" t="s">
        <v>8</v>
      </c>
      <c r="M1642" t="s">
        <v>39</v>
      </c>
      <c r="N1642" s="1">
        <f t="shared" si="150"/>
        <v>45616</v>
      </c>
      <c r="O1642" s="4">
        <f t="shared" si="151"/>
        <v>1.6593727206418673E-2</v>
      </c>
      <c r="P1642">
        <f t="shared" si="152"/>
        <v>2.1785714285714284</v>
      </c>
      <c r="Q1642" s="2">
        <f t="shared" si="153"/>
        <v>12.390625</v>
      </c>
      <c r="R1642" s="2">
        <f t="shared" si="154"/>
        <v>33.041666666666664</v>
      </c>
      <c r="S1642" s="2">
        <f t="shared" si="155"/>
        <v>9.9924337957124845</v>
      </c>
    </row>
    <row r="1643" spans="1:19" hidden="1">
      <c r="A1643" t="s">
        <v>1696</v>
      </c>
      <c r="B1643" t="s">
        <v>30</v>
      </c>
      <c r="C1643">
        <v>180</v>
      </c>
      <c r="D1643">
        <v>5545</v>
      </c>
      <c r="E1643" s="2">
        <v>238.85</v>
      </c>
      <c r="F1643">
        <v>30</v>
      </c>
      <c r="G1643">
        <v>10</v>
      </c>
      <c r="H1643">
        <v>5.6000000000000001E-2</v>
      </c>
      <c r="I1643" s="3">
        <v>1971</v>
      </c>
      <c r="J1643" s="1" t="s">
        <v>167</v>
      </c>
      <c r="K1643" t="s">
        <v>31</v>
      </c>
      <c r="L1643" t="s">
        <v>7</v>
      </c>
      <c r="M1643" t="s">
        <v>35</v>
      </c>
      <c r="N1643" s="1">
        <f t="shared" si="150"/>
        <v>45620</v>
      </c>
      <c r="O1643" s="4">
        <f t="shared" si="151"/>
        <v>3.2461677186654644E-2</v>
      </c>
      <c r="P1643">
        <f t="shared" si="152"/>
        <v>1.3269444444444445</v>
      </c>
      <c r="Q1643" s="2">
        <f t="shared" si="153"/>
        <v>7.9616666666666669</v>
      </c>
      <c r="R1643" s="2">
        <f t="shared" si="154"/>
        <v>23.884999999999998</v>
      </c>
      <c r="S1643" s="2">
        <f t="shared" si="155"/>
        <v>8.2520410299351052</v>
      </c>
    </row>
    <row r="1644" spans="1:19" hidden="1">
      <c r="A1644" t="s">
        <v>1697</v>
      </c>
      <c r="B1644" t="s">
        <v>30</v>
      </c>
      <c r="C1644">
        <v>122</v>
      </c>
      <c r="D1644">
        <v>4295</v>
      </c>
      <c r="E1644" s="2">
        <v>215.57</v>
      </c>
      <c r="F1644">
        <v>24</v>
      </c>
      <c r="G1644">
        <v>6</v>
      </c>
      <c r="H1644">
        <v>4.9000000000000002E-2</v>
      </c>
      <c r="I1644" s="3">
        <v>1349</v>
      </c>
      <c r="J1644" s="1">
        <v>45606</v>
      </c>
      <c r="K1644" t="s">
        <v>31</v>
      </c>
      <c r="L1644" t="s">
        <v>7</v>
      </c>
      <c r="M1644" t="s">
        <v>35</v>
      </c>
      <c r="N1644" s="1">
        <f t="shared" si="150"/>
        <v>45606</v>
      </c>
      <c r="O1644" s="4">
        <f t="shared" si="151"/>
        <v>2.8405122235157159E-2</v>
      </c>
      <c r="P1644">
        <f t="shared" si="152"/>
        <v>1.766967213114754</v>
      </c>
      <c r="Q1644" s="2">
        <f t="shared" si="153"/>
        <v>8.9820833333333336</v>
      </c>
      <c r="R1644" s="2">
        <f t="shared" si="154"/>
        <v>35.928333333333335</v>
      </c>
      <c r="S1644" s="2">
        <f t="shared" si="155"/>
        <v>6.2578280836851139</v>
      </c>
    </row>
    <row r="1645" spans="1:19">
      <c r="A1645" t="s">
        <v>1698</v>
      </c>
      <c r="B1645" t="s">
        <v>30</v>
      </c>
      <c r="C1645">
        <v>139</v>
      </c>
      <c r="D1645">
        <v>4314</v>
      </c>
      <c r="E1645" s="2">
        <v>194.56</v>
      </c>
      <c r="F1645">
        <v>21</v>
      </c>
      <c r="G1645">
        <v>9</v>
      </c>
      <c r="H1645">
        <v>4.5999999999999999E-2</v>
      </c>
      <c r="I1645" s="3">
        <v>1211</v>
      </c>
      <c r="J1645" s="1">
        <v>45605</v>
      </c>
      <c r="K1645" t="s">
        <v>31</v>
      </c>
      <c r="L1645" t="s">
        <v>9</v>
      </c>
      <c r="M1645" t="s">
        <v>39</v>
      </c>
      <c r="N1645" s="1">
        <f t="shared" si="150"/>
        <v>45605</v>
      </c>
      <c r="O1645" s="4">
        <f t="shared" si="151"/>
        <v>3.2220676866017615E-2</v>
      </c>
      <c r="P1645">
        <f t="shared" si="152"/>
        <v>1.3997122302158274</v>
      </c>
      <c r="Q1645" s="2">
        <f t="shared" si="153"/>
        <v>9.2647619047619045</v>
      </c>
      <c r="R1645" s="2">
        <f t="shared" si="154"/>
        <v>21.617777777777778</v>
      </c>
      <c r="S1645" s="2">
        <f t="shared" si="155"/>
        <v>6.2243009868421053</v>
      </c>
    </row>
    <row r="1646" spans="1:19">
      <c r="A1646" t="s">
        <v>1699</v>
      </c>
      <c r="B1646" t="s">
        <v>30</v>
      </c>
      <c r="C1646">
        <v>157</v>
      </c>
      <c r="D1646">
        <v>4111</v>
      </c>
      <c r="E1646" s="2">
        <v>208.46</v>
      </c>
      <c r="F1646">
        <v>27</v>
      </c>
      <c r="G1646">
        <v>8</v>
      </c>
      <c r="H1646">
        <v>4.5999999999999999E-2</v>
      </c>
      <c r="I1646" s="3">
        <v>1187</v>
      </c>
      <c r="J1646" s="1">
        <v>45601</v>
      </c>
      <c r="K1646" t="s">
        <v>31</v>
      </c>
      <c r="L1646" t="s">
        <v>9</v>
      </c>
      <c r="M1646" t="s">
        <v>39</v>
      </c>
      <c r="N1646" s="1">
        <f t="shared" si="150"/>
        <v>45601</v>
      </c>
      <c r="O1646" s="4">
        <f t="shared" si="151"/>
        <v>3.8190221357333985E-2</v>
      </c>
      <c r="P1646">
        <f t="shared" si="152"/>
        <v>1.3277707006369428</v>
      </c>
      <c r="Q1646" s="2">
        <f t="shared" si="153"/>
        <v>7.7207407407407409</v>
      </c>
      <c r="R1646" s="2">
        <f t="shared" si="154"/>
        <v>26.057500000000001</v>
      </c>
      <c r="S1646" s="2">
        <f t="shared" si="155"/>
        <v>5.6941379641178163</v>
      </c>
    </row>
    <row r="1647" spans="1:19" hidden="1">
      <c r="A1647" t="s">
        <v>1700</v>
      </c>
      <c r="B1647" t="s">
        <v>30</v>
      </c>
      <c r="C1647">
        <v>178</v>
      </c>
      <c r="D1647">
        <v>5640</v>
      </c>
      <c r="E1647" s="2">
        <v>195.8</v>
      </c>
      <c r="F1647">
        <v>25</v>
      </c>
      <c r="G1647">
        <v>4</v>
      </c>
      <c r="H1647">
        <v>2.1999999999999999E-2</v>
      </c>
      <c r="I1647" s="3">
        <v>1807</v>
      </c>
      <c r="J1647" s="1" t="s">
        <v>73</v>
      </c>
      <c r="K1647" t="s">
        <v>31</v>
      </c>
      <c r="L1647" t="s">
        <v>8</v>
      </c>
      <c r="M1647" t="s">
        <v>37</v>
      </c>
      <c r="N1647" s="1">
        <f t="shared" si="150"/>
        <v>45618</v>
      </c>
      <c r="O1647" s="4">
        <f t="shared" si="151"/>
        <v>3.1560283687943259E-2</v>
      </c>
      <c r="P1647">
        <f t="shared" si="152"/>
        <v>1.1000000000000001</v>
      </c>
      <c r="Q1647" s="2">
        <f t="shared" si="153"/>
        <v>7.8320000000000007</v>
      </c>
      <c r="R1647" s="2">
        <f t="shared" si="154"/>
        <v>48.95</v>
      </c>
      <c r="S1647" s="2">
        <f t="shared" si="155"/>
        <v>9.2288049029622066</v>
      </c>
    </row>
    <row r="1648" spans="1:19" hidden="1">
      <c r="A1648" t="s">
        <v>1701</v>
      </c>
      <c r="B1648" t="s">
        <v>30</v>
      </c>
      <c r="C1648">
        <v>94</v>
      </c>
      <c r="D1648">
        <v>3805</v>
      </c>
      <c r="E1648" s="2">
        <v>198.19</v>
      </c>
      <c r="F1648">
        <v>12</v>
      </c>
      <c r="G1648">
        <v>8</v>
      </c>
      <c r="H1648">
        <v>8.5000000000000006E-2</v>
      </c>
      <c r="I1648" s="3">
        <v>1523</v>
      </c>
      <c r="J1648" s="1">
        <v>45606</v>
      </c>
      <c r="K1648" t="s">
        <v>31</v>
      </c>
      <c r="L1648" t="s">
        <v>9</v>
      </c>
      <c r="M1648" t="s">
        <v>35</v>
      </c>
      <c r="N1648" s="1">
        <f t="shared" si="150"/>
        <v>45606</v>
      </c>
      <c r="O1648" s="4">
        <f t="shared" si="151"/>
        <v>2.4704336399474378E-2</v>
      </c>
      <c r="P1648">
        <f t="shared" si="152"/>
        <v>2.1084042553191491</v>
      </c>
      <c r="Q1648" s="2">
        <f t="shared" si="153"/>
        <v>16.515833333333333</v>
      </c>
      <c r="R1648" s="2">
        <f t="shared" si="154"/>
        <v>24.77375</v>
      </c>
      <c r="S1648" s="2">
        <f t="shared" si="155"/>
        <v>7.6845451334577932</v>
      </c>
    </row>
    <row r="1649" spans="1:19" hidden="1">
      <c r="A1649" t="s">
        <v>1702</v>
      </c>
      <c r="B1649" t="s">
        <v>30</v>
      </c>
      <c r="C1649">
        <v>130</v>
      </c>
      <c r="D1649">
        <v>4561</v>
      </c>
      <c r="E1649" s="2">
        <v>196.04</v>
      </c>
      <c r="F1649">
        <v>25</v>
      </c>
      <c r="G1649">
        <v>9</v>
      </c>
      <c r="H1649">
        <v>6.9000000000000006E-2</v>
      </c>
      <c r="I1649" s="3">
        <v>1388</v>
      </c>
      <c r="J1649" s="1" t="s">
        <v>105</v>
      </c>
      <c r="K1649" t="s">
        <v>31</v>
      </c>
      <c r="L1649" t="s">
        <v>7</v>
      </c>
      <c r="M1649" t="s">
        <v>46</v>
      </c>
      <c r="N1649" s="1">
        <f t="shared" si="150"/>
        <v>45614</v>
      </c>
      <c r="O1649" s="4">
        <f t="shared" si="151"/>
        <v>2.8502521376891032E-2</v>
      </c>
      <c r="P1649">
        <f t="shared" si="152"/>
        <v>1.508</v>
      </c>
      <c r="Q1649" s="2">
        <f t="shared" si="153"/>
        <v>7.8415999999999997</v>
      </c>
      <c r="R1649" s="2">
        <f t="shared" si="154"/>
        <v>21.78222222222222</v>
      </c>
      <c r="S1649" s="2">
        <f t="shared" si="155"/>
        <v>7.0801877167924916</v>
      </c>
    </row>
    <row r="1650" spans="1:19" hidden="1">
      <c r="A1650" t="s">
        <v>1703</v>
      </c>
      <c r="B1650" t="s">
        <v>30</v>
      </c>
      <c r="C1650">
        <v>169</v>
      </c>
      <c r="D1650">
        <v>5865</v>
      </c>
      <c r="E1650" s="2">
        <v>200.36</v>
      </c>
      <c r="F1650">
        <v>19</v>
      </c>
      <c r="G1650">
        <v>5</v>
      </c>
      <c r="H1650">
        <v>0.03</v>
      </c>
      <c r="I1650" s="3">
        <v>1482</v>
      </c>
      <c r="J1650" s="1" t="s">
        <v>64</v>
      </c>
      <c r="K1650" t="s">
        <v>31</v>
      </c>
      <c r="L1650" t="s">
        <v>8</v>
      </c>
      <c r="M1650" t="s">
        <v>41</v>
      </c>
      <c r="N1650" s="1">
        <f t="shared" si="150"/>
        <v>45626</v>
      </c>
      <c r="O1650" s="4">
        <f t="shared" si="151"/>
        <v>2.8815004262574596E-2</v>
      </c>
      <c r="P1650">
        <f t="shared" si="152"/>
        <v>1.1855621301775148</v>
      </c>
      <c r="Q1650" s="2">
        <f t="shared" si="153"/>
        <v>10.545263157894738</v>
      </c>
      <c r="R1650" s="2">
        <f t="shared" si="154"/>
        <v>40.072000000000003</v>
      </c>
      <c r="S1650" s="2">
        <f t="shared" si="155"/>
        <v>7.3966859652625265</v>
      </c>
    </row>
    <row r="1651" spans="1:19">
      <c r="A1651" t="s">
        <v>1704</v>
      </c>
      <c r="B1651" t="s">
        <v>30</v>
      </c>
      <c r="C1651">
        <v>176</v>
      </c>
      <c r="D1651">
        <v>5275</v>
      </c>
      <c r="E1651" s="2">
        <v>241.12</v>
      </c>
      <c r="F1651">
        <v>14</v>
      </c>
      <c r="G1651">
        <v>8</v>
      </c>
      <c r="H1651">
        <v>4.5999999999999999E-2</v>
      </c>
      <c r="I1651" s="3">
        <v>1995</v>
      </c>
      <c r="J1651" s="1" t="s">
        <v>89</v>
      </c>
      <c r="K1651" t="s">
        <v>31</v>
      </c>
      <c r="L1651" t="s">
        <v>8</v>
      </c>
      <c r="M1651" t="s">
        <v>37</v>
      </c>
      <c r="N1651" s="1">
        <f t="shared" si="150"/>
        <v>45611</v>
      </c>
      <c r="O1651" s="4">
        <f t="shared" si="151"/>
        <v>3.3364928909952608E-2</v>
      </c>
      <c r="P1651">
        <f t="shared" si="152"/>
        <v>1.37</v>
      </c>
      <c r="Q1651" s="2">
        <f t="shared" si="153"/>
        <v>17.222857142857144</v>
      </c>
      <c r="R1651" s="2">
        <f t="shared" si="154"/>
        <v>30.14</v>
      </c>
      <c r="S1651" s="2">
        <f t="shared" si="155"/>
        <v>8.2738885202388843</v>
      </c>
    </row>
    <row r="1652" spans="1:19" hidden="1">
      <c r="A1652" t="s">
        <v>1705</v>
      </c>
      <c r="B1652" t="s">
        <v>30</v>
      </c>
      <c r="C1652">
        <v>143</v>
      </c>
      <c r="D1652">
        <v>4964</v>
      </c>
      <c r="E1652" s="2">
        <v>207.66</v>
      </c>
      <c r="F1652">
        <v>21</v>
      </c>
      <c r="G1652">
        <v>10</v>
      </c>
      <c r="H1652">
        <v>7.0000000000000007E-2</v>
      </c>
      <c r="I1652" s="3">
        <v>1619</v>
      </c>
      <c r="J1652" s="1" t="s">
        <v>217</v>
      </c>
      <c r="K1652" t="s">
        <v>31</v>
      </c>
      <c r="L1652" t="s">
        <v>9</v>
      </c>
      <c r="M1652" t="s">
        <v>46</v>
      </c>
      <c r="N1652" s="1">
        <f t="shared" si="150"/>
        <v>45609</v>
      </c>
      <c r="O1652" s="4">
        <f t="shared" si="151"/>
        <v>2.8807413376309429E-2</v>
      </c>
      <c r="P1652">
        <f t="shared" si="152"/>
        <v>1.4521678321678322</v>
      </c>
      <c r="Q1652" s="2">
        <f t="shared" si="153"/>
        <v>9.8885714285714279</v>
      </c>
      <c r="R1652" s="2">
        <f t="shared" si="154"/>
        <v>20.765999999999998</v>
      </c>
      <c r="S1652" s="2">
        <f t="shared" si="155"/>
        <v>7.7963979582009051</v>
      </c>
    </row>
    <row r="1653" spans="1:19" hidden="1">
      <c r="A1653" t="s">
        <v>1706</v>
      </c>
      <c r="B1653" t="s">
        <v>30</v>
      </c>
      <c r="C1653">
        <v>153</v>
      </c>
      <c r="D1653">
        <v>5292</v>
      </c>
      <c r="E1653" s="2">
        <v>225.98</v>
      </c>
      <c r="F1653">
        <v>21</v>
      </c>
      <c r="G1653">
        <v>9</v>
      </c>
      <c r="H1653">
        <v>5.8999999999999997E-2</v>
      </c>
      <c r="I1653" s="3">
        <v>1223</v>
      </c>
      <c r="J1653" s="1">
        <v>45606</v>
      </c>
      <c r="K1653" t="s">
        <v>31</v>
      </c>
      <c r="L1653" t="s">
        <v>8</v>
      </c>
      <c r="M1653" t="s">
        <v>35</v>
      </c>
      <c r="N1653" s="1">
        <f t="shared" si="150"/>
        <v>45606</v>
      </c>
      <c r="O1653" s="4">
        <f t="shared" si="151"/>
        <v>2.8911564625850341E-2</v>
      </c>
      <c r="P1653">
        <f t="shared" si="152"/>
        <v>1.4769934640522875</v>
      </c>
      <c r="Q1653" s="2">
        <f t="shared" si="153"/>
        <v>10.76095238095238</v>
      </c>
      <c r="R1653" s="2">
        <f t="shared" si="154"/>
        <v>25.108888888888888</v>
      </c>
      <c r="S1653" s="2">
        <f t="shared" si="155"/>
        <v>5.4119833613594128</v>
      </c>
    </row>
    <row r="1654" spans="1:19" hidden="1">
      <c r="A1654" t="s">
        <v>1707</v>
      </c>
      <c r="B1654" t="s">
        <v>30</v>
      </c>
      <c r="C1654">
        <v>96</v>
      </c>
      <c r="D1654">
        <v>5568</v>
      </c>
      <c r="E1654" s="2">
        <v>210.99</v>
      </c>
      <c r="F1654">
        <v>19</v>
      </c>
      <c r="G1654">
        <v>10</v>
      </c>
      <c r="H1654">
        <v>0.104</v>
      </c>
      <c r="I1654" s="3">
        <v>1317</v>
      </c>
      <c r="J1654" s="1">
        <v>45617</v>
      </c>
      <c r="K1654" t="s">
        <v>31</v>
      </c>
      <c r="L1654" t="s">
        <v>7</v>
      </c>
      <c r="M1654" t="s">
        <v>32</v>
      </c>
      <c r="N1654" s="1">
        <f t="shared" si="150"/>
        <v>45617</v>
      </c>
      <c r="O1654" s="4">
        <f t="shared" si="151"/>
        <v>1.7241379310344827E-2</v>
      </c>
      <c r="P1654">
        <f t="shared" si="152"/>
        <v>2.1978124999999999</v>
      </c>
      <c r="Q1654" s="2">
        <f t="shared" si="153"/>
        <v>11.104736842105263</v>
      </c>
      <c r="R1654" s="2">
        <f t="shared" si="154"/>
        <v>21.099</v>
      </c>
      <c r="S1654" s="2">
        <f t="shared" si="155"/>
        <v>6.2420019906156687</v>
      </c>
    </row>
    <row r="1655" spans="1:19" hidden="1">
      <c r="A1655" t="s">
        <v>1708</v>
      </c>
      <c r="B1655" t="s">
        <v>30</v>
      </c>
      <c r="C1655">
        <v>96</v>
      </c>
      <c r="D1655">
        <v>4849</v>
      </c>
      <c r="E1655" s="2">
        <v>198.41</v>
      </c>
      <c r="F1655">
        <v>13</v>
      </c>
      <c r="G1655">
        <v>5</v>
      </c>
      <c r="H1655">
        <v>5.1999999999999998E-2</v>
      </c>
      <c r="I1655" s="3">
        <v>1198</v>
      </c>
      <c r="J1655" s="1" t="s">
        <v>115</v>
      </c>
      <c r="K1655" t="s">
        <v>31</v>
      </c>
      <c r="L1655" t="s">
        <v>8</v>
      </c>
      <c r="M1655" t="s">
        <v>41</v>
      </c>
      <c r="N1655" s="1">
        <f t="shared" si="150"/>
        <v>45623</v>
      </c>
      <c r="O1655" s="4">
        <f t="shared" si="151"/>
        <v>1.979789647349969E-2</v>
      </c>
      <c r="P1655">
        <f t="shared" si="152"/>
        <v>2.0667708333333334</v>
      </c>
      <c r="Q1655" s="2">
        <f t="shared" si="153"/>
        <v>15.262307692307692</v>
      </c>
      <c r="R1655" s="2">
        <f t="shared" si="154"/>
        <v>39.682000000000002</v>
      </c>
      <c r="S1655" s="2">
        <f t="shared" si="155"/>
        <v>6.038002116828789</v>
      </c>
    </row>
    <row r="1656" spans="1:19" hidden="1">
      <c r="A1656" t="s">
        <v>1709</v>
      </c>
      <c r="B1656" t="s">
        <v>30</v>
      </c>
      <c r="C1656">
        <v>172</v>
      </c>
      <c r="D1656">
        <v>4128</v>
      </c>
      <c r="E1656" s="2">
        <v>215.57</v>
      </c>
      <c r="F1656">
        <v>12</v>
      </c>
      <c r="G1656">
        <v>7</v>
      </c>
      <c r="H1656">
        <v>4.1000000000000002E-2</v>
      </c>
      <c r="I1656" s="3">
        <v>1070</v>
      </c>
      <c r="J1656" s="1">
        <v>45613</v>
      </c>
      <c r="K1656" t="s">
        <v>31</v>
      </c>
      <c r="L1656" t="s">
        <v>9</v>
      </c>
      <c r="M1656" t="s">
        <v>32</v>
      </c>
      <c r="N1656" s="1">
        <f t="shared" si="150"/>
        <v>45613</v>
      </c>
      <c r="O1656" s="4">
        <f t="shared" si="151"/>
        <v>4.1666666666666664E-2</v>
      </c>
      <c r="P1656">
        <f t="shared" si="152"/>
        <v>1.2533139534883722</v>
      </c>
      <c r="Q1656" s="2">
        <f t="shared" si="153"/>
        <v>17.964166666666667</v>
      </c>
      <c r="R1656" s="2">
        <f t="shared" si="154"/>
        <v>30.795714285714286</v>
      </c>
      <c r="S1656" s="2">
        <f t="shared" si="155"/>
        <v>4.9635849144129516</v>
      </c>
    </row>
    <row r="1657" spans="1:19" hidden="1">
      <c r="A1657" t="s">
        <v>1710</v>
      </c>
      <c r="B1657" t="s">
        <v>30</v>
      </c>
      <c r="C1657">
        <v>197</v>
      </c>
      <c r="D1657">
        <v>4645</v>
      </c>
      <c r="E1657" s="2">
        <v>219.15</v>
      </c>
      <c r="F1657">
        <v>24</v>
      </c>
      <c r="G1657">
        <v>5</v>
      </c>
      <c r="H1657">
        <v>2.5000000000000001E-2</v>
      </c>
      <c r="I1657" s="3">
        <v>1911</v>
      </c>
      <c r="J1657" s="1">
        <v>45626</v>
      </c>
      <c r="K1657" t="s">
        <v>31</v>
      </c>
      <c r="L1657" t="s">
        <v>8</v>
      </c>
      <c r="M1657" t="s">
        <v>41</v>
      </c>
      <c r="N1657" s="1">
        <f t="shared" si="150"/>
        <v>45626</v>
      </c>
      <c r="O1657" s="4">
        <f t="shared" si="151"/>
        <v>4.2411194833153927E-2</v>
      </c>
      <c r="P1657">
        <f t="shared" si="152"/>
        <v>1.1124365482233503</v>
      </c>
      <c r="Q1657" s="2">
        <f t="shared" si="153"/>
        <v>9.1312499999999996</v>
      </c>
      <c r="R1657" s="2">
        <f t="shared" si="154"/>
        <v>43.83</v>
      </c>
      <c r="S1657" s="2">
        <f t="shared" si="155"/>
        <v>8.7200547570157418</v>
      </c>
    </row>
    <row r="1658" spans="1:19" hidden="1">
      <c r="A1658" t="s">
        <v>1711</v>
      </c>
      <c r="B1658" t="s">
        <v>30</v>
      </c>
      <c r="C1658">
        <v>191</v>
      </c>
      <c r="D1658">
        <v>5706</v>
      </c>
      <c r="E1658" s="2">
        <v>249.69</v>
      </c>
      <c r="F1658">
        <v>25</v>
      </c>
      <c r="G1658">
        <v>6</v>
      </c>
      <c r="H1658">
        <v>3.1E-2</v>
      </c>
      <c r="I1658" s="3">
        <v>1821</v>
      </c>
      <c r="J1658" s="1">
        <v>45612</v>
      </c>
      <c r="K1658" t="s">
        <v>31</v>
      </c>
      <c r="L1658" t="s">
        <v>7</v>
      </c>
      <c r="M1658" t="s">
        <v>37</v>
      </c>
      <c r="N1658" s="1">
        <f t="shared" si="150"/>
        <v>45612</v>
      </c>
      <c r="O1658" s="4">
        <f t="shared" si="151"/>
        <v>3.3473536628110763E-2</v>
      </c>
      <c r="P1658">
        <f t="shared" si="152"/>
        <v>1.3072774869109947</v>
      </c>
      <c r="Q1658" s="2">
        <f t="shared" si="153"/>
        <v>9.9876000000000005</v>
      </c>
      <c r="R1658" s="2">
        <f t="shared" si="154"/>
        <v>41.615000000000002</v>
      </c>
      <c r="S1658" s="2">
        <f t="shared" si="155"/>
        <v>7.2930433737834912</v>
      </c>
    </row>
    <row r="1659" spans="1:19">
      <c r="A1659" t="s">
        <v>1712</v>
      </c>
      <c r="B1659" t="s">
        <v>30</v>
      </c>
      <c r="C1659">
        <v>167</v>
      </c>
      <c r="D1659">
        <v>3438</v>
      </c>
      <c r="E1659" s="2">
        <v>235.2</v>
      </c>
      <c r="F1659">
        <v>10</v>
      </c>
      <c r="G1659">
        <v>7</v>
      </c>
      <c r="H1659">
        <v>4.5999999999999999E-2</v>
      </c>
      <c r="I1659" s="3">
        <v>1229</v>
      </c>
      <c r="J1659" s="1">
        <v>45613</v>
      </c>
      <c r="K1659" t="s">
        <v>31</v>
      </c>
      <c r="L1659" t="s">
        <v>7</v>
      </c>
      <c r="M1659" t="s">
        <v>37</v>
      </c>
      <c r="N1659" s="1">
        <f t="shared" si="150"/>
        <v>45613</v>
      </c>
      <c r="O1659" s="4">
        <f t="shared" si="151"/>
        <v>4.857475276323444E-2</v>
      </c>
      <c r="P1659">
        <f t="shared" si="152"/>
        <v>1.408383233532934</v>
      </c>
      <c r="Q1659" s="2">
        <f t="shared" si="153"/>
        <v>23.52</v>
      </c>
      <c r="R1659" s="2">
        <f t="shared" si="154"/>
        <v>33.6</v>
      </c>
      <c r="S1659" s="2">
        <f t="shared" si="155"/>
        <v>5.225340136054422</v>
      </c>
    </row>
    <row r="1660" spans="1:19" hidden="1">
      <c r="A1660" t="s">
        <v>1713</v>
      </c>
      <c r="B1660" t="s">
        <v>30</v>
      </c>
      <c r="C1660">
        <v>191</v>
      </c>
      <c r="D1660">
        <v>3610</v>
      </c>
      <c r="E1660" s="2">
        <v>217.44</v>
      </c>
      <c r="F1660">
        <v>27</v>
      </c>
      <c r="G1660">
        <v>6</v>
      </c>
      <c r="H1660">
        <v>3.1E-2</v>
      </c>
      <c r="I1660" s="3">
        <v>1890</v>
      </c>
      <c r="J1660" s="1">
        <v>45619</v>
      </c>
      <c r="K1660" t="s">
        <v>31</v>
      </c>
      <c r="L1660" t="s">
        <v>9</v>
      </c>
      <c r="M1660" t="s">
        <v>46</v>
      </c>
      <c r="N1660" s="1">
        <f t="shared" si="150"/>
        <v>45619</v>
      </c>
      <c r="O1660" s="4">
        <f t="shared" si="151"/>
        <v>5.2908587257617726E-2</v>
      </c>
      <c r="P1660">
        <f t="shared" si="152"/>
        <v>1.1384293193717276</v>
      </c>
      <c r="Q1660" s="2">
        <f t="shared" si="153"/>
        <v>8.0533333333333328</v>
      </c>
      <c r="R1660" s="2">
        <f t="shared" si="154"/>
        <v>36.24</v>
      </c>
      <c r="S1660" s="2">
        <f t="shared" si="155"/>
        <v>8.6920529801324502</v>
      </c>
    </row>
    <row r="1661" spans="1:19" hidden="1">
      <c r="A1661" t="s">
        <v>1714</v>
      </c>
      <c r="B1661" t="s">
        <v>30</v>
      </c>
      <c r="C1661">
        <v>90</v>
      </c>
      <c r="D1661">
        <v>3828</v>
      </c>
      <c r="E1661" s="2">
        <v>238.12</v>
      </c>
      <c r="F1661">
        <v>21</v>
      </c>
      <c r="G1661">
        <v>6</v>
      </c>
      <c r="H1661">
        <v>0.06</v>
      </c>
      <c r="I1661" s="3">
        <v>1505</v>
      </c>
      <c r="J1661" s="1">
        <v>45617</v>
      </c>
      <c r="K1661" t="s">
        <v>31</v>
      </c>
      <c r="L1661" t="s">
        <v>7</v>
      </c>
      <c r="M1661" t="s">
        <v>37</v>
      </c>
      <c r="N1661" s="1">
        <f t="shared" si="150"/>
        <v>45617</v>
      </c>
      <c r="O1661" s="4">
        <f t="shared" si="151"/>
        <v>2.3510971786833857E-2</v>
      </c>
      <c r="P1661">
        <f t="shared" si="152"/>
        <v>2.645777777777778</v>
      </c>
      <c r="Q1661" s="2">
        <f t="shared" si="153"/>
        <v>11.339047619047619</v>
      </c>
      <c r="R1661" s="2">
        <f t="shared" si="154"/>
        <v>39.686666666666667</v>
      </c>
      <c r="S1661" s="2">
        <f t="shared" si="155"/>
        <v>6.3203426843608259</v>
      </c>
    </row>
    <row r="1662" spans="1:19" hidden="1">
      <c r="A1662" t="s">
        <v>1715</v>
      </c>
      <c r="B1662" t="s">
        <v>30</v>
      </c>
      <c r="C1662">
        <v>115</v>
      </c>
      <c r="D1662">
        <v>5431</v>
      </c>
      <c r="E1662" s="2">
        <v>180.5</v>
      </c>
      <c r="F1662">
        <v>20</v>
      </c>
      <c r="G1662">
        <v>7</v>
      </c>
      <c r="H1662">
        <v>6.0999999999999999E-2</v>
      </c>
      <c r="I1662" s="3">
        <v>1995</v>
      </c>
      <c r="J1662" s="1">
        <v>45611</v>
      </c>
      <c r="K1662" t="s">
        <v>31</v>
      </c>
      <c r="L1662" t="s">
        <v>7</v>
      </c>
      <c r="M1662" t="s">
        <v>35</v>
      </c>
      <c r="N1662" s="1">
        <f t="shared" si="150"/>
        <v>45611</v>
      </c>
      <c r="O1662" s="4">
        <f t="shared" si="151"/>
        <v>2.1174737617381697E-2</v>
      </c>
      <c r="P1662">
        <f t="shared" si="152"/>
        <v>1.5695652173913044</v>
      </c>
      <c r="Q1662" s="2">
        <f t="shared" si="153"/>
        <v>9.0250000000000004</v>
      </c>
      <c r="R1662" s="2">
        <f t="shared" si="154"/>
        <v>25.785714285714285</v>
      </c>
      <c r="S1662" s="2">
        <f t="shared" si="155"/>
        <v>11.052631578947368</v>
      </c>
    </row>
    <row r="1663" spans="1:19">
      <c r="A1663" t="s">
        <v>1716</v>
      </c>
      <c r="B1663" t="s">
        <v>30</v>
      </c>
      <c r="C1663">
        <v>188</v>
      </c>
      <c r="D1663">
        <v>4300</v>
      </c>
      <c r="E1663" s="2">
        <v>226.13</v>
      </c>
      <c r="F1663">
        <v>28</v>
      </c>
      <c r="G1663">
        <v>7</v>
      </c>
      <c r="H1663">
        <v>4.5999999999999999E-2</v>
      </c>
      <c r="I1663" s="3">
        <v>1185</v>
      </c>
      <c r="J1663" s="1">
        <v>45610</v>
      </c>
      <c r="K1663" t="s">
        <v>31</v>
      </c>
      <c r="L1663" t="s">
        <v>8</v>
      </c>
      <c r="M1663" t="s">
        <v>41</v>
      </c>
      <c r="N1663" s="1">
        <f t="shared" si="150"/>
        <v>45610</v>
      </c>
      <c r="O1663" s="4">
        <f t="shared" si="151"/>
        <v>4.3720930232558138E-2</v>
      </c>
      <c r="P1663">
        <f t="shared" si="152"/>
        <v>1.2028191489361701</v>
      </c>
      <c r="Q1663" s="2">
        <f t="shared" si="153"/>
        <v>8.0760714285714279</v>
      </c>
      <c r="R1663" s="2">
        <f t="shared" si="154"/>
        <v>32.304285714285712</v>
      </c>
      <c r="S1663" s="2">
        <f t="shared" si="155"/>
        <v>5.2403484721178089</v>
      </c>
    </row>
    <row r="1664" spans="1:19" hidden="1">
      <c r="A1664" t="s">
        <v>1717</v>
      </c>
      <c r="B1664" t="s">
        <v>30</v>
      </c>
      <c r="C1664">
        <v>173</v>
      </c>
      <c r="D1664">
        <v>3829</v>
      </c>
      <c r="E1664" s="2">
        <v>221.28</v>
      </c>
      <c r="F1664">
        <v>29</v>
      </c>
      <c r="G1664">
        <v>4</v>
      </c>
      <c r="H1664">
        <v>2.3E-2</v>
      </c>
      <c r="I1664" s="3">
        <v>1417</v>
      </c>
      <c r="J1664" s="1">
        <v>45621</v>
      </c>
      <c r="K1664" t="s">
        <v>31</v>
      </c>
      <c r="L1664" t="s">
        <v>7</v>
      </c>
      <c r="M1664" t="s">
        <v>32</v>
      </c>
      <c r="N1664" s="1">
        <f t="shared" si="150"/>
        <v>45621</v>
      </c>
      <c r="O1664" s="4">
        <f t="shared" si="151"/>
        <v>4.518150953251502E-2</v>
      </c>
      <c r="P1664">
        <f t="shared" si="152"/>
        <v>1.2790751445086705</v>
      </c>
      <c r="Q1664" s="2">
        <f t="shared" si="153"/>
        <v>7.6303448275862067</v>
      </c>
      <c r="R1664" s="2">
        <f t="shared" si="154"/>
        <v>55.32</v>
      </c>
      <c r="S1664" s="2">
        <f t="shared" si="155"/>
        <v>6.4036514822848876</v>
      </c>
    </row>
    <row r="1665" spans="1:19" hidden="1">
      <c r="A1665" t="s">
        <v>1718</v>
      </c>
      <c r="B1665" t="s">
        <v>30</v>
      </c>
      <c r="C1665">
        <v>107</v>
      </c>
      <c r="D1665">
        <v>4165</v>
      </c>
      <c r="E1665" s="2">
        <v>192.18</v>
      </c>
      <c r="F1665">
        <v>21</v>
      </c>
      <c r="G1665">
        <v>10</v>
      </c>
      <c r="H1665">
        <v>9.2999999999999999E-2</v>
      </c>
      <c r="I1665" s="3">
        <v>1754</v>
      </c>
      <c r="J1665" s="1" t="s">
        <v>86</v>
      </c>
      <c r="K1665" t="s">
        <v>31</v>
      </c>
      <c r="L1665" t="s">
        <v>8</v>
      </c>
      <c r="M1665" t="s">
        <v>32</v>
      </c>
      <c r="N1665" s="1">
        <f t="shared" si="150"/>
        <v>45625</v>
      </c>
      <c r="O1665" s="4">
        <f t="shared" si="151"/>
        <v>2.5690276110444176E-2</v>
      </c>
      <c r="P1665">
        <f t="shared" si="152"/>
        <v>1.7960747663551402</v>
      </c>
      <c r="Q1665" s="2">
        <f t="shared" si="153"/>
        <v>9.1514285714285712</v>
      </c>
      <c r="R1665" s="2">
        <f t="shared" si="154"/>
        <v>19.218</v>
      </c>
      <c r="S1665" s="2">
        <f t="shared" si="155"/>
        <v>9.1268602351961707</v>
      </c>
    </row>
    <row r="1666" spans="1:19" hidden="1">
      <c r="A1666" t="s">
        <v>1719</v>
      </c>
      <c r="B1666" t="s">
        <v>30</v>
      </c>
      <c r="C1666">
        <v>171</v>
      </c>
      <c r="D1666">
        <v>5953</v>
      </c>
      <c r="E1666" s="2">
        <v>230.37</v>
      </c>
      <c r="F1666">
        <v>14</v>
      </c>
      <c r="G1666">
        <v>7</v>
      </c>
      <c r="H1666">
        <v>4.8000000000000001E-2</v>
      </c>
      <c r="I1666" s="3">
        <v>1436</v>
      </c>
      <c r="J1666" s="1" t="s">
        <v>132</v>
      </c>
      <c r="K1666" t="s">
        <v>31</v>
      </c>
      <c r="L1666" t="s">
        <v>9</v>
      </c>
      <c r="M1666" t="s">
        <v>46</v>
      </c>
      <c r="N1666" s="1">
        <f t="shared" ref="N1666:N1729" si="156">IF(A1666="","",IF(ISNUMBER(J1666),J1666,IF(MID(J1666,5,1)="-",DATE(LEFT(J1666,4),MID(J1666,6,2),RIGHT(J1666,2)),IF(MID(J1666,5,1)="/",DATE(LEFT(J1666,4),MID(J1666,6,2),RIGHT(J1666,2)),DATE(RIGHT(J1666,4),MID(J1666,4,2),LEFT(J1666,2))))))</f>
        <v>45613</v>
      </c>
      <c r="O1666" s="4">
        <f t="shared" ref="O1666:O1729" si="157">IFERROR(C1666/D1666,0)</f>
        <v>2.8725012598689738E-2</v>
      </c>
      <c r="P1666">
        <f t="shared" ref="P1666:P1729" si="158">IFERROR(E1666/C1666,0)</f>
        <v>1.3471929824561404</v>
      </c>
      <c r="Q1666" s="2">
        <f t="shared" ref="Q1666:Q1729" si="159">IFERROR(E1666/F1666,0)</f>
        <v>16.455000000000002</v>
      </c>
      <c r="R1666" s="2">
        <f t="shared" ref="R1666:R1729" si="160">IFERROR(E1666/G1666,0)</f>
        <v>32.910000000000004</v>
      </c>
      <c r="S1666" s="2">
        <f t="shared" ref="S1666:S1729" si="161">IFERROR(I1666/E1666,0)</f>
        <v>6.233450536094109</v>
      </c>
    </row>
    <row r="1667" spans="1:19">
      <c r="A1667" t="s">
        <v>1720</v>
      </c>
      <c r="B1667" t="s">
        <v>30</v>
      </c>
      <c r="C1667">
        <v>87</v>
      </c>
      <c r="D1667">
        <v>4836</v>
      </c>
      <c r="E1667" s="2">
        <v>242</v>
      </c>
      <c r="F1667">
        <v>12</v>
      </c>
      <c r="G1667">
        <v>7</v>
      </c>
      <c r="H1667">
        <v>4.5999999999999999E-2</v>
      </c>
      <c r="I1667" s="3">
        <v>1665</v>
      </c>
      <c r="J1667" s="1" t="s">
        <v>89</v>
      </c>
      <c r="K1667" t="s">
        <v>31</v>
      </c>
      <c r="L1667" t="s">
        <v>7</v>
      </c>
      <c r="M1667" t="s">
        <v>32</v>
      </c>
      <c r="N1667" s="1">
        <f t="shared" si="156"/>
        <v>45611</v>
      </c>
      <c r="O1667" s="4">
        <f t="shared" si="157"/>
        <v>1.7990074441687345E-2</v>
      </c>
      <c r="P1667">
        <f t="shared" si="158"/>
        <v>2.7816091954022988</v>
      </c>
      <c r="Q1667" s="2">
        <f t="shared" si="159"/>
        <v>20.166666666666668</v>
      </c>
      <c r="R1667" s="2">
        <f t="shared" si="160"/>
        <v>34.571428571428569</v>
      </c>
      <c r="S1667" s="2">
        <f t="shared" si="161"/>
        <v>6.8801652892561984</v>
      </c>
    </row>
    <row r="1668" spans="1:19" hidden="1">
      <c r="A1668" t="s">
        <v>1721</v>
      </c>
      <c r="B1668" t="s">
        <v>30</v>
      </c>
      <c r="C1668">
        <v>199</v>
      </c>
      <c r="D1668">
        <v>3717</v>
      </c>
      <c r="E1668" s="2">
        <v>226.84</v>
      </c>
      <c r="F1668">
        <v>27</v>
      </c>
      <c r="G1668">
        <v>3</v>
      </c>
      <c r="H1668">
        <v>3.6999999999999998E-2</v>
      </c>
      <c r="I1668" s="3">
        <v>1449</v>
      </c>
      <c r="J1668" s="1">
        <v>45621</v>
      </c>
      <c r="K1668" t="s">
        <v>31</v>
      </c>
      <c r="L1668" t="s">
        <v>8</v>
      </c>
      <c r="M1668" t="s">
        <v>39</v>
      </c>
      <c r="N1668" s="1">
        <f t="shared" si="156"/>
        <v>45621</v>
      </c>
      <c r="O1668" s="4">
        <f t="shared" si="157"/>
        <v>5.3537799300511162E-2</v>
      </c>
      <c r="P1668">
        <f t="shared" si="158"/>
        <v>1.1398994974874372</v>
      </c>
      <c r="Q1668" s="2">
        <f t="shared" si="159"/>
        <v>8.4014814814814809</v>
      </c>
      <c r="R1668" s="2">
        <f t="shared" si="160"/>
        <v>75.61333333333333</v>
      </c>
      <c r="S1668" s="2">
        <f t="shared" si="161"/>
        <v>6.3877622994180916</v>
      </c>
    </row>
    <row r="1669" spans="1:19">
      <c r="A1669" t="s">
        <v>1722</v>
      </c>
      <c r="B1669" t="s">
        <v>30</v>
      </c>
      <c r="C1669">
        <v>195</v>
      </c>
      <c r="D1669">
        <v>5190</v>
      </c>
      <c r="E1669" s="2">
        <v>231.62</v>
      </c>
      <c r="F1669">
        <v>20</v>
      </c>
      <c r="G1669">
        <v>3</v>
      </c>
      <c r="H1669">
        <v>4.5999999999999999E-2</v>
      </c>
      <c r="I1669" s="3">
        <v>1429</v>
      </c>
      <c r="J1669" s="1">
        <v>45637</v>
      </c>
      <c r="K1669" t="s">
        <v>31</v>
      </c>
      <c r="L1669" t="s">
        <v>9</v>
      </c>
      <c r="M1669" t="s">
        <v>35</v>
      </c>
      <c r="N1669" s="1">
        <f t="shared" si="156"/>
        <v>45637</v>
      </c>
      <c r="O1669" s="4">
        <f t="shared" si="157"/>
        <v>3.7572254335260118E-2</v>
      </c>
      <c r="P1669">
        <f t="shared" si="158"/>
        <v>1.1877948717948719</v>
      </c>
      <c r="Q1669" s="2">
        <f t="shared" si="159"/>
        <v>11.581</v>
      </c>
      <c r="R1669" s="2">
        <f t="shared" si="160"/>
        <v>77.206666666666663</v>
      </c>
      <c r="S1669" s="2">
        <f t="shared" si="161"/>
        <v>6.1695881184699077</v>
      </c>
    </row>
    <row r="1670" spans="1:19" hidden="1">
      <c r="A1670" t="s">
        <v>1723</v>
      </c>
      <c r="B1670" t="s">
        <v>30</v>
      </c>
      <c r="C1670">
        <v>97</v>
      </c>
      <c r="D1670">
        <v>3921</v>
      </c>
      <c r="E1670" s="2">
        <v>232.83</v>
      </c>
      <c r="F1670">
        <v>11</v>
      </c>
      <c r="G1670">
        <v>9</v>
      </c>
      <c r="H1670">
        <v>3.5999999999999997E-2</v>
      </c>
      <c r="I1670" s="3">
        <v>1886</v>
      </c>
      <c r="J1670" s="1">
        <v>45612</v>
      </c>
      <c r="K1670" t="s">
        <v>31</v>
      </c>
      <c r="L1670" t="s">
        <v>9</v>
      </c>
      <c r="M1670" t="s">
        <v>46</v>
      </c>
      <c r="N1670" s="1">
        <f t="shared" si="156"/>
        <v>45612</v>
      </c>
      <c r="O1670" s="4">
        <f t="shared" si="157"/>
        <v>2.4738587095128793E-2</v>
      </c>
      <c r="P1670">
        <f t="shared" si="158"/>
        <v>2.4003092783505156</v>
      </c>
      <c r="Q1670" s="2">
        <f t="shared" si="159"/>
        <v>21.166363636363638</v>
      </c>
      <c r="R1670" s="2">
        <f t="shared" si="160"/>
        <v>25.87</v>
      </c>
      <c r="S1670" s="2">
        <f t="shared" si="161"/>
        <v>8.1003307133960387</v>
      </c>
    </row>
    <row r="1671" spans="1:19">
      <c r="A1671" t="s">
        <v>1724</v>
      </c>
      <c r="B1671" t="s">
        <v>30</v>
      </c>
      <c r="C1671">
        <v>184</v>
      </c>
      <c r="D1671">
        <v>3824</v>
      </c>
      <c r="E1671" s="2">
        <v>200.99</v>
      </c>
      <c r="F1671">
        <v>26</v>
      </c>
      <c r="G1671">
        <v>6</v>
      </c>
      <c r="H1671">
        <v>4.5999999999999999E-2</v>
      </c>
      <c r="I1671" s="3">
        <v>1023</v>
      </c>
      <c r="J1671" s="1">
        <v>45622</v>
      </c>
      <c r="K1671" t="s">
        <v>31</v>
      </c>
      <c r="L1671" t="s">
        <v>8</v>
      </c>
      <c r="M1671" t="s">
        <v>37</v>
      </c>
      <c r="N1671" s="1">
        <f t="shared" si="156"/>
        <v>45622</v>
      </c>
      <c r="O1671" s="4">
        <f t="shared" si="157"/>
        <v>4.8117154811715482E-2</v>
      </c>
      <c r="P1671">
        <f t="shared" si="158"/>
        <v>1.0923369565217391</v>
      </c>
      <c r="Q1671" s="2">
        <f t="shared" si="159"/>
        <v>7.7303846153846161</v>
      </c>
      <c r="R1671" s="2">
        <f t="shared" si="160"/>
        <v>33.498333333333335</v>
      </c>
      <c r="S1671" s="2">
        <f t="shared" si="161"/>
        <v>5.0898054629583562</v>
      </c>
    </row>
    <row r="1672" spans="1:19" hidden="1">
      <c r="A1672" t="s">
        <v>1725</v>
      </c>
      <c r="B1672" t="s">
        <v>30</v>
      </c>
      <c r="C1672">
        <v>168</v>
      </c>
      <c r="D1672">
        <v>5414</v>
      </c>
      <c r="E1672" s="2">
        <v>221.78</v>
      </c>
      <c r="F1672">
        <v>19</v>
      </c>
      <c r="G1672">
        <v>8</v>
      </c>
      <c r="H1672">
        <v>4.8000000000000001E-2</v>
      </c>
      <c r="I1672" s="3">
        <v>1715</v>
      </c>
      <c r="J1672" s="1">
        <v>45625</v>
      </c>
      <c r="K1672" t="s">
        <v>31</v>
      </c>
      <c r="L1672" t="s">
        <v>8</v>
      </c>
      <c r="M1672" t="s">
        <v>39</v>
      </c>
      <c r="N1672" s="1">
        <f t="shared" si="156"/>
        <v>45625</v>
      </c>
      <c r="O1672" s="4">
        <f t="shared" si="157"/>
        <v>3.1030661248614703E-2</v>
      </c>
      <c r="P1672">
        <f t="shared" si="158"/>
        <v>1.3201190476190476</v>
      </c>
      <c r="Q1672" s="2">
        <f t="shared" si="159"/>
        <v>11.672631578947369</v>
      </c>
      <c r="R1672" s="2">
        <f t="shared" si="160"/>
        <v>27.7225</v>
      </c>
      <c r="S1672" s="2">
        <f t="shared" si="161"/>
        <v>7.7328884480115425</v>
      </c>
    </row>
    <row r="1673" spans="1:19">
      <c r="A1673" t="s">
        <v>1726</v>
      </c>
      <c r="B1673" t="s">
        <v>30</v>
      </c>
      <c r="C1673">
        <v>128</v>
      </c>
      <c r="D1673">
        <v>3984</v>
      </c>
      <c r="E1673" s="2">
        <v>222.78</v>
      </c>
      <c r="F1673">
        <v>26</v>
      </c>
      <c r="G1673">
        <v>4</v>
      </c>
      <c r="H1673">
        <v>4.5999999999999999E-2</v>
      </c>
      <c r="I1673" s="3">
        <v>1786</v>
      </c>
      <c r="J1673" s="1">
        <v>45610</v>
      </c>
      <c r="K1673" t="s">
        <v>31</v>
      </c>
      <c r="L1673" t="s">
        <v>7</v>
      </c>
      <c r="M1673" t="s">
        <v>37</v>
      </c>
      <c r="N1673" s="1">
        <f t="shared" si="156"/>
        <v>45610</v>
      </c>
      <c r="O1673" s="4">
        <f t="shared" si="157"/>
        <v>3.2128514056224897E-2</v>
      </c>
      <c r="P1673">
        <f t="shared" si="158"/>
        <v>1.74046875</v>
      </c>
      <c r="Q1673" s="2">
        <f t="shared" si="159"/>
        <v>8.5684615384615377</v>
      </c>
      <c r="R1673" s="2">
        <f t="shared" si="160"/>
        <v>55.695</v>
      </c>
      <c r="S1673" s="2">
        <f t="shared" si="161"/>
        <v>8.0168776371308024</v>
      </c>
    </row>
    <row r="1674" spans="1:19">
      <c r="A1674" t="s">
        <v>1727</v>
      </c>
      <c r="B1674" t="s">
        <v>30</v>
      </c>
      <c r="C1674">
        <v>117</v>
      </c>
      <c r="D1674">
        <v>4716</v>
      </c>
      <c r="E1674" s="2">
        <v>213.86</v>
      </c>
      <c r="F1674">
        <v>26</v>
      </c>
      <c r="G1674">
        <v>4</v>
      </c>
      <c r="H1674">
        <v>4.5999999999999999E-2</v>
      </c>
      <c r="I1674" s="3">
        <v>1505</v>
      </c>
      <c r="J1674" s="1">
        <v>45623</v>
      </c>
      <c r="K1674" t="s">
        <v>31</v>
      </c>
      <c r="L1674" t="s">
        <v>8</v>
      </c>
      <c r="M1674" t="s">
        <v>41</v>
      </c>
      <c r="N1674" s="1">
        <f t="shared" si="156"/>
        <v>45623</v>
      </c>
      <c r="O1674" s="4">
        <f t="shared" si="157"/>
        <v>2.4809160305343511E-2</v>
      </c>
      <c r="P1674">
        <f t="shared" si="158"/>
        <v>1.8278632478632479</v>
      </c>
      <c r="Q1674" s="2">
        <f t="shared" si="159"/>
        <v>8.2253846153846162</v>
      </c>
      <c r="R1674" s="2">
        <f t="shared" si="160"/>
        <v>53.465000000000003</v>
      </c>
      <c r="S1674" s="2">
        <f t="shared" si="161"/>
        <v>7.0373141307397358</v>
      </c>
    </row>
    <row r="1675" spans="1:19" hidden="1">
      <c r="A1675" t="s">
        <v>1728</v>
      </c>
      <c r="B1675" t="s">
        <v>30</v>
      </c>
      <c r="C1675">
        <v>142</v>
      </c>
      <c r="D1675">
        <v>5265</v>
      </c>
      <c r="E1675" s="2">
        <v>183.15</v>
      </c>
      <c r="F1675">
        <v>19</v>
      </c>
      <c r="G1675">
        <v>9</v>
      </c>
      <c r="H1675">
        <v>4.7E-2</v>
      </c>
      <c r="I1675" s="3">
        <v>1173</v>
      </c>
      <c r="J1675" s="1">
        <v>45603</v>
      </c>
      <c r="K1675" t="s">
        <v>31</v>
      </c>
      <c r="L1675" t="s">
        <v>7</v>
      </c>
      <c r="M1675" t="s">
        <v>41</v>
      </c>
      <c r="N1675" s="1">
        <f t="shared" si="156"/>
        <v>45603</v>
      </c>
      <c r="O1675" s="4">
        <f t="shared" si="157"/>
        <v>2.6970560303893637E-2</v>
      </c>
      <c r="P1675">
        <f t="shared" si="158"/>
        <v>1.2897887323943662</v>
      </c>
      <c r="Q1675" s="2">
        <f t="shared" si="159"/>
        <v>9.6394736842105271</v>
      </c>
      <c r="R1675" s="2">
        <f t="shared" si="160"/>
        <v>20.350000000000001</v>
      </c>
      <c r="S1675" s="2">
        <f t="shared" si="161"/>
        <v>6.4045864045864045</v>
      </c>
    </row>
    <row r="1676" spans="1:19">
      <c r="A1676" t="s">
        <v>1729</v>
      </c>
      <c r="B1676" t="s">
        <v>30</v>
      </c>
      <c r="C1676">
        <v>194</v>
      </c>
      <c r="D1676">
        <v>5273</v>
      </c>
      <c r="E1676" s="2">
        <v>201.59</v>
      </c>
      <c r="F1676">
        <v>15</v>
      </c>
      <c r="G1676">
        <v>10</v>
      </c>
      <c r="H1676">
        <v>4.5999999999999999E-2</v>
      </c>
      <c r="I1676" s="3">
        <v>1018</v>
      </c>
      <c r="J1676" s="1">
        <v>45602</v>
      </c>
      <c r="K1676" t="s">
        <v>31</v>
      </c>
      <c r="L1676" t="s">
        <v>8</v>
      </c>
      <c r="M1676" t="s">
        <v>37</v>
      </c>
      <c r="N1676" s="1">
        <f t="shared" si="156"/>
        <v>45602</v>
      </c>
      <c r="O1676" s="4">
        <f t="shared" si="157"/>
        <v>3.6791200455148873E-2</v>
      </c>
      <c r="P1676">
        <f t="shared" si="158"/>
        <v>1.0391237113402063</v>
      </c>
      <c r="Q1676" s="2">
        <f t="shared" si="159"/>
        <v>13.439333333333334</v>
      </c>
      <c r="R1676" s="2">
        <f t="shared" si="160"/>
        <v>20.158999999999999</v>
      </c>
      <c r="S1676" s="2">
        <f t="shared" si="161"/>
        <v>5.049853663376159</v>
      </c>
    </row>
    <row r="1677" spans="1:19" hidden="1">
      <c r="A1677" t="s">
        <v>1730</v>
      </c>
      <c r="B1677" t="s">
        <v>30</v>
      </c>
      <c r="C1677">
        <v>141</v>
      </c>
      <c r="D1677">
        <v>5656</v>
      </c>
      <c r="E1677" s="2">
        <v>193.58</v>
      </c>
      <c r="F1677">
        <v>20</v>
      </c>
      <c r="G1677">
        <v>6</v>
      </c>
      <c r="H1677">
        <v>4.2999999999999997E-2</v>
      </c>
      <c r="I1677" s="3">
        <v>1953</v>
      </c>
      <c r="J1677" s="1" t="s">
        <v>100</v>
      </c>
      <c r="K1677" t="s">
        <v>31</v>
      </c>
      <c r="L1677" t="s">
        <v>7</v>
      </c>
      <c r="M1677" t="s">
        <v>35</v>
      </c>
      <c r="N1677" s="1">
        <f t="shared" si="156"/>
        <v>45622</v>
      </c>
      <c r="O1677" s="4">
        <f t="shared" si="157"/>
        <v>2.492927864214993E-2</v>
      </c>
      <c r="P1677">
        <f t="shared" si="158"/>
        <v>1.3729078014184397</v>
      </c>
      <c r="Q1677" s="2">
        <f t="shared" si="159"/>
        <v>9.6790000000000003</v>
      </c>
      <c r="R1677" s="2">
        <f t="shared" si="160"/>
        <v>32.263333333333335</v>
      </c>
      <c r="S1677" s="2">
        <f t="shared" si="161"/>
        <v>10.088852154148155</v>
      </c>
    </row>
    <row r="1678" spans="1:19" hidden="1">
      <c r="A1678" t="s">
        <v>1731</v>
      </c>
      <c r="B1678" t="s">
        <v>30</v>
      </c>
      <c r="C1678">
        <v>137</v>
      </c>
      <c r="D1678">
        <v>3149</v>
      </c>
      <c r="E1678" s="2">
        <v>195.06</v>
      </c>
      <c r="F1678">
        <v>17</v>
      </c>
      <c r="G1678">
        <v>6</v>
      </c>
      <c r="H1678">
        <v>4.5999999999999999E-2</v>
      </c>
      <c r="I1678" s="3">
        <v>1718</v>
      </c>
      <c r="J1678" s="1">
        <v>45604</v>
      </c>
      <c r="K1678" t="s">
        <v>31</v>
      </c>
      <c r="L1678" t="s">
        <v>9</v>
      </c>
      <c r="M1678" t="s">
        <v>46</v>
      </c>
      <c r="N1678" s="1">
        <f t="shared" si="156"/>
        <v>45604</v>
      </c>
      <c r="O1678" s="4">
        <f t="shared" si="157"/>
        <v>4.3505874880914577E-2</v>
      </c>
      <c r="P1678">
        <f t="shared" si="158"/>
        <v>1.4237956204379563</v>
      </c>
      <c r="Q1678" s="2">
        <f t="shared" si="159"/>
        <v>11.474117647058824</v>
      </c>
      <c r="R1678" s="2">
        <f t="shared" si="160"/>
        <v>32.51</v>
      </c>
      <c r="S1678" s="2">
        <f t="shared" si="161"/>
        <v>8.8075463959807241</v>
      </c>
    </row>
    <row r="1679" spans="1:19" hidden="1">
      <c r="A1679" t="s">
        <v>1732</v>
      </c>
      <c r="B1679" t="s">
        <v>30</v>
      </c>
      <c r="C1679">
        <v>162</v>
      </c>
      <c r="D1679">
        <v>5799</v>
      </c>
      <c r="E1679" s="2">
        <v>196.39</v>
      </c>
      <c r="F1679">
        <v>27</v>
      </c>
      <c r="G1679">
        <v>8</v>
      </c>
      <c r="H1679">
        <v>4.9000000000000002E-2</v>
      </c>
      <c r="I1679" s="3">
        <v>1505</v>
      </c>
      <c r="J1679" s="1">
        <v>45609</v>
      </c>
      <c r="K1679" t="s">
        <v>31</v>
      </c>
      <c r="L1679" t="s">
        <v>9</v>
      </c>
      <c r="M1679" t="s">
        <v>37</v>
      </c>
      <c r="N1679" s="1">
        <f t="shared" si="156"/>
        <v>45609</v>
      </c>
      <c r="O1679" s="4">
        <f t="shared" si="157"/>
        <v>2.7935851008794619E-2</v>
      </c>
      <c r="P1679">
        <f t="shared" si="158"/>
        <v>1.2122839506172838</v>
      </c>
      <c r="Q1679" s="2">
        <f t="shared" si="159"/>
        <v>7.2737037037037036</v>
      </c>
      <c r="R1679" s="2">
        <f t="shared" si="160"/>
        <v>24.548749999999998</v>
      </c>
      <c r="S1679" s="2">
        <f t="shared" si="161"/>
        <v>7.6633229797851223</v>
      </c>
    </row>
    <row r="1680" spans="1:19" hidden="1">
      <c r="A1680" t="s">
        <v>1733</v>
      </c>
      <c r="B1680" t="s">
        <v>30</v>
      </c>
      <c r="C1680">
        <v>151</v>
      </c>
      <c r="D1680">
        <v>3487</v>
      </c>
      <c r="E1680" s="2">
        <v>187</v>
      </c>
      <c r="F1680">
        <v>30</v>
      </c>
      <c r="G1680">
        <v>6</v>
      </c>
      <c r="H1680">
        <v>0.04</v>
      </c>
      <c r="I1680" s="3">
        <v>1529</v>
      </c>
      <c r="J1680" s="1" t="s">
        <v>217</v>
      </c>
      <c r="K1680" t="s">
        <v>31</v>
      </c>
      <c r="L1680" t="s">
        <v>8</v>
      </c>
      <c r="M1680" t="s">
        <v>41</v>
      </c>
      <c r="N1680" s="1">
        <f t="shared" si="156"/>
        <v>45609</v>
      </c>
      <c r="O1680" s="4">
        <f t="shared" si="157"/>
        <v>4.3303699455119013E-2</v>
      </c>
      <c r="P1680">
        <f t="shared" si="158"/>
        <v>1.2384105960264902</v>
      </c>
      <c r="Q1680" s="2">
        <f t="shared" si="159"/>
        <v>6.2333333333333334</v>
      </c>
      <c r="R1680" s="2">
        <f t="shared" si="160"/>
        <v>31.166666666666668</v>
      </c>
      <c r="S1680" s="2">
        <f t="shared" si="161"/>
        <v>8.1764705882352935</v>
      </c>
    </row>
    <row r="1681" spans="1:19" hidden="1">
      <c r="A1681" t="s">
        <v>1734</v>
      </c>
      <c r="B1681" t="s">
        <v>30</v>
      </c>
      <c r="C1681">
        <v>87</v>
      </c>
      <c r="D1681">
        <v>4140</v>
      </c>
      <c r="E1681" s="2">
        <v>209.82</v>
      </c>
      <c r="F1681">
        <v>17</v>
      </c>
      <c r="G1681">
        <v>7</v>
      </c>
      <c r="H1681">
        <v>0.08</v>
      </c>
      <c r="I1681" s="3">
        <v>1151</v>
      </c>
      <c r="J1681" s="1" t="s">
        <v>111</v>
      </c>
      <c r="K1681" t="s">
        <v>31</v>
      </c>
      <c r="L1681" t="s">
        <v>9</v>
      </c>
      <c r="M1681" t="s">
        <v>41</v>
      </c>
      <c r="N1681" s="1">
        <f t="shared" si="156"/>
        <v>45619</v>
      </c>
      <c r="O1681" s="4">
        <f t="shared" si="157"/>
        <v>2.1014492753623187E-2</v>
      </c>
      <c r="P1681">
        <f t="shared" si="158"/>
        <v>2.4117241379310346</v>
      </c>
      <c r="Q1681" s="2">
        <f t="shared" si="159"/>
        <v>12.34235294117647</v>
      </c>
      <c r="R1681" s="2">
        <f t="shared" si="160"/>
        <v>29.974285714285713</v>
      </c>
      <c r="S1681" s="2">
        <f t="shared" si="161"/>
        <v>5.4856543704127345</v>
      </c>
    </row>
    <row r="1682" spans="1:19" hidden="1">
      <c r="A1682" t="s">
        <v>1735</v>
      </c>
      <c r="B1682" t="s">
        <v>30</v>
      </c>
      <c r="C1682">
        <v>183</v>
      </c>
      <c r="D1682">
        <v>5659</v>
      </c>
      <c r="E1682" s="2">
        <v>191.88</v>
      </c>
      <c r="F1682">
        <v>12</v>
      </c>
      <c r="G1682">
        <v>7</v>
      </c>
      <c r="H1682">
        <v>3.7999999999999999E-2</v>
      </c>
      <c r="I1682" s="3">
        <v>1830</v>
      </c>
      <c r="J1682" s="1">
        <v>45606</v>
      </c>
      <c r="K1682" t="s">
        <v>31</v>
      </c>
      <c r="L1682" t="s">
        <v>8</v>
      </c>
      <c r="M1682" t="s">
        <v>46</v>
      </c>
      <c r="N1682" s="1">
        <f t="shared" si="156"/>
        <v>45606</v>
      </c>
      <c r="O1682" s="4">
        <f t="shared" si="157"/>
        <v>3.2337868881427811E-2</v>
      </c>
      <c r="P1682">
        <f t="shared" si="158"/>
        <v>1.0485245901639344</v>
      </c>
      <c r="Q1682" s="2">
        <f t="shared" si="159"/>
        <v>15.99</v>
      </c>
      <c r="R1682" s="2">
        <f t="shared" si="160"/>
        <v>27.411428571428569</v>
      </c>
      <c r="S1682" s="2">
        <f t="shared" si="161"/>
        <v>9.5372107567229527</v>
      </c>
    </row>
    <row r="1683" spans="1:19" hidden="1">
      <c r="A1683" t="s">
        <v>1736</v>
      </c>
      <c r="B1683" t="s">
        <v>30</v>
      </c>
      <c r="C1683">
        <v>120</v>
      </c>
      <c r="D1683">
        <v>3629</v>
      </c>
      <c r="E1683" s="2">
        <v>197.43</v>
      </c>
      <c r="F1683">
        <v>12</v>
      </c>
      <c r="G1683">
        <v>7</v>
      </c>
      <c r="H1683">
        <v>5.2999999999999999E-2</v>
      </c>
      <c r="I1683" s="3">
        <v>1522</v>
      </c>
      <c r="J1683" s="1">
        <v>45619</v>
      </c>
      <c r="K1683" t="s">
        <v>31</v>
      </c>
      <c r="L1683" t="s">
        <v>7</v>
      </c>
      <c r="M1683" t="s">
        <v>39</v>
      </c>
      <c r="N1683" s="1">
        <f t="shared" si="156"/>
        <v>45619</v>
      </c>
      <c r="O1683" s="4">
        <f t="shared" si="157"/>
        <v>3.3066960595205294E-2</v>
      </c>
      <c r="P1683">
        <f t="shared" si="158"/>
        <v>1.6452500000000001</v>
      </c>
      <c r="Q1683" s="2">
        <f t="shared" si="159"/>
        <v>16.452500000000001</v>
      </c>
      <c r="R1683" s="2">
        <f t="shared" si="160"/>
        <v>28.204285714285714</v>
      </c>
      <c r="S1683" s="2">
        <f t="shared" si="161"/>
        <v>7.7090614394975434</v>
      </c>
    </row>
    <row r="1684" spans="1:19" hidden="1">
      <c r="A1684" t="s">
        <v>1737</v>
      </c>
      <c r="B1684" t="s">
        <v>30</v>
      </c>
      <c r="C1684">
        <v>187</v>
      </c>
      <c r="D1684">
        <v>5531</v>
      </c>
      <c r="E1684" s="2">
        <v>219.88</v>
      </c>
      <c r="F1684">
        <v>10</v>
      </c>
      <c r="G1684">
        <v>5</v>
      </c>
      <c r="H1684">
        <v>0.05</v>
      </c>
      <c r="I1684" s="3">
        <v>1807</v>
      </c>
      <c r="J1684" s="1">
        <v>45609</v>
      </c>
      <c r="K1684" t="s">
        <v>31</v>
      </c>
      <c r="L1684" t="s">
        <v>9</v>
      </c>
      <c r="M1684" t="s">
        <v>46</v>
      </c>
      <c r="N1684" s="1">
        <f t="shared" si="156"/>
        <v>45609</v>
      </c>
      <c r="O1684" s="4">
        <f t="shared" si="157"/>
        <v>3.3809437714698971E-2</v>
      </c>
      <c r="P1684">
        <f t="shared" si="158"/>
        <v>1.1758288770053476</v>
      </c>
      <c r="Q1684" s="2">
        <f t="shared" si="159"/>
        <v>21.988</v>
      </c>
      <c r="R1684" s="2">
        <f t="shared" si="160"/>
        <v>43.975999999999999</v>
      </c>
      <c r="S1684" s="2">
        <f t="shared" si="161"/>
        <v>8.2181189739858098</v>
      </c>
    </row>
    <row r="1685" spans="1:19" hidden="1">
      <c r="A1685" t="s">
        <v>1738</v>
      </c>
      <c r="B1685" t="s">
        <v>30</v>
      </c>
      <c r="C1685">
        <v>121</v>
      </c>
      <c r="D1685">
        <v>5275</v>
      </c>
      <c r="E1685" s="2">
        <v>234.88</v>
      </c>
      <c r="F1685">
        <v>23</v>
      </c>
      <c r="G1685">
        <v>4</v>
      </c>
      <c r="H1685">
        <v>3.3000000000000002E-2</v>
      </c>
      <c r="I1685" s="3">
        <v>1766</v>
      </c>
      <c r="J1685" s="1">
        <v>45423</v>
      </c>
      <c r="K1685" t="s">
        <v>31</v>
      </c>
      <c r="L1685" t="s">
        <v>7</v>
      </c>
      <c r="M1685" t="s">
        <v>37</v>
      </c>
      <c r="N1685" s="1">
        <f t="shared" si="156"/>
        <v>45423</v>
      </c>
      <c r="O1685" s="4">
        <f t="shared" si="157"/>
        <v>2.2938388625592419E-2</v>
      </c>
      <c r="P1685">
        <f t="shared" si="158"/>
        <v>1.9411570247933885</v>
      </c>
      <c r="Q1685" s="2">
        <f t="shared" si="159"/>
        <v>10.212173913043477</v>
      </c>
      <c r="R1685" s="2">
        <f t="shared" si="160"/>
        <v>58.72</v>
      </c>
      <c r="S1685" s="2">
        <f t="shared" si="161"/>
        <v>7.5187329700272478</v>
      </c>
    </row>
    <row r="1686" spans="1:19">
      <c r="A1686" t="s">
        <v>1739</v>
      </c>
      <c r="B1686" t="s">
        <v>30</v>
      </c>
      <c r="C1686">
        <v>173</v>
      </c>
      <c r="D1686">
        <v>3190</v>
      </c>
      <c r="E1686" s="2">
        <v>226.32</v>
      </c>
      <c r="F1686">
        <v>13</v>
      </c>
      <c r="G1686">
        <v>7</v>
      </c>
      <c r="H1686">
        <v>4.5999999999999999E-2</v>
      </c>
      <c r="I1686" s="3">
        <v>1884</v>
      </c>
      <c r="J1686" s="1">
        <v>45623</v>
      </c>
      <c r="K1686" t="s">
        <v>31</v>
      </c>
      <c r="L1686" t="s">
        <v>8</v>
      </c>
      <c r="M1686" t="s">
        <v>41</v>
      </c>
      <c r="N1686" s="1">
        <f t="shared" si="156"/>
        <v>45623</v>
      </c>
      <c r="O1686" s="4">
        <f t="shared" si="157"/>
        <v>5.4231974921630094E-2</v>
      </c>
      <c r="P1686">
        <f t="shared" si="158"/>
        <v>1.308208092485549</v>
      </c>
      <c r="Q1686" s="2">
        <f t="shared" si="159"/>
        <v>17.409230769230767</v>
      </c>
      <c r="R1686" s="2">
        <f t="shared" si="160"/>
        <v>32.331428571428567</v>
      </c>
      <c r="S1686" s="2">
        <f t="shared" si="161"/>
        <v>8.3244962884411464</v>
      </c>
    </row>
    <row r="1687" spans="1:19">
      <c r="A1687" t="s">
        <v>1740</v>
      </c>
      <c r="B1687" t="s">
        <v>30</v>
      </c>
      <c r="C1687">
        <v>165</v>
      </c>
      <c r="D1687">
        <v>5406</v>
      </c>
      <c r="E1687" s="2">
        <v>237.32</v>
      </c>
      <c r="F1687">
        <v>23</v>
      </c>
      <c r="G1687">
        <v>10</v>
      </c>
      <c r="H1687">
        <v>4.5999999999999999E-2</v>
      </c>
      <c r="I1687" s="3">
        <v>1002</v>
      </c>
      <c r="J1687" s="1" t="s">
        <v>206</v>
      </c>
      <c r="K1687" t="s">
        <v>31</v>
      </c>
      <c r="L1687" t="s">
        <v>9</v>
      </c>
      <c r="M1687" t="s">
        <v>35</v>
      </c>
      <c r="N1687" s="1">
        <f t="shared" si="156"/>
        <v>45621</v>
      </c>
      <c r="O1687" s="4">
        <f t="shared" si="157"/>
        <v>3.0521642619311874E-2</v>
      </c>
      <c r="P1687">
        <f t="shared" si="158"/>
        <v>1.4383030303030302</v>
      </c>
      <c r="Q1687" s="2">
        <f t="shared" si="159"/>
        <v>10.318260869565217</v>
      </c>
      <c r="R1687" s="2">
        <f t="shared" si="160"/>
        <v>23.731999999999999</v>
      </c>
      <c r="S1687" s="2">
        <f t="shared" si="161"/>
        <v>4.2221473116467214</v>
      </c>
    </row>
    <row r="1688" spans="1:19" hidden="1">
      <c r="A1688" t="s">
        <v>1741</v>
      </c>
      <c r="B1688" t="s">
        <v>30</v>
      </c>
      <c r="C1688">
        <v>192</v>
      </c>
      <c r="D1688">
        <v>3755</v>
      </c>
      <c r="E1688" s="2">
        <v>218.14</v>
      </c>
      <c r="F1688">
        <v>28</v>
      </c>
      <c r="G1688">
        <v>3</v>
      </c>
      <c r="H1688">
        <v>1.6E-2</v>
      </c>
      <c r="I1688" s="3">
        <v>1121</v>
      </c>
      <c r="J1688" s="1">
        <v>45626</v>
      </c>
      <c r="K1688" t="s">
        <v>31</v>
      </c>
      <c r="L1688" t="s">
        <v>8</v>
      </c>
      <c r="M1688" t="s">
        <v>41</v>
      </c>
      <c r="N1688" s="1">
        <f t="shared" si="156"/>
        <v>45626</v>
      </c>
      <c r="O1688" s="4">
        <f t="shared" si="157"/>
        <v>5.1131824234354195E-2</v>
      </c>
      <c r="P1688">
        <f t="shared" si="158"/>
        <v>1.1361458333333332</v>
      </c>
      <c r="Q1688" s="2">
        <f t="shared" si="159"/>
        <v>7.7907142857142855</v>
      </c>
      <c r="R1688" s="2">
        <f t="shared" si="160"/>
        <v>72.713333333333324</v>
      </c>
      <c r="S1688" s="2">
        <f t="shared" si="161"/>
        <v>5.1389016228110389</v>
      </c>
    </row>
    <row r="1689" spans="1:19" hidden="1">
      <c r="A1689" t="s">
        <v>1742</v>
      </c>
      <c r="B1689" t="s">
        <v>30</v>
      </c>
      <c r="C1689">
        <v>193</v>
      </c>
      <c r="D1689">
        <v>4497</v>
      </c>
      <c r="E1689" s="2">
        <v>248.41</v>
      </c>
      <c r="F1689">
        <v>24</v>
      </c>
      <c r="G1689">
        <v>9</v>
      </c>
      <c r="H1689">
        <v>4.7E-2</v>
      </c>
      <c r="I1689" s="3">
        <v>1025</v>
      </c>
      <c r="J1689" s="1">
        <v>45602</v>
      </c>
      <c r="K1689" t="s">
        <v>31</v>
      </c>
      <c r="L1689" t="s">
        <v>7</v>
      </c>
      <c r="M1689" t="s">
        <v>32</v>
      </c>
      <c r="N1689" s="1">
        <f t="shared" si="156"/>
        <v>45602</v>
      </c>
      <c r="O1689" s="4">
        <f t="shared" si="157"/>
        <v>4.291750055592617E-2</v>
      </c>
      <c r="P1689">
        <f t="shared" si="158"/>
        <v>1.287098445595855</v>
      </c>
      <c r="Q1689" s="2">
        <f t="shared" si="159"/>
        <v>10.350416666666666</v>
      </c>
      <c r="R1689" s="2">
        <f t="shared" si="160"/>
        <v>27.601111111111109</v>
      </c>
      <c r="S1689" s="2">
        <f t="shared" si="161"/>
        <v>4.1262429048750047</v>
      </c>
    </row>
    <row r="1690" spans="1:19" hidden="1">
      <c r="A1690" t="s">
        <v>1743</v>
      </c>
      <c r="B1690" t="s">
        <v>30</v>
      </c>
      <c r="C1690">
        <v>138</v>
      </c>
      <c r="D1690">
        <v>5904</v>
      </c>
      <c r="E1690" s="2">
        <v>197.08</v>
      </c>
      <c r="F1690">
        <v>26</v>
      </c>
      <c r="G1690">
        <v>8</v>
      </c>
      <c r="H1690">
        <v>5.8000000000000003E-2</v>
      </c>
      <c r="I1690" s="3">
        <v>1698</v>
      </c>
      <c r="J1690" s="1">
        <v>45615</v>
      </c>
      <c r="K1690" t="s">
        <v>31</v>
      </c>
      <c r="L1690" t="s">
        <v>7</v>
      </c>
      <c r="M1690" t="s">
        <v>32</v>
      </c>
      <c r="N1690" s="1">
        <f t="shared" si="156"/>
        <v>45615</v>
      </c>
      <c r="O1690" s="4">
        <f t="shared" si="157"/>
        <v>2.3373983739837397E-2</v>
      </c>
      <c r="P1690">
        <f t="shared" si="158"/>
        <v>1.4281159420289855</v>
      </c>
      <c r="Q1690" s="2">
        <f t="shared" si="159"/>
        <v>7.58</v>
      </c>
      <c r="R1690" s="2">
        <f t="shared" si="160"/>
        <v>24.635000000000002</v>
      </c>
      <c r="S1690" s="2">
        <f t="shared" si="161"/>
        <v>8.6157905419119132</v>
      </c>
    </row>
    <row r="1691" spans="1:19">
      <c r="A1691" t="s">
        <v>1744</v>
      </c>
      <c r="B1691" t="s">
        <v>30</v>
      </c>
      <c r="C1691">
        <v>104</v>
      </c>
      <c r="D1691">
        <v>4212</v>
      </c>
      <c r="E1691" s="2">
        <v>215.57</v>
      </c>
      <c r="F1691">
        <v>15</v>
      </c>
      <c r="G1691">
        <v>6</v>
      </c>
      <c r="H1691">
        <v>4.5999999999999999E-2</v>
      </c>
      <c r="I1691" s="3">
        <v>1108</v>
      </c>
      <c r="J1691" s="1">
        <v>45626</v>
      </c>
      <c r="K1691" t="s">
        <v>31</v>
      </c>
      <c r="L1691" t="s">
        <v>7</v>
      </c>
      <c r="M1691" t="s">
        <v>39</v>
      </c>
      <c r="N1691" s="1">
        <f t="shared" si="156"/>
        <v>45626</v>
      </c>
      <c r="O1691" s="4">
        <f t="shared" si="157"/>
        <v>2.4691358024691357E-2</v>
      </c>
      <c r="P1691">
        <f t="shared" si="158"/>
        <v>2.0727884615384613</v>
      </c>
      <c r="Q1691" s="2">
        <f t="shared" si="159"/>
        <v>14.371333333333332</v>
      </c>
      <c r="R1691" s="2">
        <f t="shared" si="160"/>
        <v>35.928333333333335</v>
      </c>
      <c r="S1691" s="2">
        <f t="shared" si="161"/>
        <v>5.1398617618407014</v>
      </c>
    </row>
    <row r="1692" spans="1:19" hidden="1">
      <c r="A1692" t="s">
        <v>1745</v>
      </c>
      <c r="B1692" t="s">
        <v>30</v>
      </c>
      <c r="C1692">
        <v>162</v>
      </c>
      <c r="D1692">
        <v>5979</v>
      </c>
      <c r="E1692" s="2">
        <v>190.69</v>
      </c>
      <c r="F1692">
        <v>30</v>
      </c>
      <c r="G1692">
        <v>6</v>
      </c>
      <c r="H1692">
        <v>4.2999999999999997E-2</v>
      </c>
      <c r="I1692" s="3">
        <v>1976</v>
      </c>
      <c r="J1692" s="1">
        <v>45619</v>
      </c>
      <c r="K1692" t="s">
        <v>31</v>
      </c>
      <c r="L1692" t="s">
        <v>9</v>
      </c>
      <c r="M1692" t="s">
        <v>32</v>
      </c>
      <c r="N1692" s="1">
        <f t="shared" si="156"/>
        <v>45619</v>
      </c>
      <c r="O1692" s="4">
        <f t="shared" si="157"/>
        <v>2.7094831911690917E-2</v>
      </c>
      <c r="P1692">
        <f t="shared" si="158"/>
        <v>1.1770987654320988</v>
      </c>
      <c r="Q1692" s="2">
        <f t="shared" si="159"/>
        <v>6.3563333333333336</v>
      </c>
      <c r="R1692" s="2">
        <f t="shared" si="160"/>
        <v>31.781666666666666</v>
      </c>
      <c r="S1692" s="2">
        <f t="shared" si="161"/>
        <v>10.362368241648749</v>
      </c>
    </row>
    <row r="1693" spans="1:19" hidden="1">
      <c r="A1693" t="s">
        <v>1746</v>
      </c>
      <c r="B1693" t="s">
        <v>30</v>
      </c>
      <c r="C1693">
        <v>115</v>
      </c>
      <c r="D1693">
        <v>4950</v>
      </c>
      <c r="E1693" s="2">
        <v>241.85</v>
      </c>
      <c r="F1693">
        <v>19</v>
      </c>
      <c r="G1693">
        <v>9</v>
      </c>
      <c r="H1693">
        <v>7.8E-2</v>
      </c>
      <c r="I1693" s="3">
        <v>1343</v>
      </c>
      <c r="J1693" s="1">
        <v>45612</v>
      </c>
      <c r="K1693" t="s">
        <v>31</v>
      </c>
      <c r="L1693" t="s">
        <v>9</v>
      </c>
      <c r="M1693" t="s">
        <v>41</v>
      </c>
      <c r="N1693" s="1">
        <f t="shared" si="156"/>
        <v>45612</v>
      </c>
      <c r="O1693" s="4">
        <f t="shared" si="157"/>
        <v>2.3232323232323233E-2</v>
      </c>
      <c r="P1693">
        <f t="shared" si="158"/>
        <v>2.1030434782608696</v>
      </c>
      <c r="Q1693" s="2">
        <f t="shared" si="159"/>
        <v>12.728947368421052</v>
      </c>
      <c r="R1693" s="2">
        <f t="shared" si="160"/>
        <v>26.87222222222222</v>
      </c>
      <c r="S1693" s="2">
        <f t="shared" si="161"/>
        <v>5.5530287368203437</v>
      </c>
    </row>
    <row r="1694" spans="1:19" hidden="1">
      <c r="A1694" t="s">
        <v>1747</v>
      </c>
      <c r="B1694" t="s">
        <v>30</v>
      </c>
      <c r="C1694">
        <v>104</v>
      </c>
      <c r="D1694">
        <v>3405</v>
      </c>
      <c r="E1694" s="2">
        <v>227.36</v>
      </c>
      <c r="F1694">
        <v>28</v>
      </c>
      <c r="G1694">
        <v>8</v>
      </c>
      <c r="H1694">
        <v>0.05</v>
      </c>
      <c r="I1694" s="3">
        <v>1970</v>
      </c>
      <c r="J1694" s="1">
        <v>45623</v>
      </c>
      <c r="K1694" t="s">
        <v>31</v>
      </c>
      <c r="L1694" t="s">
        <v>8</v>
      </c>
      <c r="M1694" t="s">
        <v>35</v>
      </c>
      <c r="N1694" s="1">
        <f t="shared" si="156"/>
        <v>45623</v>
      </c>
      <c r="O1694" s="4">
        <f t="shared" si="157"/>
        <v>3.0543318649045522E-2</v>
      </c>
      <c r="P1694">
        <f t="shared" si="158"/>
        <v>2.1861538461538461</v>
      </c>
      <c r="Q1694" s="2">
        <f t="shared" si="159"/>
        <v>8.120000000000001</v>
      </c>
      <c r="R1694" s="2">
        <f t="shared" si="160"/>
        <v>28.42</v>
      </c>
      <c r="S1694" s="2">
        <f t="shared" si="161"/>
        <v>8.6646727656579863</v>
      </c>
    </row>
    <row r="1695" spans="1:19" hidden="1">
      <c r="A1695" t="s">
        <v>1748</v>
      </c>
      <c r="B1695" t="s">
        <v>30</v>
      </c>
      <c r="C1695">
        <v>168</v>
      </c>
      <c r="D1695">
        <v>4518.5</v>
      </c>
      <c r="E1695" s="2">
        <v>196.79</v>
      </c>
      <c r="F1695">
        <v>22</v>
      </c>
      <c r="G1695">
        <v>8</v>
      </c>
      <c r="H1695">
        <v>5.0999999999999997E-2</v>
      </c>
      <c r="I1695" s="3">
        <v>1666</v>
      </c>
      <c r="J1695" s="1">
        <v>45619</v>
      </c>
      <c r="K1695" t="s">
        <v>31</v>
      </c>
      <c r="L1695" t="s">
        <v>9</v>
      </c>
      <c r="M1695" t="s">
        <v>32</v>
      </c>
      <c r="N1695" s="1">
        <f t="shared" si="156"/>
        <v>45619</v>
      </c>
      <c r="O1695" s="4">
        <f t="shared" si="157"/>
        <v>3.7180480247869865E-2</v>
      </c>
      <c r="P1695">
        <f t="shared" si="158"/>
        <v>1.1713690476190475</v>
      </c>
      <c r="Q1695" s="2">
        <f t="shared" si="159"/>
        <v>8.9450000000000003</v>
      </c>
      <c r="R1695" s="2">
        <f t="shared" si="160"/>
        <v>24.598749999999999</v>
      </c>
      <c r="S1695" s="2">
        <f t="shared" si="161"/>
        <v>8.4658773311652027</v>
      </c>
    </row>
    <row r="1696" spans="1:19">
      <c r="A1696" t="s">
        <v>1749</v>
      </c>
      <c r="B1696" t="s">
        <v>30</v>
      </c>
      <c r="C1696">
        <v>146</v>
      </c>
      <c r="D1696">
        <v>4624</v>
      </c>
      <c r="E1696" s="2">
        <v>212.67</v>
      </c>
      <c r="F1696">
        <v>19</v>
      </c>
      <c r="G1696">
        <v>9</v>
      </c>
      <c r="H1696">
        <v>4.5999999999999999E-2</v>
      </c>
      <c r="I1696" s="3">
        <v>1513</v>
      </c>
      <c r="J1696" s="1">
        <v>45605</v>
      </c>
      <c r="K1696" t="s">
        <v>31</v>
      </c>
      <c r="L1696" t="s">
        <v>8</v>
      </c>
      <c r="M1696" t="s">
        <v>35</v>
      </c>
      <c r="N1696" s="1">
        <f t="shared" si="156"/>
        <v>45605</v>
      </c>
      <c r="O1696" s="4">
        <f t="shared" si="157"/>
        <v>3.1574394463667818E-2</v>
      </c>
      <c r="P1696">
        <f t="shared" si="158"/>
        <v>1.4566438356164382</v>
      </c>
      <c r="Q1696" s="2">
        <f t="shared" si="159"/>
        <v>11.193157894736842</v>
      </c>
      <c r="R1696" s="2">
        <f t="shared" si="160"/>
        <v>23.63</v>
      </c>
      <c r="S1696" s="2">
        <f t="shared" si="161"/>
        <v>7.1143085531574748</v>
      </c>
    </row>
    <row r="1697" spans="1:19" hidden="1">
      <c r="A1697" t="s">
        <v>1750</v>
      </c>
      <c r="B1697" t="s">
        <v>30</v>
      </c>
      <c r="C1697">
        <v>82</v>
      </c>
      <c r="D1697">
        <v>5241</v>
      </c>
      <c r="E1697" s="2">
        <v>191.23</v>
      </c>
      <c r="F1697">
        <v>28</v>
      </c>
      <c r="G1697">
        <v>9</v>
      </c>
      <c r="H1697">
        <v>0.11</v>
      </c>
      <c r="I1697" s="3">
        <v>1369</v>
      </c>
      <c r="J1697" s="1">
        <v>45362</v>
      </c>
      <c r="K1697" t="s">
        <v>31</v>
      </c>
      <c r="L1697" t="s">
        <v>7</v>
      </c>
      <c r="M1697" t="s">
        <v>35</v>
      </c>
      <c r="N1697" s="1">
        <f t="shared" si="156"/>
        <v>45362</v>
      </c>
      <c r="O1697" s="4">
        <f t="shared" si="157"/>
        <v>1.5645869108948673E-2</v>
      </c>
      <c r="P1697">
        <f t="shared" si="158"/>
        <v>2.3320731707317073</v>
      </c>
      <c r="Q1697" s="2">
        <f t="shared" si="159"/>
        <v>6.8296428571428569</v>
      </c>
      <c r="R1697" s="2">
        <f t="shared" si="160"/>
        <v>21.247777777777777</v>
      </c>
      <c r="S1697" s="2">
        <f t="shared" si="161"/>
        <v>7.1589185797207557</v>
      </c>
    </row>
    <row r="1698" spans="1:19" hidden="1">
      <c r="A1698" t="s">
        <v>1751</v>
      </c>
      <c r="B1698" t="s">
        <v>30</v>
      </c>
      <c r="C1698">
        <v>139</v>
      </c>
      <c r="D1698">
        <v>5947</v>
      </c>
      <c r="E1698" s="2">
        <v>206.33</v>
      </c>
      <c r="F1698">
        <v>14</v>
      </c>
      <c r="G1698">
        <v>9</v>
      </c>
      <c r="H1698">
        <v>4.7E-2</v>
      </c>
      <c r="I1698" s="3">
        <v>1188</v>
      </c>
      <c r="J1698" s="1" t="s">
        <v>167</v>
      </c>
      <c r="K1698" t="s">
        <v>31</v>
      </c>
      <c r="L1698" t="s">
        <v>9</v>
      </c>
      <c r="M1698" t="s">
        <v>46</v>
      </c>
      <c r="N1698" s="1">
        <f t="shared" si="156"/>
        <v>45620</v>
      </c>
      <c r="O1698" s="4">
        <f t="shared" si="157"/>
        <v>2.3373129308895242E-2</v>
      </c>
      <c r="P1698">
        <f t="shared" si="158"/>
        <v>1.4843884892086332</v>
      </c>
      <c r="Q1698" s="2">
        <f t="shared" si="159"/>
        <v>14.737857142857143</v>
      </c>
      <c r="R1698" s="2">
        <f t="shared" si="160"/>
        <v>22.925555555555558</v>
      </c>
      <c r="S1698" s="2">
        <f t="shared" si="161"/>
        <v>5.7577666844375512</v>
      </c>
    </row>
    <row r="1699" spans="1:19">
      <c r="A1699" t="s">
        <v>1752</v>
      </c>
      <c r="B1699" t="s">
        <v>30</v>
      </c>
      <c r="C1699">
        <v>142</v>
      </c>
      <c r="D1699">
        <v>3246</v>
      </c>
      <c r="E1699" s="2">
        <v>249.27</v>
      </c>
      <c r="F1699">
        <v>11</v>
      </c>
      <c r="G1699">
        <v>8</v>
      </c>
      <c r="H1699">
        <v>4.5999999999999999E-2</v>
      </c>
      <c r="I1699" s="3">
        <v>1667</v>
      </c>
      <c r="J1699" s="1">
        <v>45601</v>
      </c>
      <c r="K1699" t="s">
        <v>31</v>
      </c>
      <c r="L1699" t="s">
        <v>8</v>
      </c>
      <c r="M1699" t="s">
        <v>37</v>
      </c>
      <c r="N1699" s="1">
        <f t="shared" si="156"/>
        <v>45601</v>
      </c>
      <c r="O1699" s="4">
        <f t="shared" si="157"/>
        <v>4.3746149106592733E-2</v>
      </c>
      <c r="P1699">
        <f t="shared" si="158"/>
        <v>1.7554225352112678</v>
      </c>
      <c r="Q1699" s="2">
        <f t="shared" si="159"/>
        <v>22.66090909090909</v>
      </c>
      <c r="R1699" s="2">
        <f t="shared" si="160"/>
        <v>31.158750000000001</v>
      </c>
      <c r="S1699" s="2">
        <f t="shared" si="161"/>
        <v>6.6875275805351624</v>
      </c>
    </row>
    <row r="1700" spans="1:19" hidden="1">
      <c r="A1700" t="s">
        <v>1753</v>
      </c>
      <c r="B1700" t="s">
        <v>30</v>
      </c>
      <c r="C1700">
        <v>198</v>
      </c>
      <c r="D1700">
        <v>5858</v>
      </c>
      <c r="E1700" s="2">
        <v>232.94</v>
      </c>
      <c r="F1700">
        <v>17</v>
      </c>
      <c r="G1700">
        <v>8</v>
      </c>
      <c r="H1700">
        <v>0.04</v>
      </c>
      <c r="I1700" s="3">
        <v>1903</v>
      </c>
      <c r="J1700" s="1">
        <v>45618</v>
      </c>
      <c r="K1700" t="s">
        <v>31</v>
      </c>
      <c r="L1700" t="s">
        <v>7</v>
      </c>
      <c r="M1700" t="s">
        <v>46</v>
      </c>
      <c r="N1700" s="1">
        <f t="shared" si="156"/>
        <v>45618</v>
      </c>
      <c r="O1700" s="4">
        <f t="shared" si="157"/>
        <v>3.3799931717309661E-2</v>
      </c>
      <c r="P1700">
        <f t="shared" si="158"/>
        <v>1.1764646464646464</v>
      </c>
      <c r="Q1700" s="2">
        <f t="shared" si="159"/>
        <v>13.702352941176471</v>
      </c>
      <c r="R1700" s="2">
        <f t="shared" si="160"/>
        <v>29.1175</v>
      </c>
      <c r="S1700" s="2">
        <f t="shared" si="161"/>
        <v>8.1694857044732547</v>
      </c>
    </row>
    <row r="1701" spans="1:19" hidden="1">
      <c r="A1701" t="s">
        <v>1754</v>
      </c>
      <c r="B1701" t="s">
        <v>30</v>
      </c>
      <c r="C1701">
        <v>119</v>
      </c>
      <c r="D1701">
        <v>5159</v>
      </c>
      <c r="E1701" s="2">
        <v>227.36</v>
      </c>
      <c r="F1701">
        <v>22</v>
      </c>
      <c r="G1701">
        <v>10</v>
      </c>
      <c r="H1701">
        <v>8.4000000000000005E-2</v>
      </c>
      <c r="I1701" s="3">
        <v>1448</v>
      </c>
      <c r="J1701" s="1">
        <v>45612</v>
      </c>
      <c r="K1701" t="s">
        <v>31</v>
      </c>
      <c r="L1701" t="s">
        <v>8</v>
      </c>
      <c r="M1701" t="s">
        <v>39</v>
      </c>
      <c r="N1701" s="1">
        <f t="shared" si="156"/>
        <v>45612</v>
      </c>
      <c r="O1701" s="4">
        <f t="shared" si="157"/>
        <v>2.3066485753052916E-2</v>
      </c>
      <c r="P1701">
        <f t="shared" si="158"/>
        <v>1.9105882352941177</v>
      </c>
      <c r="Q1701" s="2">
        <f t="shared" si="159"/>
        <v>10.334545454545456</v>
      </c>
      <c r="R1701" s="2">
        <f t="shared" si="160"/>
        <v>22.736000000000001</v>
      </c>
      <c r="S1701" s="2">
        <f t="shared" si="161"/>
        <v>6.3687543983110482</v>
      </c>
    </row>
    <row r="1702" spans="1:19">
      <c r="A1702" t="s">
        <v>1755</v>
      </c>
      <c r="B1702" t="s">
        <v>30</v>
      </c>
      <c r="C1702">
        <v>109</v>
      </c>
      <c r="D1702">
        <v>4002</v>
      </c>
      <c r="E1702" s="2">
        <v>203.96</v>
      </c>
      <c r="F1702">
        <v>14</v>
      </c>
      <c r="G1702">
        <v>3</v>
      </c>
      <c r="H1702">
        <v>4.5999999999999999E-2</v>
      </c>
      <c r="I1702" s="3">
        <v>1430</v>
      </c>
      <c r="J1702" s="1">
        <v>45333</v>
      </c>
      <c r="K1702" t="s">
        <v>31</v>
      </c>
      <c r="L1702" t="s">
        <v>8</v>
      </c>
      <c r="M1702" t="s">
        <v>35</v>
      </c>
      <c r="N1702" s="1">
        <f t="shared" si="156"/>
        <v>45333</v>
      </c>
      <c r="O1702" s="4">
        <f t="shared" si="157"/>
        <v>2.7236381809095451E-2</v>
      </c>
      <c r="P1702">
        <f t="shared" si="158"/>
        <v>1.8711926605504587</v>
      </c>
      <c r="Q1702" s="2">
        <f t="shared" si="159"/>
        <v>14.568571428571429</v>
      </c>
      <c r="R1702" s="2">
        <f t="shared" si="160"/>
        <v>67.986666666666665</v>
      </c>
      <c r="S1702" s="2">
        <f t="shared" si="161"/>
        <v>7.0111786624828394</v>
      </c>
    </row>
    <row r="1703" spans="1:19" hidden="1">
      <c r="A1703" t="s">
        <v>1756</v>
      </c>
      <c r="B1703" t="s">
        <v>30</v>
      </c>
      <c r="C1703">
        <v>87</v>
      </c>
      <c r="D1703">
        <v>3068</v>
      </c>
      <c r="E1703" s="2">
        <v>243.15</v>
      </c>
      <c r="F1703">
        <v>11</v>
      </c>
      <c r="G1703">
        <v>6</v>
      </c>
      <c r="H1703">
        <v>6.9000000000000006E-2</v>
      </c>
      <c r="I1703" s="3">
        <v>1356</v>
      </c>
      <c r="J1703" s="1" t="s">
        <v>111</v>
      </c>
      <c r="K1703" t="s">
        <v>31</v>
      </c>
      <c r="L1703" t="s">
        <v>9</v>
      </c>
      <c r="M1703" t="s">
        <v>41</v>
      </c>
      <c r="N1703" s="1">
        <f t="shared" si="156"/>
        <v>45619</v>
      </c>
      <c r="O1703" s="4">
        <f t="shared" si="157"/>
        <v>2.8357235984354627E-2</v>
      </c>
      <c r="P1703">
        <f t="shared" si="158"/>
        <v>2.7948275862068965</v>
      </c>
      <c r="Q1703" s="2">
        <f t="shared" si="159"/>
        <v>22.104545454545455</v>
      </c>
      <c r="R1703" s="2">
        <f t="shared" si="160"/>
        <v>40.524999999999999</v>
      </c>
      <c r="S1703" s="2">
        <f t="shared" si="161"/>
        <v>5.5768044417026523</v>
      </c>
    </row>
    <row r="1704" spans="1:19" hidden="1">
      <c r="A1704" t="s">
        <v>1757</v>
      </c>
      <c r="B1704" t="s">
        <v>30</v>
      </c>
      <c r="C1704">
        <v>110</v>
      </c>
      <c r="D1704">
        <v>4907</v>
      </c>
      <c r="E1704" s="2">
        <v>247.48</v>
      </c>
      <c r="F1704">
        <v>12</v>
      </c>
      <c r="G1704">
        <v>10</v>
      </c>
      <c r="H1704">
        <v>9.0999999999999998E-2</v>
      </c>
      <c r="I1704" s="3">
        <v>1205</v>
      </c>
      <c r="J1704" s="1">
        <v>45622</v>
      </c>
      <c r="K1704" t="s">
        <v>31</v>
      </c>
      <c r="L1704" t="s">
        <v>7</v>
      </c>
      <c r="M1704" t="s">
        <v>39</v>
      </c>
      <c r="N1704" s="1">
        <f t="shared" si="156"/>
        <v>45622</v>
      </c>
      <c r="O1704" s="4">
        <f t="shared" si="157"/>
        <v>2.2416955369879765E-2</v>
      </c>
      <c r="P1704">
        <f t="shared" si="158"/>
        <v>2.2498181818181817</v>
      </c>
      <c r="Q1704" s="2">
        <f t="shared" si="159"/>
        <v>20.623333333333331</v>
      </c>
      <c r="R1704" s="2">
        <f t="shared" si="160"/>
        <v>24.747999999999998</v>
      </c>
      <c r="S1704" s="2">
        <f t="shared" si="161"/>
        <v>4.869080329723614</v>
      </c>
    </row>
    <row r="1705" spans="1:19" hidden="1">
      <c r="A1705" t="s">
        <v>1758</v>
      </c>
      <c r="B1705" t="s">
        <v>30</v>
      </c>
      <c r="C1705">
        <v>92</v>
      </c>
      <c r="D1705">
        <v>5680</v>
      </c>
      <c r="E1705" s="2">
        <v>224.6</v>
      </c>
      <c r="F1705">
        <v>15</v>
      </c>
      <c r="G1705">
        <v>7</v>
      </c>
      <c r="H1705">
        <v>7.5999999999999998E-2</v>
      </c>
      <c r="I1705" s="3">
        <v>1505</v>
      </c>
      <c r="J1705" s="1" t="s">
        <v>100</v>
      </c>
      <c r="K1705" t="s">
        <v>31</v>
      </c>
      <c r="L1705" t="s">
        <v>7</v>
      </c>
      <c r="M1705" t="s">
        <v>41</v>
      </c>
      <c r="N1705" s="1">
        <f t="shared" si="156"/>
        <v>45622</v>
      </c>
      <c r="O1705" s="4">
        <f t="shared" si="157"/>
        <v>1.6197183098591549E-2</v>
      </c>
      <c r="P1705">
        <f t="shared" si="158"/>
        <v>2.4413043478260867</v>
      </c>
      <c r="Q1705" s="2">
        <f t="shared" si="159"/>
        <v>14.973333333333333</v>
      </c>
      <c r="R1705" s="2">
        <f t="shared" si="160"/>
        <v>32.085714285714282</v>
      </c>
      <c r="S1705" s="2">
        <f t="shared" si="161"/>
        <v>6.7008014247551202</v>
      </c>
    </row>
    <row r="1706" spans="1:19" hidden="1">
      <c r="A1706" t="s">
        <v>1759</v>
      </c>
      <c r="B1706" t="s">
        <v>30</v>
      </c>
      <c r="C1706">
        <v>85</v>
      </c>
      <c r="D1706">
        <v>3909</v>
      </c>
      <c r="E1706" s="2">
        <v>189.9</v>
      </c>
      <c r="F1706">
        <v>12</v>
      </c>
      <c r="G1706">
        <v>3</v>
      </c>
      <c r="H1706">
        <v>3.5000000000000003E-2</v>
      </c>
      <c r="I1706" s="3">
        <v>1216</v>
      </c>
      <c r="J1706" s="1" t="s">
        <v>50</v>
      </c>
      <c r="K1706" t="s">
        <v>31</v>
      </c>
      <c r="L1706" t="s">
        <v>9</v>
      </c>
      <c r="M1706" t="s">
        <v>41</v>
      </c>
      <c r="N1706" s="1">
        <f t="shared" si="156"/>
        <v>45610</v>
      </c>
      <c r="O1706" s="4">
        <f t="shared" si="157"/>
        <v>2.1744691737017138E-2</v>
      </c>
      <c r="P1706">
        <f t="shared" si="158"/>
        <v>2.2341176470588238</v>
      </c>
      <c r="Q1706" s="2">
        <f t="shared" si="159"/>
        <v>15.825000000000001</v>
      </c>
      <c r="R1706" s="2">
        <f t="shared" si="160"/>
        <v>63.300000000000004</v>
      </c>
      <c r="S1706" s="2">
        <f t="shared" si="161"/>
        <v>6.4033701948393889</v>
      </c>
    </row>
    <row r="1707" spans="1:19" hidden="1">
      <c r="A1707" t="s">
        <v>1760</v>
      </c>
      <c r="B1707" t="s">
        <v>30</v>
      </c>
      <c r="C1707">
        <v>199</v>
      </c>
      <c r="D1707">
        <v>3060</v>
      </c>
      <c r="E1707" s="2">
        <v>237.3</v>
      </c>
      <c r="F1707">
        <v>19</v>
      </c>
      <c r="G1707">
        <v>9</v>
      </c>
      <c r="H1707">
        <v>4.4999999999999998E-2</v>
      </c>
      <c r="I1707" s="3">
        <v>1527</v>
      </c>
      <c r="J1707" s="1">
        <v>45600</v>
      </c>
      <c r="K1707" t="s">
        <v>31</v>
      </c>
      <c r="L1707" t="s">
        <v>8</v>
      </c>
      <c r="M1707" t="s">
        <v>37</v>
      </c>
      <c r="N1707" s="1">
        <f t="shared" si="156"/>
        <v>45600</v>
      </c>
      <c r="O1707" s="4">
        <f t="shared" si="157"/>
        <v>6.5032679738562096E-2</v>
      </c>
      <c r="P1707">
        <f t="shared" si="158"/>
        <v>1.192462311557789</v>
      </c>
      <c r="Q1707" s="2">
        <f t="shared" si="159"/>
        <v>12.489473684210527</v>
      </c>
      <c r="R1707" s="2">
        <f t="shared" si="160"/>
        <v>26.366666666666667</v>
      </c>
      <c r="S1707" s="2">
        <f t="shared" si="161"/>
        <v>6.4348925410872306</v>
      </c>
    </row>
    <row r="1708" spans="1:19" hidden="1">
      <c r="A1708" t="s">
        <v>1761</v>
      </c>
      <c r="B1708" t="s">
        <v>30</v>
      </c>
      <c r="C1708">
        <v>148</v>
      </c>
      <c r="D1708">
        <v>4558</v>
      </c>
      <c r="E1708" s="2">
        <v>249.74</v>
      </c>
      <c r="F1708">
        <v>18</v>
      </c>
      <c r="G1708">
        <v>8</v>
      </c>
      <c r="H1708">
        <v>5.3999999999999999E-2</v>
      </c>
      <c r="I1708" s="3">
        <v>1554</v>
      </c>
      <c r="J1708" s="1">
        <v>45597</v>
      </c>
      <c r="K1708" t="s">
        <v>31</v>
      </c>
      <c r="L1708" t="s">
        <v>7</v>
      </c>
      <c r="M1708" t="s">
        <v>35</v>
      </c>
      <c r="N1708" s="1">
        <f t="shared" si="156"/>
        <v>45597</v>
      </c>
      <c r="O1708" s="4">
        <f t="shared" si="157"/>
        <v>3.2470381746379992E-2</v>
      </c>
      <c r="P1708">
        <f t="shared" si="158"/>
        <v>1.6874324324324326</v>
      </c>
      <c r="Q1708" s="2">
        <f t="shared" si="159"/>
        <v>13.874444444444444</v>
      </c>
      <c r="R1708" s="2">
        <f t="shared" si="160"/>
        <v>31.217500000000001</v>
      </c>
      <c r="S1708" s="2">
        <f t="shared" si="161"/>
        <v>6.2224713702250334</v>
      </c>
    </row>
    <row r="1709" spans="1:19" hidden="1">
      <c r="A1709" t="s">
        <v>1762</v>
      </c>
      <c r="B1709" t="s">
        <v>30</v>
      </c>
      <c r="C1709">
        <v>173</v>
      </c>
      <c r="D1709">
        <v>5992</v>
      </c>
      <c r="E1709" s="2">
        <v>230.26</v>
      </c>
      <c r="F1709">
        <v>11</v>
      </c>
      <c r="G1709">
        <v>5</v>
      </c>
      <c r="H1709">
        <v>2.9000000000000001E-2</v>
      </c>
      <c r="I1709" s="3">
        <v>1683</v>
      </c>
      <c r="J1709" s="1">
        <v>45515</v>
      </c>
      <c r="K1709" t="s">
        <v>31</v>
      </c>
      <c r="L1709" t="s">
        <v>8</v>
      </c>
      <c r="M1709" t="s">
        <v>39</v>
      </c>
      <c r="N1709" s="1">
        <f t="shared" si="156"/>
        <v>45515</v>
      </c>
      <c r="O1709" s="4">
        <f t="shared" si="157"/>
        <v>2.8871829105473965E-2</v>
      </c>
      <c r="P1709">
        <f t="shared" si="158"/>
        <v>1.3309826589595375</v>
      </c>
      <c r="Q1709" s="2">
        <f t="shared" si="159"/>
        <v>20.932727272727274</v>
      </c>
      <c r="R1709" s="2">
        <f t="shared" si="160"/>
        <v>46.052</v>
      </c>
      <c r="S1709" s="2">
        <f t="shared" si="161"/>
        <v>7.3091288109094075</v>
      </c>
    </row>
    <row r="1710" spans="1:19" hidden="1">
      <c r="A1710" t="s">
        <v>1763</v>
      </c>
      <c r="B1710" t="s">
        <v>30</v>
      </c>
      <c r="C1710">
        <v>84</v>
      </c>
      <c r="D1710">
        <v>5069</v>
      </c>
      <c r="E1710" s="2">
        <v>192.08</v>
      </c>
      <c r="F1710">
        <v>25</v>
      </c>
      <c r="G1710">
        <v>3</v>
      </c>
      <c r="H1710">
        <v>3.5999999999999997E-2</v>
      </c>
      <c r="I1710" s="3">
        <v>1738</v>
      </c>
      <c r="J1710" s="1">
        <v>45607</v>
      </c>
      <c r="K1710" t="s">
        <v>31</v>
      </c>
      <c r="L1710" t="s">
        <v>7</v>
      </c>
      <c r="M1710" t="s">
        <v>41</v>
      </c>
      <c r="N1710" s="1">
        <f t="shared" si="156"/>
        <v>45607</v>
      </c>
      <c r="O1710" s="4">
        <f t="shared" si="157"/>
        <v>1.6571315841388833E-2</v>
      </c>
      <c r="P1710">
        <f t="shared" si="158"/>
        <v>2.2866666666666666</v>
      </c>
      <c r="Q1710" s="2">
        <f t="shared" si="159"/>
        <v>7.6832000000000003</v>
      </c>
      <c r="R1710" s="2">
        <f t="shared" si="160"/>
        <v>64.026666666666671</v>
      </c>
      <c r="S1710" s="2">
        <f t="shared" si="161"/>
        <v>9.0483132028321531</v>
      </c>
    </row>
    <row r="1711" spans="1:19" hidden="1">
      <c r="A1711" t="s">
        <v>1764</v>
      </c>
      <c r="B1711" t="s">
        <v>30</v>
      </c>
      <c r="C1711">
        <v>82</v>
      </c>
      <c r="D1711">
        <v>4340</v>
      </c>
      <c r="E1711" s="2">
        <v>186.61</v>
      </c>
      <c r="F1711">
        <v>17</v>
      </c>
      <c r="G1711">
        <v>3</v>
      </c>
      <c r="H1711">
        <v>3.6999999999999998E-2</v>
      </c>
      <c r="I1711" s="3">
        <v>1092</v>
      </c>
      <c r="J1711" s="1">
        <v>45484</v>
      </c>
      <c r="K1711" t="s">
        <v>31</v>
      </c>
      <c r="L1711" t="s">
        <v>7</v>
      </c>
      <c r="M1711" t="s">
        <v>39</v>
      </c>
      <c r="N1711" s="1">
        <f t="shared" si="156"/>
        <v>45484</v>
      </c>
      <c r="O1711" s="4">
        <f t="shared" si="157"/>
        <v>1.889400921658986E-2</v>
      </c>
      <c r="P1711">
        <f t="shared" si="158"/>
        <v>2.2757317073170733</v>
      </c>
      <c r="Q1711" s="2">
        <f t="shared" si="159"/>
        <v>10.977058823529413</v>
      </c>
      <c r="R1711" s="2">
        <f t="shared" si="160"/>
        <v>62.20333333333334</v>
      </c>
      <c r="S1711" s="2">
        <f t="shared" si="161"/>
        <v>5.8517764321311825</v>
      </c>
    </row>
    <row r="1712" spans="1:19" hidden="1">
      <c r="A1712" t="s">
        <v>1765</v>
      </c>
      <c r="B1712" t="s">
        <v>30</v>
      </c>
      <c r="C1712">
        <v>147</v>
      </c>
      <c r="D1712">
        <v>5139</v>
      </c>
      <c r="E1712" s="2">
        <v>245.93</v>
      </c>
      <c r="F1712">
        <v>29</v>
      </c>
      <c r="G1712">
        <v>8</v>
      </c>
      <c r="H1712">
        <v>3.3000000000000002E-2</v>
      </c>
      <c r="I1712" s="3">
        <v>1853</v>
      </c>
      <c r="J1712" s="1">
        <v>45576</v>
      </c>
      <c r="K1712" t="s">
        <v>31</v>
      </c>
      <c r="L1712" t="s">
        <v>8</v>
      </c>
      <c r="M1712" t="s">
        <v>35</v>
      </c>
      <c r="N1712" s="1">
        <f t="shared" si="156"/>
        <v>45576</v>
      </c>
      <c r="O1712" s="4">
        <f t="shared" si="157"/>
        <v>2.8604786923525978E-2</v>
      </c>
      <c r="P1712">
        <f t="shared" si="158"/>
        <v>1.6729931972789116</v>
      </c>
      <c r="Q1712" s="2">
        <f t="shared" si="159"/>
        <v>8.4803448275862063</v>
      </c>
      <c r="R1712" s="2">
        <f t="shared" si="160"/>
        <v>30.741250000000001</v>
      </c>
      <c r="S1712" s="2">
        <f t="shared" si="161"/>
        <v>7.5346643353799863</v>
      </c>
    </row>
    <row r="1713" spans="1:19">
      <c r="A1713" t="s">
        <v>1766</v>
      </c>
      <c r="B1713" t="s">
        <v>30</v>
      </c>
      <c r="C1713">
        <v>186</v>
      </c>
      <c r="D1713">
        <v>4679</v>
      </c>
      <c r="E1713" s="2">
        <v>241.7</v>
      </c>
      <c r="F1713">
        <v>19</v>
      </c>
      <c r="G1713">
        <v>9</v>
      </c>
      <c r="H1713">
        <v>4.5999999999999999E-2</v>
      </c>
      <c r="I1713" s="3">
        <v>1333</v>
      </c>
      <c r="J1713" s="1">
        <v>45484</v>
      </c>
      <c r="K1713" t="s">
        <v>31</v>
      </c>
      <c r="L1713" t="s">
        <v>9</v>
      </c>
      <c r="M1713" t="s">
        <v>41</v>
      </c>
      <c r="N1713" s="1">
        <f t="shared" si="156"/>
        <v>45484</v>
      </c>
      <c r="O1713" s="4">
        <f t="shared" si="157"/>
        <v>3.9752083778585169E-2</v>
      </c>
      <c r="P1713">
        <f t="shared" si="158"/>
        <v>1.2994623655913977</v>
      </c>
      <c r="Q1713" s="2">
        <f t="shared" si="159"/>
        <v>12.721052631578948</v>
      </c>
      <c r="R1713" s="2">
        <f t="shared" si="160"/>
        <v>26.855555555555554</v>
      </c>
      <c r="S1713" s="2">
        <f t="shared" si="161"/>
        <v>5.5151013653289205</v>
      </c>
    </row>
    <row r="1714" spans="1:19">
      <c r="A1714" t="s">
        <v>1767</v>
      </c>
      <c r="B1714" t="s">
        <v>30</v>
      </c>
      <c r="C1714">
        <v>143</v>
      </c>
      <c r="D1714">
        <v>4232</v>
      </c>
      <c r="E1714" s="2">
        <v>207.76</v>
      </c>
      <c r="F1714">
        <v>30</v>
      </c>
      <c r="G1714">
        <v>8</v>
      </c>
      <c r="H1714">
        <v>4.5999999999999999E-2</v>
      </c>
      <c r="I1714" s="3">
        <v>1644</v>
      </c>
      <c r="J1714" s="1">
        <v>45614</v>
      </c>
      <c r="K1714" t="s">
        <v>31</v>
      </c>
      <c r="L1714" t="s">
        <v>9</v>
      </c>
      <c r="M1714" t="s">
        <v>37</v>
      </c>
      <c r="N1714" s="1">
        <f t="shared" si="156"/>
        <v>45614</v>
      </c>
      <c r="O1714" s="4">
        <f t="shared" si="157"/>
        <v>3.3790170132325145E-2</v>
      </c>
      <c r="P1714">
        <f t="shared" si="158"/>
        <v>1.4528671328671328</v>
      </c>
      <c r="Q1714" s="2">
        <f t="shared" si="159"/>
        <v>6.9253333333333327</v>
      </c>
      <c r="R1714" s="2">
        <f t="shared" si="160"/>
        <v>25.97</v>
      </c>
      <c r="S1714" s="2">
        <f t="shared" si="161"/>
        <v>7.9129765113592612</v>
      </c>
    </row>
    <row r="1715" spans="1:19" hidden="1">
      <c r="A1715" t="s">
        <v>1768</v>
      </c>
      <c r="B1715" t="s">
        <v>30</v>
      </c>
      <c r="C1715">
        <v>133</v>
      </c>
      <c r="D1715">
        <v>5580</v>
      </c>
      <c r="E1715" s="2">
        <v>248.11</v>
      </c>
      <c r="F1715">
        <v>17</v>
      </c>
      <c r="G1715">
        <v>5</v>
      </c>
      <c r="H1715">
        <v>3.7999999999999999E-2</v>
      </c>
      <c r="I1715" s="3">
        <v>1111</v>
      </c>
      <c r="J1715" s="1">
        <v>45622</v>
      </c>
      <c r="K1715" t="s">
        <v>31</v>
      </c>
      <c r="L1715" t="s">
        <v>9</v>
      </c>
      <c r="M1715" t="s">
        <v>35</v>
      </c>
      <c r="N1715" s="1">
        <f t="shared" si="156"/>
        <v>45622</v>
      </c>
      <c r="O1715" s="4">
        <f t="shared" si="157"/>
        <v>2.3835125448028675E-2</v>
      </c>
      <c r="P1715">
        <f t="shared" si="158"/>
        <v>1.8654887218045113</v>
      </c>
      <c r="Q1715" s="2">
        <f t="shared" si="159"/>
        <v>14.594705882352942</v>
      </c>
      <c r="R1715" s="2">
        <f t="shared" si="160"/>
        <v>49.622</v>
      </c>
      <c r="S1715" s="2">
        <f t="shared" si="161"/>
        <v>4.4778525653943815</v>
      </c>
    </row>
    <row r="1716" spans="1:19" hidden="1">
      <c r="A1716" t="s">
        <v>1769</v>
      </c>
      <c r="B1716" t="s">
        <v>30</v>
      </c>
      <c r="C1716">
        <v>187</v>
      </c>
      <c r="D1716">
        <v>3972</v>
      </c>
      <c r="E1716" s="2">
        <v>226.62</v>
      </c>
      <c r="F1716">
        <v>24</v>
      </c>
      <c r="G1716">
        <v>7</v>
      </c>
      <c r="H1716">
        <v>3.6999999999999998E-2</v>
      </c>
      <c r="I1716" s="3">
        <v>1011</v>
      </c>
      <c r="J1716" s="1">
        <v>45600</v>
      </c>
      <c r="K1716" t="s">
        <v>31</v>
      </c>
      <c r="L1716" t="s">
        <v>7</v>
      </c>
      <c r="M1716" t="s">
        <v>39</v>
      </c>
      <c r="N1716" s="1">
        <f t="shared" si="156"/>
        <v>45600</v>
      </c>
      <c r="O1716" s="4">
        <f t="shared" si="157"/>
        <v>4.7079556898288015E-2</v>
      </c>
      <c r="P1716">
        <f t="shared" si="158"/>
        <v>1.2118716577540107</v>
      </c>
      <c r="Q1716" s="2">
        <f t="shared" si="159"/>
        <v>9.4425000000000008</v>
      </c>
      <c r="R1716" s="2">
        <f t="shared" si="160"/>
        <v>32.374285714285712</v>
      </c>
      <c r="S1716" s="2">
        <f t="shared" si="161"/>
        <v>4.4612126025946521</v>
      </c>
    </row>
    <row r="1717" spans="1:19" hidden="1">
      <c r="A1717" t="s">
        <v>1770</v>
      </c>
      <c r="B1717" t="s">
        <v>30</v>
      </c>
      <c r="C1717">
        <v>121</v>
      </c>
      <c r="D1717">
        <v>5205</v>
      </c>
      <c r="E1717" s="2">
        <v>181.81</v>
      </c>
      <c r="F1717">
        <v>24</v>
      </c>
      <c r="G1717">
        <v>5</v>
      </c>
      <c r="H1717">
        <v>3.6999999999999998E-2</v>
      </c>
      <c r="I1717" s="3">
        <v>1555</v>
      </c>
      <c r="J1717" s="1">
        <v>45604</v>
      </c>
      <c r="K1717" t="s">
        <v>31</v>
      </c>
      <c r="L1717" t="s">
        <v>9</v>
      </c>
      <c r="M1717" t="s">
        <v>37</v>
      </c>
      <c r="N1717" s="1">
        <f t="shared" si="156"/>
        <v>45604</v>
      </c>
      <c r="O1717" s="4">
        <f t="shared" si="157"/>
        <v>2.3246878001921229E-2</v>
      </c>
      <c r="P1717">
        <f t="shared" si="158"/>
        <v>1.5025619834710744</v>
      </c>
      <c r="Q1717" s="2">
        <f t="shared" si="159"/>
        <v>7.5754166666666665</v>
      </c>
      <c r="R1717" s="2">
        <f t="shared" si="160"/>
        <v>36.362000000000002</v>
      </c>
      <c r="S1717" s="2">
        <f t="shared" si="161"/>
        <v>8.552884879819592</v>
      </c>
    </row>
    <row r="1718" spans="1:19" hidden="1">
      <c r="A1718" t="s">
        <v>1771</v>
      </c>
      <c r="B1718" t="s">
        <v>30</v>
      </c>
      <c r="C1718">
        <v>188</v>
      </c>
      <c r="D1718">
        <v>4521</v>
      </c>
      <c r="E1718" s="2">
        <v>214.58</v>
      </c>
      <c r="F1718">
        <v>24</v>
      </c>
      <c r="G1718">
        <v>3</v>
      </c>
      <c r="H1718">
        <v>1.6E-2</v>
      </c>
      <c r="I1718" s="3">
        <v>1855</v>
      </c>
      <c r="J1718" s="1">
        <v>45615</v>
      </c>
      <c r="K1718" t="s">
        <v>31</v>
      </c>
      <c r="L1718" t="s">
        <v>9</v>
      </c>
      <c r="M1718" t="s">
        <v>35</v>
      </c>
      <c r="N1718" s="1">
        <f t="shared" si="156"/>
        <v>45615</v>
      </c>
      <c r="O1718" s="4">
        <f t="shared" si="157"/>
        <v>4.1583720415837203E-2</v>
      </c>
      <c r="P1718">
        <f t="shared" si="158"/>
        <v>1.1413829787234042</v>
      </c>
      <c r="Q1718" s="2">
        <f t="shared" si="159"/>
        <v>8.9408333333333339</v>
      </c>
      <c r="R1718" s="2">
        <f t="shared" si="160"/>
        <v>71.526666666666671</v>
      </c>
      <c r="S1718" s="2">
        <f t="shared" si="161"/>
        <v>8.6447944822443841</v>
      </c>
    </row>
    <row r="1719" spans="1:19" hidden="1">
      <c r="A1719" t="s">
        <v>1772</v>
      </c>
      <c r="B1719" t="s">
        <v>30</v>
      </c>
      <c r="C1719">
        <v>115</v>
      </c>
      <c r="D1719">
        <v>3924</v>
      </c>
      <c r="E1719" s="2">
        <v>214.52</v>
      </c>
      <c r="F1719">
        <v>16</v>
      </c>
      <c r="G1719">
        <v>7</v>
      </c>
      <c r="H1719">
        <v>0.04</v>
      </c>
      <c r="I1719" s="3">
        <v>1312</v>
      </c>
      <c r="J1719" s="1">
        <v>45393</v>
      </c>
      <c r="K1719" t="s">
        <v>31</v>
      </c>
      <c r="L1719" t="s">
        <v>7</v>
      </c>
      <c r="M1719" t="s">
        <v>41</v>
      </c>
      <c r="N1719" s="1">
        <f t="shared" si="156"/>
        <v>45393</v>
      </c>
      <c r="O1719" s="4">
        <f t="shared" si="157"/>
        <v>2.9306829765545363E-2</v>
      </c>
      <c r="P1719">
        <f t="shared" si="158"/>
        <v>1.8653913043478261</v>
      </c>
      <c r="Q1719" s="2">
        <f t="shared" si="159"/>
        <v>13.407500000000001</v>
      </c>
      <c r="R1719" s="2">
        <f t="shared" si="160"/>
        <v>30.645714285714288</v>
      </c>
      <c r="S1719" s="2">
        <f t="shared" si="161"/>
        <v>6.115979862017527</v>
      </c>
    </row>
    <row r="1720" spans="1:19">
      <c r="A1720" t="s">
        <v>1773</v>
      </c>
      <c r="B1720" t="s">
        <v>30</v>
      </c>
      <c r="C1720">
        <v>139</v>
      </c>
      <c r="D1720">
        <v>3319</v>
      </c>
      <c r="E1720" s="2">
        <v>230.39</v>
      </c>
      <c r="F1720">
        <v>28</v>
      </c>
      <c r="G1720">
        <v>4</v>
      </c>
      <c r="H1720">
        <v>4.5999999999999999E-2</v>
      </c>
      <c r="I1720" s="3">
        <v>1533</v>
      </c>
      <c r="J1720" s="1" t="s">
        <v>348</v>
      </c>
      <c r="K1720" t="s">
        <v>31</v>
      </c>
      <c r="L1720" t="s">
        <v>9</v>
      </c>
      <c r="M1720" t="s">
        <v>46</v>
      </c>
      <c r="N1720" s="1">
        <f t="shared" si="156"/>
        <v>45615</v>
      </c>
      <c r="O1720" s="4">
        <f t="shared" si="157"/>
        <v>4.1880084362759869E-2</v>
      </c>
      <c r="P1720">
        <f t="shared" si="158"/>
        <v>1.6574820143884892</v>
      </c>
      <c r="Q1720" s="2">
        <f t="shared" si="159"/>
        <v>8.2282142857142855</v>
      </c>
      <c r="R1720" s="2">
        <f t="shared" si="160"/>
        <v>57.597499999999997</v>
      </c>
      <c r="S1720" s="2">
        <f t="shared" si="161"/>
        <v>6.6539346325795394</v>
      </c>
    </row>
    <row r="1721" spans="1:19" hidden="1">
      <c r="A1721" t="s">
        <v>1774</v>
      </c>
      <c r="B1721" t="s">
        <v>30</v>
      </c>
      <c r="C1721">
        <v>190</v>
      </c>
      <c r="D1721">
        <v>5141</v>
      </c>
      <c r="E1721" s="2">
        <v>225.14</v>
      </c>
      <c r="F1721">
        <v>15</v>
      </c>
      <c r="G1721">
        <v>10</v>
      </c>
      <c r="H1721">
        <v>5.2999999999999999E-2</v>
      </c>
      <c r="I1721" s="3">
        <v>1761</v>
      </c>
      <c r="J1721" s="1">
        <v>45617</v>
      </c>
      <c r="K1721" t="s">
        <v>31</v>
      </c>
      <c r="L1721" t="s">
        <v>7</v>
      </c>
      <c r="M1721" t="s">
        <v>32</v>
      </c>
      <c r="N1721" s="1">
        <f t="shared" si="156"/>
        <v>45617</v>
      </c>
      <c r="O1721" s="4">
        <f t="shared" si="157"/>
        <v>3.6957790313168641E-2</v>
      </c>
      <c r="P1721">
        <f t="shared" si="158"/>
        <v>1.1849473684210525</v>
      </c>
      <c r="Q1721" s="2">
        <f t="shared" si="159"/>
        <v>15.009333333333332</v>
      </c>
      <c r="R1721" s="2">
        <f t="shared" si="160"/>
        <v>22.513999999999999</v>
      </c>
      <c r="S1721" s="2">
        <f t="shared" si="161"/>
        <v>7.8217997690326024</v>
      </c>
    </row>
    <row r="1722" spans="1:19" hidden="1">
      <c r="A1722" t="s">
        <v>1775</v>
      </c>
      <c r="B1722" t="s">
        <v>30</v>
      </c>
      <c r="C1722">
        <v>92</v>
      </c>
      <c r="D1722">
        <v>5952</v>
      </c>
      <c r="E1722" s="2">
        <v>192.35</v>
      </c>
      <c r="F1722">
        <v>30</v>
      </c>
      <c r="G1722">
        <v>4</v>
      </c>
      <c r="H1722">
        <v>4.2999999999999997E-2</v>
      </c>
      <c r="I1722" s="3">
        <v>1335</v>
      </c>
      <c r="J1722" s="1">
        <v>45515</v>
      </c>
      <c r="K1722" t="s">
        <v>31</v>
      </c>
      <c r="L1722" t="s">
        <v>8</v>
      </c>
      <c r="M1722" t="s">
        <v>37</v>
      </c>
      <c r="N1722" s="1">
        <f t="shared" si="156"/>
        <v>45515</v>
      </c>
      <c r="O1722" s="4">
        <f t="shared" si="157"/>
        <v>1.5456989247311828E-2</v>
      </c>
      <c r="P1722">
        <f t="shared" si="158"/>
        <v>2.0907608695652171</v>
      </c>
      <c r="Q1722" s="2">
        <f t="shared" si="159"/>
        <v>6.4116666666666662</v>
      </c>
      <c r="R1722" s="2">
        <f t="shared" si="160"/>
        <v>48.087499999999999</v>
      </c>
      <c r="S1722" s="2">
        <f t="shared" si="161"/>
        <v>6.9404730959188976</v>
      </c>
    </row>
    <row r="1723" spans="1:19" hidden="1">
      <c r="A1723" t="s">
        <v>1776</v>
      </c>
      <c r="B1723" t="s">
        <v>30</v>
      </c>
      <c r="C1723">
        <v>107</v>
      </c>
      <c r="D1723">
        <v>4518.5</v>
      </c>
      <c r="E1723" s="2">
        <v>227.88</v>
      </c>
      <c r="F1723">
        <v>23</v>
      </c>
      <c r="G1723">
        <v>8</v>
      </c>
      <c r="H1723">
        <v>7.4999999999999997E-2</v>
      </c>
      <c r="I1723" s="3">
        <v>1844</v>
      </c>
      <c r="J1723" s="1">
        <v>45604</v>
      </c>
      <c r="K1723" t="s">
        <v>31</v>
      </c>
      <c r="L1723" t="s">
        <v>7</v>
      </c>
      <c r="M1723" t="s">
        <v>41</v>
      </c>
      <c r="N1723" s="1">
        <f t="shared" si="156"/>
        <v>45604</v>
      </c>
      <c r="O1723" s="4">
        <f t="shared" si="157"/>
        <v>2.3680424919774262E-2</v>
      </c>
      <c r="P1723">
        <f t="shared" si="158"/>
        <v>2.1297196261682241</v>
      </c>
      <c r="Q1723" s="2">
        <f t="shared" si="159"/>
        <v>9.907826086956522</v>
      </c>
      <c r="R1723" s="2">
        <f t="shared" si="160"/>
        <v>28.484999999999999</v>
      </c>
      <c r="S1723" s="2">
        <f t="shared" si="161"/>
        <v>8.0919782341583293</v>
      </c>
    </row>
    <row r="1724" spans="1:19">
      <c r="A1724" t="s">
        <v>1777</v>
      </c>
      <c r="B1724" t="s">
        <v>30</v>
      </c>
      <c r="C1724">
        <v>139</v>
      </c>
      <c r="D1724">
        <v>3794</v>
      </c>
      <c r="E1724" s="2">
        <v>225.38</v>
      </c>
      <c r="F1724">
        <v>13</v>
      </c>
      <c r="G1724">
        <v>7</v>
      </c>
      <c r="H1724">
        <v>4.5999999999999999E-2</v>
      </c>
      <c r="I1724" s="3">
        <v>1401</v>
      </c>
      <c r="J1724" s="1" t="s">
        <v>111</v>
      </c>
      <c r="K1724" t="s">
        <v>31</v>
      </c>
      <c r="L1724" t="s">
        <v>8</v>
      </c>
      <c r="M1724" t="s">
        <v>37</v>
      </c>
      <c r="N1724" s="1">
        <f t="shared" si="156"/>
        <v>45619</v>
      </c>
      <c r="O1724" s="4">
        <f t="shared" si="157"/>
        <v>3.6636794939377965E-2</v>
      </c>
      <c r="P1724">
        <f t="shared" si="158"/>
        <v>1.6214388489208633</v>
      </c>
      <c r="Q1724" s="2">
        <f t="shared" si="159"/>
        <v>17.336923076923078</v>
      </c>
      <c r="R1724" s="2">
        <f t="shared" si="160"/>
        <v>32.197142857142858</v>
      </c>
      <c r="S1724" s="2">
        <f t="shared" si="161"/>
        <v>6.2161682491791641</v>
      </c>
    </row>
    <row r="1725" spans="1:19" hidden="1">
      <c r="A1725" t="s">
        <v>1778</v>
      </c>
      <c r="B1725" t="s">
        <v>30</v>
      </c>
      <c r="C1725">
        <v>186</v>
      </c>
      <c r="D1725">
        <v>4518.5</v>
      </c>
      <c r="E1725" s="2">
        <v>185.55</v>
      </c>
      <c r="F1725">
        <v>11</v>
      </c>
      <c r="G1725">
        <v>5</v>
      </c>
      <c r="H1725">
        <v>2.7E-2</v>
      </c>
      <c r="I1725" s="3">
        <v>1903</v>
      </c>
      <c r="J1725" s="1">
        <v>45612</v>
      </c>
      <c r="K1725" t="s">
        <v>31</v>
      </c>
      <c r="L1725" t="s">
        <v>9</v>
      </c>
      <c r="M1725" t="s">
        <v>35</v>
      </c>
      <c r="N1725" s="1">
        <f t="shared" si="156"/>
        <v>45612</v>
      </c>
      <c r="O1725" s="4">
        <f t="shared" si="157"/>
        <v>4.1164103131570214E-2</v>
      </c>
      <c r="P1725">
        <f t="shared" si="158"/>
        <v>0.99758064516129041</v>
      </c>
      <c r="Q1725" s="2">
        <f t="shared" si="159"/>
        <v>16.868181818181821</v>
      </c>
      <c r="R1725" s="2">
        <f t="shared" si="160"/>
        <v>37.11</v>
      </c>
      <c r="S1725" s="2">
        <f t="shared" si="161"/>
        <v>10.255995688493666</v>
      </c>
    </row>
    <row r="1726" spans="1:19" hidden="1">
      <c r="A1726" t="s">
        <v>1779</v>
      </c>
      <c r="B1726" t="s">
        <v>30</v>
      </c>
      <c r="C1726">
        <v>129</v>
      </c>
      <c r="D1726">
        <v>3454</v>
      </c>
      <c r="E1726" s="2">
        <v>223.14</v>
      </c>
      <c r="F1726">
        <v>17</v>
      </c>
      <c r="G1726">
        <v>8</v>
      </c>
      <c r="H1726">
        <v>3.4000000000000002E-2</v>
      </c>
      <c r="I1726" s="3">
        <v>1391</v>
      </c>
      <c r="J1726" s="1">
        <v>45302</v>
      </c>
      <c r="K1726" t="s">
        <v>31</v>
      </c>
      <c r="L1726" t="s">
        <v>9</v>
      </c>
      <c r="M1726" t="s">
        <v>46</v>
      </c>
      <c r="N1726" s="1">
        <f t="shared" si="156"/>
        <v>45302</v>
      </c>
      <c r="O1726" s="4">
        <f t="shared" si="157"/>
        <v>3.7348002316155184E-2</v>
      </c>
      <c r="P1726">
        <f t="shared" si="158"/>
        <v>1.7297674418604649</v>
      </c>
      <c r="Q1726" s="2">
        <f t="shared" si="159"/>
        <v>13.125882352941176</v>
      </c>
      <c r="R1726" s="2">
        <f t="shared" si="160"/>
        <v>27.892499999999998</v>
      </c>
      <c r="S1726" s="2">
        <f t="shared" si="161"/>
        <v>6.2337545935287269</v>
      </c>
    </row>
    <row r="1727" spans="1:19">
      <c r="A1727" t="s">
        <v>1780</v>
      </c>
      <c r="B1727" t="s">
        <v>30</v>
      </c>
      <c r="C1727">
        <v>162</v>
      </c>
      <c r="D1727">
        <v>3071</v>
      </c>
      <c r="E1727" s="2">
        <v>231.99</v>
      </c>
      <c r="F1727">
        <v>29</v>
      </c>
      <c r="G1727">
        <v>9</v>
      </c>
      <c r="H1727">
        <v>4.5999999999999999E-2</v>
      </c>
      <c r="I1727" s="3">
        <v>1603</v>
      </c>
      <c r="J1727" s="1">
        <v>45614</v>
      </c>
      <c r="K1727" t="s">
        <v>31</v>
      </c>
      <c r="L1727" t="s">
        <v>9</v>
      </c>
      <c r="M1727" t="s">
        <v>41</v>
      </c>
      <c r="N1727" s="1">
        <f t="shared" si="156"/>
        <v>45614</v>
      </c>
      <c r="O1727" s="4">
        <f t="shared" si="157"/>
        <v>5.2751546727450339E-2</v>
      </c>
      <c r="P1727">
        <f t="shared" si="158"/>
        <v>1.432037037037037</v>
      </c>
      <c r="Q1727" s="2">
        <f t="shared" si="159"/>
        <v>7.9996551724137932</v>
      </c>
      <c r="R1727" s="2">
        <f t="shared" si="160"/>
        <v>25.776666666666667</v>
      </c>
      <c r="S1727" s="2">
        <f t="shared" si="161"/>
        <v>6.9097805939911199</v>
      </c>
    </row>
    <row r="1728" spans="1:19" hidden="1">
      <c r="A1728" t="s">
        <v>1781</v>
      </c>
      <c r="B1728" t="s">
        <v>30</v>
      </c>
      <c r="C1728">
        <v>177</v>
      </c>
      <c r="D1728">
        <v>5954</v>
      </c>
      <c r="E1728" s="2">
        <v>206.76</v>
      </c>
      <c r="F1728">
        <v>13</v>
      </c>
      <c r="G1728">
        <v>4</v>
      </c>
      <c r="H1728">
        <v>0.06</v>
      </c>
      <c r="I1728" s="3">
        <v>1104</v>
      </c>
      <c r="J1728" s="1">
        <v>45610</v>
      </c>
      <c r="K1728" t="s">
        <v>31</v>
      </c>
      <c r="L1728" t="s">
        <v>9</v>
      </c>
      <c r="M1728" t="s">
        <v>32</v>
      </c>
      <c r="N1728" s="1">
        <f t="shared" si="156"/>
        <v>45610</v>
      </c>
      <c r="O1728" s="4">
        <f t="shared" si="157"/>
        <v>2.9727914007389989E-2</v>
      </c>
      <c r="P1728">
        <f t="shared" si="158"/>
        <v>1.168135593220339</v>
      </c>
      <c r="Q1728" s="2">
        <f t="shared" si="159"/>
        <v>15.904615384615385</v>
      </c>
      <c r="R1728" s="2">
        <f t="shared" si="160"/>
        <v>51.69</v>
      </c>
      <c r="S1728" s="2">
        <f t="shared" si="161"/>
        <v>5.3395240858966924</v>
      </c>
    </row>
    <row r="1729" spans="1:19">
      <c r="A1729" t="s">
        <v>1782</v>
      </c>
      <c r="B1729" t="s">
        <v>30</v>
      </c>
      <c r="C1729">
        <v>93</v>
      </c>
      <c r="D1729">
        <v>3473</v>
      </c>
      <c r="E1729" s="2">
        <v>207.92</v>
      </c>
      <c r="F1729">
        <v>30</v>
      </c>
      <c r="G1729">
        <v>9</v>
      </c>
      <c r="H1729">
        <v>4.5999999999999999E-2</v>
      </c>
      <c r="I1729" s="3">
        <v>1780</v>
      </c>
      <c r="J1729" s="1">
        <v>45604</v>
      </c>
      <c r="K1729" t="s">
        <v>31</v>
      </c>
      <c r="L1729" t="s">
        <v>7</v>
      </c>
      <c r="M1729" t="s">
        <v>35</v>
      </c>
      <c r="N1729" s="1">
        <f t="shared" si="156"/>
        <v>45604</v>
      </c>
      <c r="O1729" s="4">
        <f t="shared" si="157"/>
        <v>2.6778001727613014E-2</v>
      </c>
      <c r="P1729">
        <f t="shared" si="158"/>
        <v>2.2356989247311825</v>
      </c>
      <c r="Q1729" s="2">
        <f t="shared" si="159"/>
        <v>6.9306666666666663</v>
      </c>
      <c r="R1729" s="2">
        <f t="shared" si="160"/>
        <v>23.10222222222222</v>
      </c>
      <c r="S1729" s="2">
        <f t="shared" si="161"/>
        <v>8.5609849942285496</v>
      </c>
    </row>
    <row r="1730" spans="1:19" hidden="1">
      <c r="A1730" t="s">
        <v>1783</v>
      </c>
      <c r="B1730" t="s">
        <v>30</v>
      </c>
      <c r="C1730">
        <v>117</v>
      </c>
      <c r="D1730">
        <v>4341</v>
      </c>
      <c r="E1730" s="2">
        <v>212.29</v>
      </c>
      <c r="F1730">
        <v>19</v>
      </c>
      <c r="G1730">
        <v>8</v>
      </c>
      <c r="H1730">
        <v>6.8000000000000005E-2</v>
      </c>
      <c r="I1730" s="3">
        <v>1399</v>
      </c>
      <c r="J1730" s="1" t="s">
        <v>94</v>
      </c>
      <c r="K1730" t="s">
        <v>31</v>
      </c>
      <c r="L1730" t="s">
        <v>7</v>
      </c>
      <c r="M1730" t="s">
        <v>32</v>
      </c>
      <c r="N1730" s="1">
        <f t="shared" ref="N1730:N1793" si="162">IF(A1730="","",IF(ISNUMBER(J1730),J1730,IF(MID(J1730,5,1)="-",DATE(LEFT(J1730,4),MID(J1730,6,2),RIGHT(J1730,2)),IF(MID(J1730,5,1)="/",DATE(LEFT(J1730,4),MID(J1730,6,2),RIGHT(J1730,2)),DATE(RIGHT(J1730,4),MID(J1730,4,2),LEFT(J1730,2))))))</f>
        <v>45617</v>
      </c>
      <c r="O1730" s="4">
        <f t="shared" ref="O1730:O1793" si="163">IFERROR(C1730/D1730,0)</f>
        <v>2.6952315134761574E-2</v>
      </c>
      <c r="P1730">
        <f t="shared" ref="P1730:P1793" si="164">IFERROR(E1730/C1730,0)</f>
        <v>1.8144444444444443</v>
      </c>
      <c r="Q1730" s="2">
        <f t="shared" ref="Q1730:Q1793" si="165">IFERROR(E1730/F1730,0)</f>
        <v>11.173157894736841</v>
      </c>
      <c r="R1730" s="2">
        <f t="shared" ref="R1730:R1793" si="166">IFERROR(E1730/G1730,0)</f>
        <v>26.536249999999999</v>
      </c>
      <c r="S1730" s="2">
        <f t="shared" ref="S1730:S1793" si="167">IFERROR(I1730/E1730,0)</f>
        <v>6.5900419237835042</v>
      </c>
    </row>
    <row r="1731" spans="1:19">
      <c r="A1731" t="s">
        <v>1784</v>
      </c>
      <c r="B1731" t="s">
        <v>30</v>
      </c>
      <c r="C1731">
        <v>120</v>
      </c>
      <c r="D1731">
        <v>3310</v>
      </c>
      <c r="E1731" s="2">
        <v>247.65</v>
      </c>
      <c r="F1731">
        <v>15</v>
      </c>
      <c r="G1731">
        <v>3</v>
      </c>
      <c r="H1731">
        <v>4.5999999999999999E-2</v>
      </c>
      <c r="I1731" s="3">
        <v>1584</v>
      </c>
      <c r="J1731" s="1">
        <v>45617</v>
      </c>
      <c r="K1731" t="s">
        <v>31</v>
      </c>
      <c r="L1731" t="s">
        <v>8</v>
      </c>
      <c r="M1731" t="s">
        <v>41</v>
      </c>
      <c r="N1731" s="1">
        <f t="shared" si="162"/>
        <v>45617</v>
      </c>
      <c r="O1731" s="4">
        <f t="shared" si="163"/>
        <v>3.6253776435045321E-2</v>
      </c>
      <c r="P1731">
        <f t="shared" si="164"/>
        <v>2.0637500000000002</v>
      </c>
      <c r="Q1731" s="2">
        <f t="shared" si="165"/>
        <v>16.510000000000002</v>
      </c>
      <c r="R1731" s="2">
        <f t="shared" si="166"/>
        <v>82.55</v>
      </c>
      <c r="S1731" s="2">
        <f t="shared" si="167"/>
        <v>6.396123561477892</v>
      </c>
    </row>
    <row r="1732" spans="1:19">
      <c r="A1732" t="s">
        <v>1785</v>
      </c>
      <c r="B1732" t="s">
        <v>30</v>
      </c>
      <c r="C1732">
        <v>81</v>
      </c>
      <c r="D1732">
        <v>3694</v>
      </c>
      <c r="E1732" s="2">
        <v>183.52</v>
      </c>
      <c r="F1732">
        <v>17</v>
      </c>
      <c r="G1732">
        <v>3</v>
      </c>
      <c r="H1732">
        <v>4.5999999999999999E-2</v>
      </c>
      <c r="I1732" s="3">
        <v>1156</v>
      </c>
      <c r="J1732" s="1" t="s">
        <v>73</v>
      </c>
      <c r="K1732" t="s">
        <v>31</v>
      </c>
      <c r="L1732" t="s">
        <v>8</v>
      </c>
      <c r="M1732" t="s">
        <v>41</v>
      </c>
      <c r="N1732" s="1">
        <f t="shared" si="162"/>
        <v>45618</v>
      </c>
      <c r="O1732" s="4">
        <f t="shared" si="163"/>
        <v>2.1927449918787222E-2</v>
      </c>
      <c r="P1732">
        <f t="shared" si="164"/>
        <v>2.2656790123456791</v>
      </c>
      <c r="Q1732" s="2">
        <f t="shared" si="165"/>
        <v>10.79529411764706</v>
      </c>
      <c r="R1732" s="2">
        <f t="shared" si="166"/>
        <v>61.173333333333339</v>
      </c>
      <c r="S1732" s="2">
        <f t="shared" si="167"/>
        <v>6.299040976460331</v>
      </c>
    </row>
    <row r="1733" spans="1:19" hidden="1">
      <c r="A1733" t="s">
        <v>1786</v>
      </c>
      <c r="B1733" t="s">
        <v>30</v>
      </c>
      <c r="C1733">
        <v>91</v>
      </c>
      <c r="D1733">
        <v>3576</v>
      </c>
      <c r="E1733" s="2">
        <v>243.02</v>
      </c>
      <c r="F1733">
        <v>28</v>
      </c>
      <c r="G1733">
        <v>8</v>
      </c>
      <c r="H1733">
        <v>8.7999999999999995E-2</v>
      </c>
      <c r="I1733" s="3">
        <v>1567</v>
      </c>
      <c r="J1733" s="1">
        <v>45621</v>
      </c>
      <c r="K1733" t="s">
        <v>31</v>
      </c>
      <c r="L1733" t="s">
        <v>8</v>
      </c>
      <c r="M1733" t="s">
        <v>39</v>
      </c>
      <c r="N1733" s="1">
        <f t="shared" si="162"/>
        <v>45621</v>
      </c>
      <c r="O1733" s="4">
        <f t="shared" si="163"/>
        <v>2.5447427293064876E-2</v>
      </c>
      <c r="P1733">
        <f t="shared" si="164"/>
        <v>2.6705494505494505</v>
      </c>
      <c r="Q1733" s="2">
        <f t="shared" si="165"/>
        <v>8.6792857142857152</v>
      </c>
      <c r="R1733" s="2">
        <f t="shared" si="166"/>
        <v>30.377500000000001</v>
      </c>
      <c r="S1733" s="2">
        <f t="shared" si="167"/>
        <v>6.448028968809151</v>
      </c>
    </row>
    <row r="1734" spans="1:19" hidden="1">
      <c r="A1734" t="s">
        <v>1787</v>
      </c>
      <c r="B1734" t="s">
        <v>30</v>
      </c>
      <c r="C1734">
        <v>167</v>
      </c>
      <c r="D1734">
        <v>4856</v>
      </c>
      <c r="E1734" s="2">
        <v>232.1</v>
      </c>
      <c r="F1734">
        <v>18</v>
      </c>
      <c r="G1734">
        <v>7</v>
      </c>
      <c r="H1734">
        <v>4.2000000000000003E-2</v>
      </c>
      <c r="I1734" s="3">
        <v>1476</v>
      </c>
      <c r="J1734" s="1">
        <v>45603</v>
      </c>
      <c r="K1734" t="s">
        <v>31</v>
      </c>
      <c r="L1734" t="s">
        <v>7</v>
      </c>
      <c r="M1734" t="s">
        <v>46</v>
      </c>
      <c r="N1734" s="1">
        <f t="shared" si="162"/>
        <v>45603</v>
      </c>
      <c r="O1734" s="4">
        <f t="shared" si="163"/>
        <v>3.4390444810543659E-2</v>
      </c>
      <c r="P1734">
        <f t="shared" si="164"/>
        <v>1.3898203592814371</v>
      </c>
      <c r="Q1734" s="2">
        <f t="shared" si="165"/>
        <v>12.894444444444444</v>
      </c>
      <c r="R1734" s="2">
        <f t="shared" si="166"/>
        <v>33.157142857142858</v>
      </c>
      <c r="S1734" s="2">
        <f t="shared" si="167"/>
        <v>6.3593278759155538</v>
      </c>
    </row>
    <row r="1735" spans="1:19" hidden="1">
      <c r="A1735" t="s">
        <v>1788</v>
      </c>
      <c r="B1735" t="s">
        <v>30</v>
      </c>
      <c r="C1735">
        <v>175</v>
      </c>
      <c r="D1735">
        <v>5484</v>
      </c>
      <c r="E1735" s="2">
        <v>186.91</v>
      </c>
      <c r="F1735">
        <v>14</v>
      </c>
      <c r="G1735">
        <v>3</v>
      </c>
      <c r="H1735">
        <v>3.1E-2</v>
      </c>
      <c r="I1735" s="3">
        <v>1728</v>
      </c>
      <c r="J1735" s="1">
        <v>45614</v>
      </c>
      <c r="K1735" t="s">
        <v>31</v>
      </c>
      <c r="L1735" t="s">
        <v>7</v>
      </c>
      <c r="M1735" t="s">
        <v>46</v>
      </c>
      <c r="N1735" s="1">
        <f t="shared" si="162"/>
        <v>45614</v>
      </c>
      <c r="O1735" s="4">
        <f t="shared" si="163"/>
        <v>3.1911013858497449E-2</v>
      </c>
      <c r="P1735">
        <f t="shared" si="164"/>
        <v>1.0680571428571428</v>
      </c>
      <c r="Q1735" s="2">
        <f t="shared" si="165"/>
        <v>13.350714285714286</v>
      </c>
      <c r="R1735" s="2">
        <f t="shared" si="166"/>
        <v>62.303333333333335</v>
      </c>
      <c r="S1735" s="2">
        <f t="shared" si="167"/>
        <v>9.2450912203734426</v>
      </c>
    </row>
    <row r="1736" spans="1:19" hidden="1">
      <c r="A1736" t="s">
        <v>1789</v>
      </c>
      <c r="B1736" t="s">
        <v>30</v>
      </c>
      <c r="C1736">
        <v>121</v>
      </c>
      <c r="D1736">
        <v>3633</v>
      </c>
      <c r="E1736" s="2">
        <v>190.82</v>
      </c>
      <c r="F1736">
        <v>16</v>
      </c>
      <c r="G1736">
        <v>5</v>
      </c>
      <c r="H1736">
        <v>4.1000000000000002E-2</v>
      </c>
      <c r="I1736" s="3">
        <v>1157</v>
      </c>
      <c r="J1736" s="1">
        <v>45612</v>
      </c>
      <c r="K1736" t="s">
        <v>31</v>
      </c>
      <c r="L1736" t="s">
        <v>9</v>
      </c>
      <c r="M1736" t="s">
        <v>37</v>
      </c>
      <c r="N1736" s="1">
        <f t="shared" si="162"/>
        <v>45612</v>
      </c>
      <c r="O1736" s="4">
        <f t="shared" si="163"/>
        <v>3.3305807872281858E-2</v>
      </c>
      <c r="P1736">
        <f t="shared" si="164"/>
        <v>1.5770247933884296</v>
      </c>
      <c r="Q1736" s="2">
        <f t="shared" si="165"/>
        <v>11.92625</v>
      </c>
      <c r="R1736" s="2">
        <f t="shared" si="166"/>
        <v>38.164000000000001</v>
      </c>
      <c r="S1736" s="2">
        <f t="shared" si="167"/>
        <v>6.0633057331516618</v>
      </c>
    </row>
    <row r="1737" spans="1:19" hidden="1">
      <c r="A1737" t="s">
        <v>1790</v>
      </c>
      <c r="B1737" t="s">
        <v>30</v>
      </c>
      <c r="C1737">
        <v>85</v>
      </c>
      <c r="D1737">
        <v>4518.5</v>
      </c>
      <c r="E1737" s="2">
        <v>190.32</v>
      </c>
      <c r="F1737">
        <v>13</v>
      </c>
      <c r="G1737">
        <v>9</v>
      </c>
      <c r="H1737">
        <v>0.106</v>
      </c>
      <c r="I1737" s="3">
        <v>1301</v>
      </c>
      <c r="J1737" s="1">
        <v>45603</v>
      </c>
      <c r="K1737" t="s">
        <v>31</v>
      </c>
      <c r="L1737" t="s">
        <v>7</v>
      </c>
      <c r="M1737" t="s">
        <v>37</v>
      </c>
      <c r="N1737" s="1">
        <f t="shared" si="162"/>
        <v>45603</v>
      </c>
      <c r="O1737" s="4">
        <f t="shared" si="163"/>
        <v>1.8811552506362732E-2</v>
      </c>
      <c r="P1737">
        <f t="shared" si="164"/>
        <v>2.2390588235294118</v>
      </c>
      <c r="Q1737" s="2">
        <f t="shared" si="165"/>
        <v>14.639999999999999</v>
      </c>
      <c r="R1737" s="2">
        <f t="shared" si="166"/>
        <v>21.146666666666665</v>
      </c>
      <c r="S1737" s="2">
        <f t="shared" si="167"/>
        <v>6.8358554014291721</v>
      </c>
    </row>
    <row r="1738" spans="1:19" hidden="1">
      <c r="A1738" t="s">
        <v>1791</v>
      </c>
      <c r="B1738" t="s">
        <v>30</v>
      </c>
      <c r="C1738">
        <v>176</v>
      </c>
      <c r="D1738">
        <v>4474</v>
      </c>
      <c r="E1738" s="2">
        <v>215.93</v>
      </c>
      <c r="F1738">
        <v>28</v>
      </c>
      <c r="G1738">
        <v>9</v>
      </c>
      <c r="H1738">
        <v>3.5000000000000003E-2</v>
      </c>
      <c r="I1738" s="3">
        <v>1214</v>
      </c>
      <c r="J1738" s="1" t="s">
        <v>64</v>
      </c>
      <c r="K1738" t="s">
        <v>31</v>
      </c>
      <c r="L1738" t="s">
        <v>8</v>
      </c>
      <c r="M1738" t="s">
        <v>37</v>
      </c>
      <c r="N1738" s="1">
        <f t="shared" si="162"/>
        <v>45626</v>
      </c>
      <c r="O1738" s="4">
        <f t="shared" si="163"/>
        <v>3.9338399642378188E-2</v>
      </c>
      <c r="P1738">
        <f t="shared" si="164"/>
        <v>1.2268749999999999</v>
      </c>
      <c r="Q1738" s="2">
        <f t="shared" si="165"/>
        <v>7.7117857142857149</v>
      </c>
      <c r="R1738" s="2">
        <f t="shared" si="166"/>
        <v>23.992222222222225</v>
      </c>
      <c r="S1738" s="2">
        <f t="shared" si="167"/>
        <v>5.6221923771592648</v>
      </c>
    </row>
    <row r="1739" spans="1:19">
      <c r="A1739" t="s">
        <v>1792</v>
      </c>
      <c r="B1739" t="s">
        <v>30</v>
      </c>
      <c r="C1739">
        <v>174</v>
      </c>
      <c r="D1739">
        <v>5282</v>
      </c>
      <c r="E1739" s="2">
        <v>240.85</v>
      </c>
      <c r="F1739">
        <v>10</v>
      </c>
      <c r="G1739">
        <v>4</v>
      </c>
      <c r="H1739">
        <v>4.5999999999999999E-2</v>
      </c>
      <c r="I1739" s="3">
        <v>1481</v>
      </c>
      <c r="J1739" s="1">
        <v>45622</v>
      </c>
      <c r="K1739" t="s">
        <v>31</v>
      </c>
      <c r="L1739" t="s">
        <v>9</v>
      </c>
      <c r="M1739" t="s">
        <v>35</v>
      </c>
      <c r="N1739" s="1">
        <f t="shared" si="162"/>
        <v>45622</v>
      </c>
      <c r="O1739" s="4">
        <f t="shared" si="163"/>
        <v>3.294206739871261E-2</v>
      </c>
      <c r="P1739">
        <f t="shared" si="164"/>
        <v>1.3841954022988505</v>
      </c>
      <c r="Q1739" s="2">
        <f t="shared" si="165"/>
        <v>24.085000000000001</v>
      </c>
      <c r="R1739" s="2">
        <f t="shared" si="166"/>
        <v>60.212499999999999</v>
      </c>
      <c r="S1739" s="2">
        <f t="shared" si="167"/>
        <v>6.1490554286900565</v>
      </c>
    </row>
    <row r="1740" spans="1:19">
      <c r="A1740" t="s">
        <v>1793</v>
      </c>
      <c r="B1740" t="s">
        <v>30</v>
      </c>
      <c r="C1740">
        <v>180</v>
      </c>
      <c r="D1740">
        <v>3778</v>
      </c>
      <c r="E1740" s="2">
        <v>214.66</v>
      </c>
      <c r="F1740">
        <v>28</v>
      </c>
      <c r="G1740">
        <v>4</v>
      </c>
      <c r="H1740">
        <v>4.5999999999999999E-2</v>
      </c>
      <c r="I1740" s="3">
        <v>1733</v>
      </c>
      <c r="J1740" s="1" t="s">
        <v>50</v>
      </c>
      <c r="K1740" t="s">
        <v>31</v>
      </c>
      <c r="L1740" t="s">
        <v>7</v>
      </c>
      <c r="M1740" t="s">
        <v>35</v>
      </c>
      <c r="N1740" s="1">
        <f t="shared" si="162"/>
        <v>45610</v>
      </c>
      <c r="O1740" s="4">
        <f t="shared" si="163"/>
        <v>4.7644256220222343E-2</v>
      </c>
      <c r="P1740">
        <f t="shared" si="164"/>
        <v>1.1925555555555556</v>
      </c>
      <c r="Q1740" s="2">
        <f t="shared" si="165"/>
        <v>7.6664285714285709</v>
      </c>
      <c r="R1740" s="2">
        <f t="shared" si="166"/>
        <v>53.664999999999999</v>
      </c>
      <c r="S1740" s="2">
        <f t="shared" si="167"/>
        <v>8.073232087953043</v>
      </c>
    </row>
    <row r="1741" spans="1:19" hidden="1">
      <c r="A1741" t="s">
        <v>1794</v>
      </c>
      <c r="B1741" t="s">
        <v>30</v>
      </c>
      <c r="C1741">
        <v>156</v>
      </c>
      <c r="D1741">
        <v>3361</v>
      </c>
      <c r="E1741" s="2">
        <v>183.12</v>
      </c>
      <c r="F1741">
        <v>29</v>
      </c>
      <c r="G1741">
        <v>9</v>
      </c>
      <c r="H1741">
        <v>5.8000000000000003E-2</v>
      </c>
      <c r="I1741" s="3">
        <v>1241</v>
      </c>
      <c r="J1741" s="1">
        <v>45606</v>
      </c>
      <c r="K1741" t="s">
        <v>31</v>
      </c>
      <c r="L1741" t="s">
        <v>7</v>
      </c>
      <c r="M1741" t="s">
        <v>37</v>
      </c>
      <c r="N1741" s="1">
        <f t="shared" si="162"/>
        <v>45606</v>
      </c>
      <c r="O1741" s="4">
        <f t="shared" si="163"/>
        <v>4.6414757512645045E-2</v>
      </c>
      <c r="P1741">
        <f t="shared" si="164"/>
        <v>1.173846153846154</v>
      </c>
      <c r="Q1741" s="2">
        <f t="shared" si="165"/>
        <v>6.3144827586206898</v>
      </c>
      <c r="R1741" s="2">
        <f t="shared" si="166"/>
        <v>20.346666666666668</v>
      </c>
      <c r="S1741" s="2">
        <f t="shared" si="167"/>
        <v>6.7769768457841852</v>
      </c>
    </row>
    <row r="1742" spans="1:19">
      <c r="A1742" t="s">
        <v>1795</v>
      </c>
      <c r="B1742" t="s">
        <v>30</v>
      </c>
      <c r="C1742">
        <v>139</v>
      </c>
      <c r="D1742">
        <v>5877</v>
      </c>
      <c r="E1742" s="2">
        <v>223.87</v>
      </c>
      <c r="F1742">
        <v>21</v>
      </c>
      <c r="G1742">
        <v>9</v>
      </c>
      <c r="H1742">
        <v>4.5999999999999999E-2</v>
      </c>
      <c r="I1742" s="3">
        <v>1866</v>
      </c>
      <c r="J1742" s="1">
        <v>45624</v>
      </c>
      <c r="K1742" t="s">
        <v>31</v>
      </c>
      <c r="L1742" t="s">
        <v>8</v>
      </c>
      <c r="M1742" t="s">
        <v>46</v>
      </c>
      <c r="N1742" s="1">
        <f t="shared" si="162"/>
        <v>45624</v>
      </c>
      <c r="O1742" s="4">
        <f t="shared" si="163"/>
        <v>2.3651522885826101E-2</v>
      </c>
      <c r="P1742">
        <f t="shared" si="164"/>
        <v>1.6105755395683454</v>
      </c>
      <c r="Q1742" s="2">
        <f t="shared" si="165"/>
        <v>10.66047619047619</v>
      </c>
      <c r="R1742" s="2">
        <f t="shared" si="166"/>
        <v>24.874444444444446</v>
      </c>
      <c r="S1742" s="2">
        <f t="shared" si="167"/>
        <v>8.3351945325412071</v>
      </c>
    </row>
    <row r="1743" spans="1:19" hidden="1">
      <c r="A1743" t="s">
        <v>1796</v>
      </c>
      <c r="B1743" t="s">
        <v>30</v>
      </c>
      <c r="C1743">
        <v>161</v>
      </c>
      <c r="D1743">
        <v>5656</v>
      </c>
      <c r="E1743" s="2">
        <v>237.69</v>
      </c>
      <c r="F1743">
        <v>12</v>
      </c>
      <c r="G1743">
        <v>4</v>
      </c>
      <c r="H1743">
        <v>5.6000000000000001E-2</v>
      </c>
      <c r="I1743" s="3">
        <v>1262</v>
      </c>
      <c r="J1743" s="1">
        <v>45625</v>
      </c>
      <c r="K1743" t="s">
        <v>31</v>
      </c>
      <c r="L1743" t="s">
        <v>8</v>
      </c>
      <c r="M1743" t="s">
        <v>41</v>
      </c>
      <c r="N1743" s="1">
        <f t="shared" si="162"/>
        <v>45625</v>
      </c>
      <c r="O1743" s="4">
        <f t="shared" si="163"/>
        <v>2.8465346534653466E-2</v>
      </c>
      <c r="P1743">
        <f t="shared" si="164"/>
        <v>1.476335403726708</v>
      </c>
      <c r="Q1743" s="2">
        <f t="shared" si="165"/>
        <v>19.807500000000001</v>
      </c>
      <c r="R1743" s="2">
        <f t="shared" si="166"/>
        <v>59.422499999999999</v>
      </c>
      <c r="S1743" s="2">
        <f t="shared" si="167"/>
        <v>5.309436661197358</v>
      </c>
    </row>
    <row r="1744" spans="1:19" hidden="1">
      <c r="A1744" t="s">
        <v>1797</v>
      </c>
      <c r="B1744" t="s">
        <v>30</v>
      </c>
      <c r="C1744">
        <v>87</v>
      </c>
      <c r="D1744">
        <v>3061</v>
      </c>
      <c r="E1744" s="2">
        <v>192.29</v>
      </c>
      <c r="F1744">
        <v>15</v>
      </c>
      <c r="G1744">
        <v>6</v>
      </c>
      <c r="H1744">
        <v>6.9000000000000006E-2</v>
      </c>
      <c r="I1744" s="3">
        <v>1506</v>
      </c>
      <c r="J1744" s="1">
        <v>45616</v>
      </c>
      <c r="K1744" t="s">
        <v>31</v>
      </c>
      <c r="L1744" t="s">
        <v>9</v>
      </c>
      <c r="M1744" t="s">
        <v>37</v>
      </c>
      <c r="N1744" s="1">
        <f t="shared" si="162"/>
        <v>45616</v>
      </c>
      <c r="O1744" s="4">
        <f t="shared" si="163"/>
        <v>2.8422084286180985E-2</v>
      </c>
      <c r="P1744">
        <f t="shared" si="164"/>
        <v>2.2102298850574713</v>
      </c>
      <c r="Q1744" s="2">
        <f t="shared" si="165"/>
        <v>12.819333333333333</v>
      </c>
      <c r="R1744" s="2">
        <f t="shared" si="166"/>
        <v>32.048333333333332</v>
      </c>
      <c r="S1744" s="2">
        <f t="shared" si="167"/>
        <v>7.8319205366893758</v>
      </c>
    </row>
    <row r="1745" spans="1:19" hidden="1">
      <c r="A1745" t="s">
        <v>1798</v>
      </c>
      <c r="B1745" t="s">
        <v>30</v>
      </c>
      <c r="C1745">
        <v>126</v>
      </c>
      <c r="D1745">
        <v>4569</v>
      </c>
      <c r="E1745" s="2">
        <v>204.13</v>
      </c>
      <c r="F1745">
        <v>10</v>
      </c>
      <c r="G1745">
        <v>4</v>
      </c>
      <c r="H1745">
        <v>3.2000000000000001E-2</v>
      </c>
      <c r="I1745" s="3">
        <v>1037</v>
      </c>
      <c r="J1745" s="1">
        <v>45362</v>
      </c>
      <c r="K1745" t="s">
        <v>31</v>
      </c>
      <c r="L1745" t="s">
        <v>9</v>
      </c>
      <c r="M1745" t="s">
        <v>32</v>
      </c>
      <c r="N1745" s="1">
        <f t="shared" si="162"/>
        <v>45362</v>
      </c>
      <c r="O1745" s="4">
        <f t="shared" si="163"/>
        <v>2.757715036112935E-2</v>
      </c>
      <c r="P1745">
        <f t="shared" si="164"/>
        <v>1.620079365079365</v>
      </c>
      <c r="Q1745" s="2">
        <f t="shared" si="165"/>
        <v>20.413</v>
      </c>
      <c r="R1745" s="2">
        <f t="shared" si="166"/>
        <v>51.032499999999999</v>
      </c>
      <c r="S1745" s="2">
        <f t="shared" si="167"/>
        <v>5.0800960172439131</v>
      </c>
    </row>
    <row r="1746" spans="1:19" hidden="1">
      <c r="A1746" t="s">
        <v>1799</v>
      </c>
      <c r="B1746" t="s">
        <v>30</v>
      </c>
      <c r="C1746">
        <v>151</v>
      </c>
      <c r="D1746">
        <v>5067</v>
      </c>
      <c r="E1746" s="2">
        <v>199.12</v>
      </c>
      <c r="F1746">
        <v>13</v>
      </c>
      <c r="G1746">
        <v>5</v>
      </c>
      <c r="H1746">
        <v>5.5E-2</v>
      </c>
      <c r="I1746" s="3">
        <v>1669</v>
      </c>
      <c r="J1746" s="1">
        <v>45623</v>
      </c>
      <c r="K1746" t="s">
        <v>31</v>
      </c>
      <c r="L1746" t="s">
        <v>8</v>
      </c>
      <c r="M1746" t="s">
        <v>39</v>
      </c>
      <c r="N1746" s="1">
        <f t="shared" si="162"/>
        <v>45623</v>
      </c>
      <c r="O1746" s="4">
        <f t="shared" si="163"/>
        <v>2.9800671008486285E-2</v>
      </c>
      <c r="P1746">
        <f t="shared" si="164"/>
        <v>1.3186754966887417</v>
      </c>
      <c r="Q1746" s="2">
        <f t="shared" si="165"/>
        <v>15.316923076923077</v>
      </c>
      <c r="R1746" s="2">
        <f t="shared" si="166"/>
        <v>39.823999999999998</v>
      </c>
      <c r="S1746" s="2">
        <f t="shared" si="167"/>
        <v>8.3818802732020892</v>
      </c>
    </row>
    <row r="1747" spans="1:19" hidden="1">
      <c r="A1747" t="s">
        <v>1800</v>
      </c>
      <c r="B1747" t="s">
        <v>30</v>
      </c>
      <c r="C1747">
        <v>85</v>
      </c>
      <c r="D1747">
        <v>5612</v>
      </c>
      <c r="E1747" s="2">
        <v>245.87</v>
      </c>
      <c r="F1747">
        <v>12</v>
      </c>
      <c r="G1747">
        <v>7</v>
      </c>
      <c r="H1747">
        <v>8.2000000000000003E-2</v>
      </c>
      <c r="I1747" s="3">
        <v>1124</v>
      </c>
      <c r="J1747" s="1">
        <v>45612</v>
      </c>
      <c r="K1747" t="s">
        <v>31</v>
      </c>
      <c r="L1747" t="s">
        <v>8</v>
      </c>
      <c r="M1747" t="s">
        <v>32</v>
      </c>
      <c r="N1747" s="1">
        <f t="shared" si="162"/>
        <v>45612</v>
      </c>
      <c r="O1747" s="4">
        <f t="shared" si="163"/>
        <v>1.5146115466856735E-2</v>
      </c>
      <c r="P1747">
        <f t="shared" si="164"/>
        <v>2.8925882352941179</v>
      </c>
      <c r="Q1747" s="2">
        <f t="shared" si="165"/>
        <v>20.489166666666666</v>
      </c>
      <c r="R1747" s="2">
        <f t="shared" si="166"/>
        <v>35.124285714285712</v>
      </c>
      <c r="S1747" s="2">
        <f t="shared" si="167"/>
        <v>4.5715215357709358</v>
      </c>
    </row>
    <row r="1748" spans="1:19" hidden="1">
      <c r="A1748" t="s">
        <v>1801</v>
      </c>
      <c r="B1748" t="s">
        <v>30</v>
      </c>
      <c r="C1748">
        <v>104</v>
      </c>
      <c r="D1748">
        <v>4627</v>
      </c>
      <c r="E1748" s="2">
        <v>200.98</v>
      </c>
      <c r="F1748">
        <v>28</v>
      </c>
      <c r="G1748">
        <v>6</v>
      </c>
      <c r="H1748">
        <v>5.8000000000000003E-2</v>
      </c>
      <c r="I1748" s="3">
        <v>1815</v>
      </c>
      <c r="J1748" s="1" t="s">
        <v>43</v>
      </c>
      <c r="K1748" t="s">
        <v>31</v>
      </c>
      <c r="L1748" t="s">
        <v>9</v>
      </c>
      <c r="M1748" t="s">
        <v>39</v>
      </c>
      <c r="N1748" s="1">
        <f t="shared" si="162"/>
        <v>45612</v>
      </c>
      <c r="O1748" s="4">
        <f t="shared" si="163"/>
        <v>2.2476766803544414E-2</v>
      </c>
      <c r="P1748">
        <f t="shared" si="164"/>
        <v>1.9324999999999999</v>
      </c>
      <c r="Q1748" s="2">
        <f t="shared" si="165"/>
        <v>7.1778571428571425</v>
      </c>
      <c r="R1748" s="2">
        <f t="shared" si="166"/>
        <v>33.496666666666663</v>
      </c>
      <c r="S1748" s="2">
        <f t="shared" si="167"/>
        <v>9.0307493282913729</v>
      </c>
    </row>
    <row r="1749" spans="1:19" hidden="1">
      <c r="A1749" t="s">
        <v>1802</v>
      </c>
      <c r="B1749" t="s">
        <v>30</v>
      </c>
      <c r="C1749">
        <v>103</v>
      </c>
      <c r="D1749">
        <v>4264</v>
      </c>
      <c r="E1749" s="2">
        <v>214.56</v>
      </c>
      <c r="F1749">
        <v>27</v>
      </c>
      <c r="G1749">
        <v>4</v>
      </c>
      <c r="H1749">
        <v>3.9E-2</v>
      </c>
      <c r="I1749" s="3">
        <v>1804</v>
      </c>
      <c r="J1749" s="1">
        <v>45607</v>
      </c>
      <c r="K1749" t="s">
        <v>31</v>
      </c>
      <c r="L1749" t="s">
        <v>7</v>
      </c>
      <c r="M1749" t="s">
        <v>32</v>
      </c>
      <c r="N1749" s="1">
        <f t="shared" si="162"/>
        <v>45607</v>
      </c>
      <c r="O1749" s="4">
        <f t="shared" si="163"/>
        <v>2.4155722326454035E-2</v>
      </c>
      <c r="P1749">
        <f t="shared" si="164"/>
        <v>2.0831067961165051</v>
      </c>
      <c r="Q1749" s="2">
        <f t="shared" si="165"/>
        <v>7.9466666666666663</v>
      </c>
      <c r="R1749" s="2">
        <f t="shared" si="166"/>
        <v>53.64</v>
      </c>
      <c r="S1749" s="2">
        <f t="shared" si="167"/>
        <v>8.4079045488441455</v>
      </c>
    </row>
    <row r="1750" spans="1:19" hidden="1">
      <c r="A1750" t="s">
        <v>1803</v>
      </c>
      <c r="B1750" t="s">
        <v>30</v>
      </c>
      <c r="C1750">
        <v>162</v>
      </c>
      <c r="D1750">
        <v>5815</v>
      </c>
      <c r="E1750" s="2">
        <v>198.49</v>
      </c>
      <c r="F1750">
        <v>11</v>
      </c>
      <c r="G1750">
        <v>7</v>
      </c>
      <c r="H1750">
        <v>4.8000000000000001E-2</v>
      </c>
      <c r="I1750" s="3">
        <v>1468</v>
      </c>
      <c r="J1750" s="1">
        <v>45619</v>
      </c>
      <c r="K1750" t="s">
        <v>31</v>
      </c>
      <c r="L1750" t="s">
        <v>9</v>
      </c>
      <c r="M1750" t="s">
        <v>35</v>
      </c>
      <c r="N1750" s="1">
        <f t="shared" si="162"/>
        <v>45619</v>
      </c>
      <c r="O1750" s="4">
        <f t="shared" si="163"/>
        <v>2.7858985382631127E-2</v>
      </c>
      <c r="P1750">
        <f t="shared" si="164"/>
        <v>1.2252469135802471</v>
      </c>
      <c r="Q1750" s="2">
        <f t="shared" si="165"/>
        <v>18.044545454545457</v>
      </c>
      <c r="R1750" s="2">
        <f t="shared" si="166"/>
        <v>28.355714285714289</v>
      </c>
      <c r="S1750" s="2">
        <f t="shared" si="167"/>
        <v>7.3958385812887295</v>
      </c>
    </row>
    <row r="1751" spans="1:19" hidden="1">
      <c r="A1751" t="s">
        <v>1804</v>
      </c>
      <c r="B1751" t="s">
        <v>30</v>
      </c>
      <c r="C1751">
        <v>161</v>
      </c>
      <c r="D1751">
        <v>3597</v>
      </c>
      <c r="E1751" s="2">
        <v>218.35</v>
      </c>
      <c r="F1751">
        <v>29</v>
      </c>
      <c r="G1751">
        <v>6</v>
      </c>
      <c r="H1751">
        <v>3.9E-2</v>
      </c>
      <c r="I1751" s="3">
        <v>1840</v>
      </c>
      <c r="J1751" s="1">
        <v>45454</v>
      </c>
      <c r="K1751" t="s">
        <v>31</v>
      </c>
      <c r="L1751" t="s">
        <v>9</v>
      </c>
      <c r="M1751" t="s">
        <v>35</v>
      </c>
      <c r="N1751" s="1">
        <f t="shared" si="162"/>
        <v>45454</v>
      </c>
      <c r="O1751" s="4">
        <f t="shared" si="163"/>
        <v>4.4759521823742009E-2</v>
      </c>
      <c r="P1751">
        <f t="shared" si="164"/>
        <v>1.3562111801242236</v>
      </c>
      <c r="Q1751" s="2">
        <f t="shared" si="165"/>
        <v>7.5293103448275858</v>
      </c>
      <c r="R1751" s="2">
        <f t="shared" si="166"/>
        <v>36.391666666666666</v>
      </c>
      <c r="S1751" s="2">
        <f t="shared" si="167"/>
        <v>8.4268376459812231</v>
      </c>
    </row>
    <row r="1752" spans="1:19" hidden="1">
      <c r="A1752" t="s">
        <v>1805</v>
      </c>
      <c r="B1752" t="s">
        <v>30</v>
      </c>
      <c r="C1752">
        <v>83</v>
      </c>
      <c r="D1752">
        <v>5973</v>
      </c>
      <c r="E1752" s="2">
        <v>224.06</v>
      </c>
      <c r="F1752">
        <v>25</v>
      </c>
      <c r="G1752">
        <v>9</v>
      </c>
      <c r="H1752">
        <v>0.108</v>
      </c>
      <c r="I1752" s="3">
        <v>1197</v>
      </c>
      <c r="J1752" s="1">
        <v>45606</v>
      </c>
      <c r="K1752" t="s">
        <v>31</v>
      </c>
      <c r="L1752" t="s">
        <v>8</v>
      </c>
      <c r="M1752" t="s">
        <v>46</v>
      </c>
      <c r="N1752" s="1">
        <f t="shared" si="162"/>
        <v>45606</v>
      </c>
      <c r="O1752" s="4">
        <f t="shared" si="163"/>
        <v>1.3895864724594007E-2</v>
      </c>
      <c r="P1752">
        <f t="shared" si="164"/>
        <v>2.6995180722891567</v>
      </c>
      <c r="Q1752" s="2">
        <f t="shared" si="165"/>
        <v>8.9624000000000006</v>
      </c>
      <c r="R1752" s="2">
        <f t="shared" si="166"/>
        <v>24.895555555555557</v>
      </c>
      <c r="S1752" s="2">
        <f t="shared" si="167"/>
        <v>5.3423190216906189</v>
      </c>
    </row>
    <row r="1753" spans="1:19" hidden="1">
      <c r="A1753" t="s">
        <v>1806</v>
      </c>
      <c r="B1753" t="s">
        <v>30</v>
      </c>
      <c r="C1753">
        <v>165</v>
      </c>
      <c r="D1753">
        <v>3430</v>
      </c>
      <c r="E1753" s="2">
        <v>248.59</v>
      </c>
      <c r="F1753">
        <v>26</v>
      </c>
      <c r="G1753">
        <v>8</v>
      </c>
      <c r="H1753">
        <v>0.04</v>
      </c>
      <c r="I1753" s="3">
        <v>1056</v>
      </c>
      <c r="J1753" s="1">
        <v>45602</v>
      </c>
      <c r="K1753" t="s">
        <v>31</v>
      </c>
      <c r="L1753" t="s">
        <v>7</v>
      </c>
      <c r="M1753" t="s">
        <v>46</v>
      </c>
      <c r="N1753" s="1">
        <f t="shared" si="162"/>
        <v>45602</v>
      </c>
      <c r="O1753" s="4">
        <f t="shared" si="163"/>
        <v>4.8104956268221574E-2</v>
      </c>
      <c r="P1753">
        <f t="shared" si="164"/>
        <v>1.5066060606060607</v>
      </c>
      <c r="Q1753" s="2">
        <f t="shared" si="165"/>
        <v>9.5611538461538466</v>
      </c>
      <c r="R1753" s="2">
        <f t="shared" si="166"/>
        <v>31.07375</v>
      </c>
      <c r="S1753" s="2">
        <f t="shared" si="167"/>
        <v>4.2479584858602522</v>
      </c>
    </row>
    <row r="1754" spans="1:19" hidden="1">
      <c r="A1754" t="s">
        <v>1807</v>
      </c>
      <c r="B1754" t="s">
        <v>30</v>
      </c>
      <c r="C1754">
        <v>134</v>
      </c>
      <c r="D1754">
        <v>5085</v>
      </c>
      <c r="E1754" s="2">
        <v>186.1</v>
      </c>
      <c r="F1754">
        <v>18</v>
      </c>
      <c r="G1754">
        <v>8</v>
      </c>
      <c r="H1754">
        <v>0.06</v>
      </c>
      <c r="I1754" s="3">
        <v>1033</v>
      </c>
      <c r="J1754" s="1">
        <v>45623</v>
      </c>
      <c r="K1754" t="s">
        <v>31</v>
      </c>
      <c r="L1754" t="s">
        <v>8</v>
      </c>
      <c r="M1754" t="s">
        <v>35</v>
      </c>
      <c r="N1754" s="1">
        <f t="shared" si="162"/>
        <v>45623</v>
      </c>
      <c r="O1754" s="4">
        <f t="shared" si="163"/>
        <v>2.6352015732546707E-2</v>
      </c>
      <c r="P1754">
        <f t="shared" si="164"/>
        <v>1.3888059701492537</v>
      </c>
      <c r="Q1754" s="2">
        <f t="shared" si="165"/>
        <v>10.338888888888889</v>
      </c>
      <c r="R1754" s="2">
        <f t="shared" si="166"/>
        <v>23.262499999999999</v>
      </c>
      <c r="S1754" s="2">
        <f t="shared" si="167"/>
        <v>5.5507791509940896</v>
      </c>
    </row>
    <row r="1755" spans="1:19" hidden="1">
      <c r="A1755" t="s">
        <v>1808</v>
      </c>
      <c r="B1755" t="s">
        <v>30</v>
      </c>
      <c r="C1755">
        <v>126</v>
      </c>
      <c r="D1755">
        <v>4906</v>
      </c>
      <c r="E1755" s="2">
        <v>222.92</v>
      </c>
      <c r="F1755">
        <v>16</v>
      </c>
      <c r="G1755">
        <v>9</v>
      </c>
      <c r="H1755">
        <v>7.0999999999999994E-2</v>
      </c>
      <c r="I1755" s="3">
        <v>1443</v>
      </c>
      <c r="J1755" s="1">
        <v>45621</v>
      </c>
      <c r="K1755" t="s">
        <v>31</v>
      </c>
      <c r="L1755" t="s">
        <v>8</v>
      </c>
      <c r="M1755" t="s">
        <v>32</v>
      </c>
      <c r="N1755" s="1">
        <f t="shared" si="162"/>
        <v>45621</v>
      </c>
      <c r="O1755" s="4">
        <f t="shared" si="163"/>
        <v>2.5682837342030168E-2</v>
      </c>
      <c r="P1755">
        <f t="shared" si="164"/>
        <v>1.769206349206349</v>
      </c>
      <c r="Q1755" s="2">
        <f t="shared" si="165"/>
        <v>13.932499999999999</v>
      </c>
      <c r="R1755" s="2">
        <f t="shared" si="166"/>
        <v>24.768888888888888</v>
      </c>
      <c r="S1755" s="2">
        <f t="shared" si="167"/>
        <v>6.4731742329086668</v>
      </c>
    </row>
    <row r="1756" spans="1:19" hidden="1">
      <c r="A1756" t="s">
        <v>1809</v>
      </c>
      <c r="B1756" t="s">
        <v>30</v>
      </c>
      <c r="C1756">
        <v>173</v>
      </c>
      <c r="D1756">
        <v>5082</v>
      </c>
      <c r="E1756" s="2">
        <v>198.75</v>
      </c>
      <c r="F1756">
        <v>16</v>
      </c>
      <c r="G1756">
        <v>3</v>
      </c>
      <c r="H1756">
        <v>4.5999999999999999E-2</v>
      </c>
      <c r="I1756" s="3">
        <v>1128</v>
      </c>
      <c r="J1756" s="1">
        <v>45610</v>
      </c>
      <c r="K1756" t="s">
        <v>31</v>
      </c>
      <c r="L1756" t="s">
        <v>9</v>
      </c>
      <c r="M1756" t="s">
        <v>46</v>
      </c>
      <c r="N1756" s="1">
        <f t="shared" si="162"/>
        <v>45610</v>
      </c>
      <c r="O1756" s="4">
        <f t="shared" si="163"/>
        <v>3.4041715859897681E-2</v>
      </c>
      <c r="P1756">
        <f t="shared" si="164"/>
        <v>1.1488439306358382</v>
      </c>
      <c r="Q1756" s="2">
        <f t="shared" si="165"/>
        <v>12.421875</v>
      </c>
      <c r="R1756" s="2">
        <f t="shared" si="166"/>
        <v>66.25</v>
      </c>
      <c r="S1756" s="2">
        <f t="shared" si="167"/>
        <v>5.6754716981132072</v>
      </c>
    </row>
    <row r="1757" spans="1:19" hidden="1">
      <c r="A1757" t="s">
        <v>1810</v>
      </c>
      <c r="B1757" t="s">
        <v>30</v>
      </c>
      <c r="C1757">
        <v>174</v>
      </c>
      <c r="D1757">
        <v>4661</v>
      </c>
      <c r="E1757" s="2">
        <v>200.74</v>
      </c>
      <c r="F1757">
        <v>20</v>
      </c>
      <c r="G1757">
        <v>5</v>
      </c>
      <c r="H1757">
        <v>2.9000000000000001E-2</v>
      </c>
      <c r="I1757" s="3">
        <v>1596</v>
      </c>
      <c r="J1757" s="1">
        <v>45616</v>
      </c>
      <c r="K1757" t="s">
        <v>31</v>
      </c>
      <c r="L1757" t="s">
        <v>7</v>
      </c>
      <c r="M1757" t="s">
        <v>35</v>
      </c>
      <c r="N1757" s="1">
        <f t="shared" si="162"/>
        <v>45616</v>
      </c>
      <c r="O1757" s="4">
        <f t="shared" si="163"/>
        <v>3.7331044840163058E-2</v>
      </c>
      <c r="P1757">
        <f t="shared" si="164"/>
        <v>1.1536781609195403</v>
      </c>
      <c r="Q1757" s="2">
        <f t="shared" si="165"/>
        <v>10.037000000000001</v>
      </c>
      <c r="R1757" s="2">
        <f t="shared" si="166"/>
        <v>40.148000000000003</v>
      </c>
      <c r="S1757" s="2">
        <f t="shared" si="167"/>
        <v>7.9505828434791272</v>
      </c>
    </row>
    <row r="1758" spans="1:19" hidden="1">
      <c r="A1758" t="s">
        <v>1811</v>
      </c>
      <c r="B1758" t="s">
        <v>30</v>
      </c>
      <c r="C1758">
        <v>149</v>
      </c>
      <c r="D1758">
        <v>3573</v>
      </c>
      <c r="E1758" s="2">
        <v>247.52</v>
      </c>
      <c r="F1758">
        <v>20</v>
      </c>
      <c r="G1758">
        <v>4</v>
      </c>
      <c r="H1758">
        <v>3.1E-2</v>
      </c>
      <c r="I1758" s="3">
        <v>1742</v>
      </c>
      <c r="J1758" s="1">
        <v>45362</v>
      </c>
      <c r="K1758" t="s">
        <v>31</v>
      </c>
      <c r="L1758" t="s">
        <v>8</v>
      </c>
      <c r="M1758" t="s">
        <v>46</v>
      </c>
      <c r="N1758" s="1">
        <f t="shared" si="162"/>
        <v>45362</v>
      </c>
      <c r="O1758" s="4">
        <f t="shared" si="163"/>
        <v>4.1701651273439687E-2</v>
      </c>
      <c r="P1758">
        <f t="shared" si="164"/>
        <v>1.6612080536912752</v>
      </c>
      <c r="Q1758" s="2">
        <f t="shared" si="165"/>
        <v>12.376000000000001</v>
      </c>
      <c r="R1758" s="2">
        <f t="shared" si="166"/>
        <v>61.88</v>
      </c>
      <c r="S1758" s="2">
        <f t="shared" si="167"/>
        <v>7.03781512605042</v>
      </c>
    </row>
    <row r="1759" spans="1:19" hidden="1">
      <c r="A1759" t="s">
        <v>1812</v>
      </c>
      <c r="B1759" t="s">
        <v>30</v>
      </c>
      <c r="C1759">
        <v>108</v>
      </c>
      <c r="D1759">
        <v>5663</v>
      </c>
      <c r="E1759" s="2">
        <v>213.85</v>
      </c>
      <c r="F1759">
        <v>20</v>
      </c>
      <c r="G1759">
        <v>9</v>
      </c>
      <c r="H1759">
        <v>8.3000000000000004E-2</v>
      </c>
      <c r="I1759" s="3">
        <v>1703</v>
      </c>
      <c r="J1759" s="1">
        <v>45613</v>
      </c>
      <c r="K1759" t="s">
        <v>31</v>
      </c>
      <c r="L1759" t="s">
        <v>7</v>
      </c>
      <c r="M1759" t="s">
        <v>37</v>
      </c>
      <c r="N1759" s="1">
        <f t="shared" si="162"/>
        <v>45613</v>
      </c>
      <c r="O1759" s="4">
        <f t="shared" si="163"/>
        <v>1.9071163694155041E-2</v>
      </c>
      <c r="P1759">
        <f t="shared" si="164"/>
        <v>1.9800925925925925</v>
      </c>
      <c r="Q1759" s="2">
        <f t="shared" si="165"/>
        <v>10.692499999999999</v>
      </c>
      <c r="R1759" s="2">
        <f t="shared" si="166"/>
        <v>23.761111111111109</v>
      </c>
      <c r="S1759" s="2">
        <f t="shared" si="167"/>
        <v>7.9635258358662613</v>
      </c>
    </row>
    <row r="1760" spans="1:19">
      <c r="A1760" t="s">
        <v>1813</v>
      </c>
      <c r="B1760" t="s">
        <v>30</v>
      </c>
      <c r="C1760">
        <v>99</v>
      </c>
      <c r="D1760">
        <v>4466</v>
      </c>
      <c r="E1760" s="2">
        <v>214.08</v>
      </c>
      <c r="F1760">
        <v>14</v>
      </c>
      <c r="G1760">
        <v>7</v>
      </c>
      <c r="H1760">
        <v>4.5999999999999999E-2</v>
      </c>
      <c r="I1760" s="3">
        <v>1515</v>
      </c>
      <c r="J1760" s="1">
        <v>45611</v>
      </c>
      <c r="K1760" t="s">
        <v>31</v>
      </c>
      <c r="L1760" t="s">
        <v>7</v>
      </c>
      <c r="M1760" t="s">
        <v>46</v>
      </c>
      <c r="N1760" s="1">
        <f t="shared" si="162"/>
        <v>45611</v>
      </c>
      <c r="O1760" s="4">
        <f t="shared" si="163"/>
        <v>2.2167487684729065E-2</v>
      </c>
      <c r="P1760">
        <f t="shared" si="164"/>
        <v>2.1624242424242426</v>
      </c>
      <c r="Q1760" s="2">
        <f t="shared" si="165"/>
        <v>15.291428571428572</v>
      </c>
      <c r="R1760" s="2">
        <f t="shared" si="166"/>
        <v>30.582857142857144</v>
      </c>
      <c r="S1760" s="2">
        <f t="shared" si="167"/>
        <v>7.0767937219730941</v>
      </c>
    </row>
    <row r="1761" spans="1:19" hidden="1">
      <c r="A1761" t="s">
        <v>1814</v>
      </c>
      <c r="B1761" t="s">
        <v>30</v>
      </c>
      <c r="C1761">
        <v>113</v>
      </c>
      <c r="D1761">
        <v>3120</v>
      </c>
      <c r="E1761" s="2">
        <v>249.66</v>
      </c>
      <c r="F1761">
        <v>20</v>
      </c>
      <c r="G1761">
        <v>8</v>
      </c>
      <c r="H1761">
        <v>7.0999999999999994E-2</v>
      </c>
      <c r="I1761" s="3">
        <v>1895</v>
      </c>
      <c r="J1761" s="1">
        <v>45623</v>
      </c>
      <c r="K1761" t="s">
        <v>31</v>
      </c>
      <c r="L1761" t="s">
        <v>8</v>
      </c>
      <c r="M1761" t="s">
        <v>39</v>
      </c>
      <c r="N1761" s="1">
        <f t="shared" si="162"/>
        <v>45623</v>
      </c>
      <c r="O1761" s="4">
        <f t="shared" si="163"/>
        <v>3.6217948717948721E-2</v>
      </c>
      <c r="P1761">
        <f t="shared" si="164"/>
        <v>2.2093805309734513</v>
      </c>
      <c r="Q1761" s="2">
        <f t="shared" si="165"/>
        <v>12.483000000000001</v>
      </c>
      <c r="R1761" s="2">
        <f t="shared" si="166"/>
        <v>31.2075</v>
      </c>
      <c r="S1761" s="2">
        <f t="shared" si="167"/>
        <v>7.5903228390611233</v>
      </c>
    </row>
    <row r="1762" spans="1:19">
      <c r="A1762" t="s">
        <v>1815</v>
      </c>
      <c r="B1762" t="s">
        <v>30</v>
      </c>
      <c r="C1762">
        <v>84</v>
      </c>
      <c r="D1762">
        <v>3911</v>
      </c>
      <c r="E1762" s="2">
        <v>206.06</v>
      </c>
      <c r="F1762">
        <v>13</v>
      </c>
      <c r="G1762">
        <v>7</v>
      </c>
      <c r="H1762">
        <v>4.5999999999999999E-2</v>
      </c>
      <c r="I1762" s="3">
        <v>1155</v>
      </c>
      <c r="J1762" s="1">
        <v>45614</v>
      </c>
      <c r="K1762" t="s">
        <v>31</v>
      </c>
      <c r="L1762" t="s">
        <v>9</v>
      </c>
      <c r="M1762" t="s">
        <v>32</v>
      </c>
      <c r="N1762" s="1">
        <f t="shared" si="162"/>
        <v>45614</v>
      </c>
      <c r="O1762" s="4">
        <f t="shared" si="163"/>
        <v>2.1477882894400408E-2</v>
      </c>
      <c r="P1762">
        <f t="shared" si="164"/>
        <v>2.453095238095238</v>
      </c>
      <c r="Q1762" s="2">
        <f t="shared" si="165"/>
        <v>15.850769230769231</v>
      </c>
      <c r="R1762" s="2">
        <f t="shared" si="166"/>
        <v>29.437142857142856</v>
      </c>
      <c r="S1762" s="2">
        <f t="shared" si="167"/>
        <v>5.6051635445986605</v>
      </c>
    </row>
    <row r="1763" spans="1:19" hidden="1">
      <c r="A1763" t="s">
        <v>1816</v>
      </c>
      <c r="B1763" t="s">
        <v>30</v>
      </c>
      <c r="C1763">
        <v>182</v>
      </c>
      <c r="D1763">
        <v>3458</v>
      </c>
      <c r="E1763" s="2">
        <v>186.51</v>
      </c>
      <c r="F1763">
        <v>28</v>
      </c>
      <c r="G1763">
        <v>9</v>
      </c>
      <c r="H1763">
        <v>4.9000000000000002E-2</v>
      </c>
      <c r="I1763" s="3">
        <v>1982</v>
      </c>
      <c r="J1763" s="1">
        <v>45597</v>
      </c>
      <c r="K1763" t="s">
        <v>31</v>
      </c>
      <c r="L1763" t="s">
        <v>7</v>
      </c>
      <c r="M1763" t="s">
        <v>32</v>
      </c>
      <c r="N1763" s="1">
        <f t="shared" si="162"/>
        <v>45597</v>
      </c>
      <c r="O1763" s="4">
        <f t="shared" si="163"/>
        <v>5.2631578947368418E-2</v>
      </c>
      <c r="P1763">
        <f t="shared" si="164"/>
        <v>1.0247802197802198</v>
      </c>
      <c r="Q1763" s="2">
        <f t="shared" si="165"/>
        <v>6.6610714285714279</v>
      </c>
      <c r="R1763" s="2">
        <f t="shared" si="166"/>
        <v>20.723333333333333</v>
      </c>
      <c r="S1763" s="2">
        <f t="shared" si="167"/>
        <v>10.626776044179937</v>
      </c>
    </row>
    <row r="1764" spans="1:19">
      <c r="A1764" t="s">
        <v>1817</v>
      </c>
      <c r="B1764" t="s">
        <v>30</v>
      </c>
      <c r="C1764">
        <v>82</v>
      </c>
      <c r="D1764">
        <v>3261</v>
      </c>
      <c r="E1764" s="2">
        <v>245.34</v>
      </c>
      <c r="F1764">
        <v>30</v>
      </c>
      <c r="G1764">
        <v>8</v>
      </c>
      <c r="H1764">
        <v>4.5999999999999999E-2</v>
      </c>
      <c r="I1764" s="3">
        <v>1922</v>
      </c>
      <c r="J1764" s="1">
        <v>45605</v>
      </c>
      <c r="K1764" t="s">
        <v>31</v>
      </c>
      <c r="L1764" t="s">
        <v>7</v>
      </c>
      <c r="M1764" t="s">
        <v>35</v>
      </c>
      <c r="N1764" s="1">
        <f t="shared" si="162"/>
        <v>45605</v>
      </c>
      <c r="O1764" s="4">
        <f t="shared" si="163"/>
        <v>2.5145660840233057E-2</v>
      </c>
      <c r="P1764">
        <f t="shared" si="164"/>
        <v>2.9919512195121953</v>
      </c>
      <c r="Q1764" s="2">
        <f t="shared" si="165"/>
        <v>8.1780000000000008</v>
      </c>
      <c r="R1764" s="2">
        <f t="shared" si="166"/>
        <v>30.6675</v>
      </c>
      <c r="S1764" s="2">
        <f t="shared" si="167"/>
        <v>7.8340262492867039</v>
      </c>
    </row>
    <row r="1765" spans="1:19" hidden="1">
      <c r="A1765" t="s">
        <v>1818</v>
      </c>
      <c r="B1765" t="s">
        <v>30</v>
      </c>
      <c r="C1765">
        <v>103</v>
      </c>
      <c r="D1765">
        <v>3844</v>
      </c>
      <c r="E1765" s="2">
        <v>232.39</v>
      </c>
      <c r="F1765">
        <v>13</v>
      </c>
      <c r="G1765">
        <v>7</v>
      </c>
      <c r="H1765">
        <v>6.8000000000000005E-2</v>
      </c>
      <c r="I1765" s="3">
        <v>1763</v>
      </c>
      <c r="J1765" s="1">
        <v>45621</v>
      </c>
      <c r="K1765" t="s">
        <v>31</v>
      </c>
      <c r="L1765" t="s">
        <v>8</v>
      </c>
      <c r="M1765" t="s">
        <v>32</v>
      </c>
      <c r="N1765" s="1">
        <f t="shared" si="162"/>
        <v>45621</v>
      </c>
      <c r="O1765" s="4">
        <f t="shared" si="163"/>
        <v>2.6795005202913631E-2</v>
      </c>
      <c r="P1765">
        <f t="shared" si="164"/>
        <v>2.2562135922330095</v>
      </c>
      <c r="Q1765" s="2">
        <f t="shared" si="165"/>
        <v>17.876153846153844</v>
      </c>
      <c r="R1765" s="2">
        <f t="shared" si="166"/>
        <v>33.198571428571427</v>
      </c>
      <c r="S1765" s="2">
        <f t="shared" si="167"/>
        <v>7.586384956323422</v>
      </c>
    </row>
    <row r="1766" spans="1:19" hidden="1">
      <c r="A1766" t="s">
        <v>1819</v>
      </c>
      <c r="B1766" t="s">
        <v>30</v>
      </c>
      <c r="C1766">
        <v>117</v>
      </c>
      <c r="D1766">
        <v>4298</v>
      </c>
      <c r="E1766" s="2">
        <v>227.92</v>
      </c>
      <c r="F1766">
        <v>15</v>
      </c>
      <c r="G1766">
        <v>8</v>
      </c>
      <c r="H1766">
        <v>6.8000000000000005E-2</v>
      </c>
      <c r="I1766" s="3">
        <v>1512</v>
      </c>
      <c r="J1766" s="1">
        <v>45617</v>
      </c>
      <c r="K1766" t="s">
        <v>31</v>
      </c>
      <c r="L1766" t="s">
        <v>9</v>
      </c>
      <c r="M1766" t="s">
        <v>41</v>
      </c>
      <c r="N1766" s="1">
        <f t="shared" si="162"/>
        <v>45617</v>
      </c>
      <c r="O1766" s="4">
        <f t="shared" si="163"/>
        <v>2.7221963704048394E-2</v>
      </c>
      <c r="P1766">
        <f t="shared" si="164"/>
        <v>1.9480341880341878</v>
      </c>
      <c r="Q1766" s="2">
        <f t="shared" si="165"/>
        <v>15.194666666666667</v>
      </c>
      <c r="R1766" s="2">
        <f t="shared" si="166"/>
        <v>28.49</v>
      </c>
      <c r="S1766" s="2">
        <f t="shared" si="167"/>
        <v>6.6339066339066344</v>
      </c>
    </row>
    <row r="1767" spans="1:19" hidden="1">
      <c r="A1767" t="s">
        <v>1820</v>
      </c>
      <c r="B1767" t="s">
        <v>30</v>
      </c>
      <c r="C1767">
        <v>93</v>
      </c>
      <c r="D1767">
        <v>4998</v>
      </c>
      <c r="E1767" s="2">
        <v>201.98</v>
      </c>
      <c r="F1767">
        <v>17</v>
      </c>
      <c r="G1767">
        <v>8</v>
      </c>
      <c r="H1767">
        <v>8.5999999999999993E-2</v>
      </c>
      <c r="I1767" s="3">
        <v>1216</v>
      </c>
      <c r="J1767" s="1">
        <v>45608</v>
      </c>
      <c r="K1767" t="s">
        <v>31</v>
      </c>
      <c r="L1767" t="s">
        <v>7</v>
      </c>
      <c r="M1767" t="s">
        <v>35</v>
      </c>
      <c r="N1767" s="1">
        <f t="shared" si="162"/>
        <v>45608</v>
      </c>
      <c r="O1767" s="4">
        <f t="shared" si="163"/>
        <v>1.8607442977190875E-2</v>
      </c>
      <c r="P1767">
        <f t="shared" si="164"/>
        <v>2.1718279569892474</v>
      </c>
      <c r="Q1767" s="2">
        <f t="shared" si="165"/>
        <v>11.881176470588235</v>
      </c>
      <c r="R1767" s="2">
        <f t="shared" si="166"/>
        <v>25.247499999999999</v>
      </c>
      <c r="S1767" s="2">
        <f t="shared" si="167"/>
        <v>6.0203980592137842</v>
      </c>
    </row>
    <row r="1768" spans="1:19">
      <c r="A1768" t="s">
        <v>1821</v>
      </c>
      <c r="B1768" t="s">
        <v>30</v>
      </c>
      <c r="C1768">
        <v>166</v>
      </c>
      <c r="D1768">
        <v>5110</v>
      </c>
      <c r="E1768" s="2">
        <v>196.99</v>
      </c>
      <c r="F1768">
        <v>26</v>
      </c>
      <c r="G1768">
        <v>4</v>
      </c>
      <c r="H1768">
        <v>4.5999999999999999E-2</v>
      </c>
      <c r="I1768" s="3">
        <v>1431</v>
      </c>
      <c r="J1768" s="1">
        <v>45637</v>
      </c>
      <c r="K1768" t="s">
        <v>31</v>
      </c>
      <c r="L1768" t="s">
        <v>9</v>
      </c>
      <c r="M1768" t="s">
        <v>37</v>
      </c>
      <c r="N1768" s="1">
        <f t="shared" si="162"/>
        <v>45637</v>
      </c>
      <c r="O1768" s="4">
        <f t="shared" si="163"/>
        <v>3.2485322896281803E-2</v>
      </c>
      <c r="P1768">
        <f t="shared" si="164"/>
        <v>1.1866867469879518</v>
      </c>
      <c r="Q1768" s="2">
        <f t="shared" si="165"/>
        <v>7.5765384615384619</v>
      </c>
      <c r="R1768" s="2">
        <f t="shared" si="166"/>
        <v>49.247500000000002</v>
      </c>
      <c r="S1768" s="2">
        <f t="shared" si="167"/>
        <v>7.2643281384841867</v>
      </c>
    </row>
    <row r="1769" spans="1:19" hidden="1">
      <c r="A1769" t="s">
        <v>1822</v>
      </c>
      <c r="B1769" t="s">
        <v>30</v>
      </c>
      <c r="C1769">
        <v>121</v>
      </c>
      <c r="D1769">
        <v>5155</v>
      </c>
      <c r="E1769" s="2">
        <v>187</v>
      </c>
      <c r="F1769">
        <v>23</v>
      </c>
      <c r="G1769">
        <v>6</v>
      </c>
      <c r="H1769">
        <v>0.05</v>
      </c>
      <c r="I1769" s="3">
        <v>1510</v>
      </c>
      <c r="J1769" s="1">
        <v>45601</v>
      </c>
      <c r="K1769" t="s">
        <v>31</v>
      </c>
      <c r="L1769" t="s">
        <v>9</v>
      </c>
      <c r="M1769" t="s">
        <v>35</v>
      </c>
      <c r="N1769" s="1">
        <f t="shared" si="162"/>
        <v>45601</v>
      </c>
      <c r="O1769" s="4">
        <f t="shared" si="163"/>
        <v>2.3472356935014548E-2</v>
      </c>
      <c r="P1769">
        <f t="shared" si="164"/>
        <v>1.5454545454545454</v>
      </c>
      <c r="Q1769" s="2">
        <f t="shared" si="165"/>
        <v>8.1304347826086953</v>
      </c>
      <c r="R1769" s="2">
        <f t="shared" si="166"/>
        <v>31.166666666666668</v>
      </c>
      <c r="S1769" s="2">
        <f t="shared" si="167"/>
        <v>8.0748663101604272</v>
      </c>
    </row>
    <row r="1770" spans="1:19" hidden="1">
      <c r="A1770" t="s">
        <v>1823</v>
      </c>
      <c r="B1770" t="s">
        <v>30</v>
      </c>
      <c r="C1770">
        <v>106</v>
      </c>
      <c r="D1770">
        <v>5010</v>
      </c>
      <c r="E1770" s="2">
        <v>220.66</v>
      </c>
      <c r="F1770">
        <v>26</v>
      </c>
      <c r="G1770">
        <v>6</v>
      </c>
      <c r="H1770">
        <v>5.7000000000000002E-2</v>
      </c>
      <c r="I1770" s="3">
        <v>1345</v>
      </c>
      <c r="J1770" s="1" t="s">
        <v>43</v>
      </c>
      <c r="K1770" t="s">
        <v>31</v>
      </c>
      <c r="L1770" t="s">
        <v>7</v>
      </c>
      <c r="M1770" t="s">
        <v>35</v>
      </c>
      <c r="N1770" s="1">
        <f t="shared" si="162"/>
        <v>45612</v>
      </c>
      <c r="O1770" s="4">
        <f t="shared" si="163"/>
        <v>2.1157684630738523E-2</v>
      </c>
      <c r="P1770">
        <f t="shared" si="164"/>
        <v>2.0816981132075472</v>
      </c>
      <c r="Q1770" s="2">
        <f t="shared" si="165"/>
        <v>8.4869230769230768</v>
      </c>
      <c r="R1770" s="2">
        <f t="shared" si="166"/>
        <v>36.776666666666664</v>
      </c>
      <c r="S1770" s="2">
        <f t="shared" si="167"/>
        <v>6.0953503126982689</v>
      </c>
    </row>
    <row r="1771" spans="1:19" hidden="1">
      <c r="A1771" t="s">
        <v>1824</v>
      </c>
      <c r="B1771" t="s">
        <v>30</v>
      </c>
      <c r="C1771">
        <v>106</v>
      </c>
      <c r="D1771">
        <v>4362</v>
      </c>
      <c r="E1771" s="2">
        <v>227.02</v>
      </c>
      <c r="F1771">
        <v>12</v>
      </c>
      <c r="G1771">
        <v>9</v>
      </c>
      <c r="H1771">
        <v>8.5000000000000006E-2</v>
      </c>
      <c r="I1771" s="3">
        <v>1548</v>
      </c>
      <c r="J1771" s="1" t="s">
        <v>115</v>
      </c>
      <c r="K1771" t="s">
        <v>31</v>
      </c>
      <c r="L1771" t="s">
        <v>8</v>
      </c>
      <c r="M1771" t="s">
        <v>41</v>
      </c>
      <c r="N1771" s="1">
        <f t="shared" si="162"/>
        <v>45623</v>
      </c>
      <c r="O1771" s="4">
        <f t="shared" si="163"/>
        <v>2.4300779458963778E-2</v>
      </c>
      <c r="P1771">
        <f t="shared" si="164"/>
        <v>2.1416981132075472</v>
      </c>
      <c r="Q1771" s="2">
        <f t="shared" si="165"/>
        <v>18.918333333333333</v>
      </c>
      <c r="R1771" s="2">
        <f t="shared" si="166"/>
        <v>25.224444444444444</v>
      </c>
      <c r="S1771" s="2">
        <f t="shared" si="167"/>
        <v>6.8187824861245705</v>
      </c>
    </row>
    <row r="1772" spans="1:19" hidden="1">
      <c r="A1772" t="s">
        <v>1825</v>
      </c>
      <c r="B1772" t="s">
        <v>30</v>
      </c>
      <c r="C1772">
        <v>122</v>
      </c>
      <c r="D1772">
        <v>3662</v>
      </c>
      <c r="E1772" s="2">
        <v>211.05</v>
      </c>
      <c r="F1772">
        <v>19</v>
      </c>
      <c r="G1772">
        <v>6</v>
      </c>
      <c r="H1772">
        <v>4.9000000000000002E-2</v>
      </c>
      <c r="I1772" s="3">
        <v>1082</v>
      </c>
      <c r="J1772" s="1">
        <v>45617</v>
      </c>
      <c r="K1772" t="s">
        <v>31</v>
      </c>
      <c r="L1772" t="s">
        <v>7</v>
      </c>
      <c r="M1772" t="s">
        <v>39</v>
      </c>
      <c r="N1772" s="1">
        <f t="shared" si="162"/>
        <v>45617</v>
      </c>
      <c r="O1772" s="4">
        <f t="shared" si="163"/>
        <v>3.3315128345166575E-2</v>
      </c>
      <c r="P1772">
        <f t="shared" si="164"/>
        <v>1.7299180327868853</v>
      </c>
      <c r="Q1772" s="2">
        <f t="shared" si="165"/>
        <v>11.107894736842105</v>
      </c>
      <c r="R1772" s="2">
        <f t="shared" si="166"/>
        <v>35.175000000000004</v>
      </c>
      <c r="S1772" s="2">
        <f t="shared" si="167"/>
        <v>5.1267472162994547</v>
      </c>
    </row>
    <row r="1773" spans="1:19" hidden="1">
      <c r="A1773" t="s">
        <v>1826</v>
      </c>
      <c r="B1773" t="s">
        <v>30</v>
      </c>
      <c r="C1773">
        <v>193</v>
      </c>
      <c r="D1773">
        <v>5464</v>
      </c>
      <c r="E1773" s="2">
        <v>224.15</v>
      </c>
      <c r="F1773">
        <v>12</v>
      </c>
      <c r="G1773">
        <v>3</v>
      </c>
      <c r="H1773">
        <v>5.6000000000000001E-2</v>
      </c>
      <c r="I1773" s="3">
        <v>1157</v>
      </c>
      <c r="J1773" s="1">
        <v>45362</v>
      </c>
      <c r="K1773" t="s">
        <v>31</v>
      </c>
      <c r="L1773" t="s">
        <v>9</v>
      </c>
      <c r="M1773" t="s">
        <v>41</v>
      </c>
      <c r="N1773" s="1">
        <f t="shared" si="162"/>
        <v>45362</v>
      </c>
      <c r="O1773" s="4">
        <f t="shared" si="163"/>
        <v>3.5322108345534405E-2</v>
      </c>
      <c r="P1773">
        <f t="shared" si="164"/>
        <v>1.1613989637305699</v>
      </c>
      <c r="Q1773" s="2">
        <f t="shared" si="165"/>
        <v>18.679166666666667</v>
      </c>
      <c r="R1773" s="2">
        <f t="shared" si="166"/>
        <v>74.716666666666669</v>
      </c>
      <c r="S1773" s="2">
        <f t="shared" si="167"/>
        <v>5.1617220611197858</v>
      </c>
    </row>
    <row r="1774" spans="1:19" hidden="1">
      <c r="A1774" t="s">
        <v>1827</v>
      </c>
      <c r="B1774" t="s">
        <v>30</v>
      </c>
      <c r="C1774">
        <v>146</v>
      </c>
      <c r="D1774">
        <v>3560</v>
      </c>
      <c r="E1774" s="2">
        <v>214.16</v>
      </c>
      <c r="F1774">
        <v>26</v>
      </c>
      <c r="G1774">
        <v>3</v>
      </c>
      <c r="H1774">
        <v>2.1000000000000001E-2</v>
      </c>
      <c r="I1774" s="3">
        <v>1033</v>
      </c>
      <c r="J1774" s="1">
        <v>45598</v>
      </c>
      <c r="K1774" t="s">
        <v>31</v>
      </c>
      <c r="L1774" t="s">
        <v>7</v>
      </c>
      <c r="M1774" t="s">
        <v>46</v>
      </c>
      <c r="N1774" s="1">
        <f t="shared" si="162"/>
        <v>45598</v>
      </c>
      <c r="O1774" s="4">
        <f t="shared" si="163"/>
        <v>4.101123595505618E-2</v>
      </c>
      <c r="P1774">
        <f t="shared" si="164"/>
        <v>1.4668493150684931</v>
      </c>
      <c r="Q1774" s="2">
        <f t="shared" si="165"/>
        <v>8.2369230769230768</v>
      </c>
      <c r="R1774" s="2">
        <f t="shared" si="166"/>
        <v>71.38666666666667</v>
      </c>
      <c r="S1774" s="2">
        <f t="shared" si="167"/>
        <v>4.8234964512514011</v>
      </c>
    </row>
    <row r="1775" spans="1:19">
      <c r="A1775" t="s">
        <v>1828</v>
      </c>
      <c r="B1775" t="s">
        <v>30</v>
      </c>
      <c r="C1775">
        <v>139</v>
      </c>
      <c r="D1775">
        <v>5014</v>
      </c>
      <c r="E1775" s="2">
        <v>198.84</v>
      </c>
      <c r="F1775">
        <v>10</v>
      </c>
      <c r="G1775">
        <v>8</v>
      </c>
      <c r="H1775">
        <v>4.5999999999999999E-2</v>
      </c>
      <c r="I1775" s="3">
        <v>1474</v>
      </c>
      <c r="J1775" s="1">
        <v>45610</v>
      </c>
      <c r="K1775" t="s">
        <v>31</v>
      </c>
      <c r="L1775" t="s">
        <v>9</v>
      </c>
      <c r="M1775" t="s">
        <v>32</v>
      </c>
      <c r="N1775" s="1">
        <f t="shared" si="162"/>
        <v>45610</v>
      </c>
      <c r="O1775" s="4">
        <f t="shared" si="163"/>
        <v>2.7722377343438371E-2</v>
      </c>
      <c r="P1775">
        <f t="shared" si="164"/>
        <v>1.4305035971223021</v>
      </c>
      <c r="Q1775" s="2">
        <f t="shared" si="165"/>
        <v>19.884</v>
      </c>
      <c r="R1775" s="2">
        <f t="shared" si="166"/>
        <v>24.855</v>
      </c>
      <c r="S1775" s="2">
        <f t="shared" si="167"/>
        <v>7.4129953731643532</v>
      </c>
    </row>
    <row r="1776" spans="1:19" hidden="1">
      <c r="A1776" t="s">
        <v>1829</v>
      </c>
      <c r="B1776" t="s">
        <v>30</v>
      </c>
      <c r="C1776">
        <v>111</v>
      </c>
      <c r="D1776">
        <v>3278</v>
      </c>
      <c r="E1776" s="2">
        <v>189.58</v>
      </c>
      <c r="F1776">
        <v>25</v>
      </c>
      <c r="G1776">
        <v>5</v>
      </c>
      <c r="H1776">
        <v>4.4999999999999998E-2</v>
      </c>
      <c r="I1776" s="3">
        <v>1882</v>
      </c>
      <c r="J1776" s="1">
        <v>45546</v>
      </c>
      <c r="K1776" t="s">
        <v>31</v>
      </c>
      <c r="L1776" t="s">
        <v>8</v>
      </c>
      <c r="M1776" t="s">
        <v>39</v>
      </c>
      <c r="N1776" s="1">
        <f t="shared" si="162"/>
        <v>45546</v>
      </c>
      <c r="O1776" s="4">
        <f t="shared" si="163"/>
        <v>3.3862111043319099E-2</v>
      </c>
      <c r="P1776">
        <f t="shared" si="164"/>
        <v>1.707927927927928</v>
      </c>
      <c r="Q1776" s="2">
        <f t="shared" si="165"/>
        <v>7.5832000000000006</v>
      </c>
      <c r="R1776" s="2">
        <f t="shared" si="166"/>
        <v>37.916000000000004</v>
      </c>
      <c r="S1776" s="2">
        <f t="shared" si="167"/>
        <v>9.9272075113408587</v>
      </c>
    </row>
    <row r="1777" spans="1:19">
      <c r="A1777" t="s">
        <v>1830</v>
      </c>
      <c r="B1777" t="s">
        <v>30</v>
      </c>
      <c r="C1777">
        <v>139</v>
      </c>
      <c r="D1777">
        <v>3149</v>
      </c>
      <c r="E1777" s="2">
        <v>213.67</v>
      </c>
      <c r="F1777">
        <v>14</v>
      </c>
      <c r="G1777">
        <v>8</v>
      </c>
      <c r="H1777">
        <v>4.5999999999999999E-2</v>
      </c>
      <c r="I1777" s="3">
        <v>1491</v>
      </c>
      <c r="J1777" s="1">
        <v>45623</v>
      </c>
      <c r="K1777" t="s">
        <v>31</v>
      </c>
      <c r="L1777" t="s">
        <v>9</v>
      </c>
      <c r="M1777" t="s">
        <v>41</v>
      </c>
      <c r="N1777" s="1">
        <f t="shared" si="162"/>
        <v>45623</v>
      </c>
      <c r="O1777" s="4">
        <f t="shared" si="163"/>
        <v>4.4140997141949828E-2</v>
      </c>
      <c r="P1777">
        <f t="shared" si="164"/>
        <v>1.5371942446043165</v>
      </c>
      <c r="Q1777" s="2">
        <f t="shared" si="165"/>
        <v>15.262142857142857</v>
      </c>
      <c r="R1777" s="2">
        <f t="shared" si="166"/>
        <v>26.708749999999998</v>
      </c>
      <c r="S1777" s="2">
        <f t="shared" si="167"/>
        <v>6.9780502644264528</v>
      </c>
    </row>
    <row r="1778" spans="1:19" hidden="1">
      <c r="A1778" t="s">
        <v>1831</v>
      </c>
      <c r="B1778" t="s">
        <v>30</v>
      </c>
      <c r="C1778">
        <v>195</v>
      </c>
      <c r="D1778">
        <v>4128</v>
      </c>
      <c r="E1778" s="2">
        <v>246.55</v>
      </c>
      <c r="F1778">
        <v>25</v>
      </c>
      <c r="G1778">
        <v>5</v>
      </c>
      <c r="H1778">
        <v>2.5999999999999999E-2</v>
      </c>
      <c r="I1778" s="3">
        <v>1105</v>
      </c>
      <c r="J1778" s="1">
        <v>45605</v>
      </c>
      <c r="K1778" t="s">
        <v>31</v>
      </c>
      <c r="L1778" t="s">
        <v>8</v>
      </c>
      <c r="M1778" t="s">
        <v>39</v>
      </c>
      <c r="N1778" s="1">
        <f t="shared" si="162"/>
        <v>45605</v>
      </c>
      <c r="O1778" s="4">
        <f t="shared" si="163"/>
        <v>4.7238372093023256E-2</v>
      </c>
      <c r="P1778">
        <f t="shared" si="164"/>
        <v>1.2643589743589745</v>
      </c>
      <c r="Q1778" s="2">
        <f t="shared" si="165"/>
        <v>9.8620000000000001</v>
      </c>
      <c r="R1778" s="2">
        <f t="shared" si="166"/>
        <v>49.31</v>
      </c>
      <c r="S1778" s="2">
        <f t="shared" si="167"/>
        <v>4.4818495234232403</v>
      </c>
    </row>
    <row r="1779" spans="1:19">
      <c r="A1779" t="s">
        <v>1832</v>
      </c>
      <c r="B1779" t="s">
        <v>30</v>
      </c>
      <c r="C1779">
        <v>149</v>
      </c>
      <c r="D1779">
        <v>5018</v>
      </c>
      <c r="E1779" s="2">
        <v>219.11</v>
      </c>
      <c r="F1779">
        <v>16</v>
      </c>
      <c r="G1779">
        <v>3</v>
      </c>
      <c r="H1779">
        <v>4.5999999999999999E-2</v>
      </c>
      <c r="I1779" s="3">
        <v>1795</v>
      </c>
      <c r="J1779" s="1">
        <v>45622</v>
      </c>
      <c r="K1779" t="s">
        <v>31</v>
      </c>
      <c r="L1779" t="s">
        <v>7</v>
      </c>
      <c r="M1779" t="s">
        <v>39</v>
      </c>
      <c r="N1779" s="1">
        <f t="shared" si="162"/>
        <v>45622</v>
      </c>
      <c r="O1779" s="4">
        <f t="shared" si="163"/>
        <v>2.96931048226385E-2</v>
      </c>
      <c r="P1779">
        <f t="shared" si="164"/>
        <v>1.4705369127516779</v>
      </c>
      <c r="Q1779" s="2">
        <f t="shared" si="165"/>
        <v>13.694375000000001</v>
      </c>
      <c r="R1779" s="2">
        <f t="shared" si="166"/>
        <v>73.036666666666676</v>
      </c>
      <c r="S1779" s="2">
        <f t="shared" si="167"/>
        <v>8.192232212130893</v>
      </c>
    </row>
    <row r="1780" spans="1:19" hidden="1">
      <c r="A1780" t="s">
        <v>1833</v>
      </c>
      <c r="B1780" t="s">
        <v>30</v>
      </c>
      <c r="C1780">
        <v>194</v>
      </c>
      <c r="D1780">
        <v>5215</v>
      </c>
      <c r="E1780" s="2">
        <v>225.13</v>
      </c>
      <c r="F1780">
        <v>12</v>
      </c>
      <c r="G1780">
        <v>6</v>
      </c>
      <c r="H1780">
        <v>3.1E-2</v>
      </c>
      <c r="I1780" s="3">
        <v>1107</v>
      </c>
      <c r="J1780" s="1">
        <v>45618</v>
      </c>
      <c r="K1780" t="s">
        <v>31</v>
      </c>
      <c r="L1780" t="s">
        <v>9</v>
      </c>
      <c r="M1780" t="s">
        <v>37</v>
      </c>
      <c r="N1780" s="1">
        <f t="shared" si="162"/>
        <v>45618</v>
      </c>
      <c r="O1780" s="4">
        <f t="shared" si="163"/>
        <v>3.7200383509108342E-2</v>
      </c>
      <c r="P1780">
        <f t="shared" si="164"/>
        <v>1.1604639175257732</v>
      </c>
      <c r="Q1780" s="2">
        <f t="shared" si="165"/>
        <v>18.760833333333334</v>
      </c>
      <c r="R1780" s="2">
        <f t="shared" si="166"/>
        <v>37.521666666666668</v>
      </c>
      <c r="S1780" s="2">
        <f t="shared" si="167"/>
        <v>4.9171589748145514</v>
      </c>
    </row>
    <row r="1781" spans="1:19" hidden="1">
      <c r="A1781" t="s">
        <v>1834</v>
      </c>
      <c r="B1781" t="s">
        <v>30</v>
      </c>
      <c r="C1781">
        <v>191</v>
      </c>
      <c r="D1781">
        <v>3948</v>
      </c>
      <c r="E1781" s="2">
        <v>208.43</v>
      </c>
      <c r="F1781">
        <v>23</v>
      </c>
      <c r="G1781">
        <v>7</v>
      </c>
      <c r="H1781">
        <v>3.6999999999999998E-2</v>
      </c>
      <c r="I1781" s="3">
        <v>1450</v>
      </c>
      <c r="J1781" s="1">
        <v>45620</v>
      </c>
      <c r="K1781" t="s">
        <v>31</v>
      </c>
      <c r="L1781" t="s">
        <v>9</v>
      </c>
      <c r="M1781" t="s">
        <v>35</v>
      </c>
      <c r="N1781" s="1">
        <f t="shared" si="162"/>
        <v>45620</v>
      </c>
      <c r="O1781" s="4">
        <f t="shared" si="163"/>
        <v>4.8378926038500504E-2</v>
      </c>
      <c r="P1781">
        <f t="shared" si="164"/>
        <v>1.0912565445026179</v>
      </c>
      <c r="Q1781" s="2">
        <f t="shared" si="165"/>
        <v>9.0621739130434786</v>
      </c>
      <c r="R1781" s="2">
        <f t="shared" si="166"/>
        <v>29.775714285714287</v>
      </c>
      <c r="S1781" s="2">
        <f t="shared" si="167"/>
        <v>6.956772057765197</v>
      </c>
    </row>
    <row r="1782" spans="1:19">
      <c r="A1782" t="s">
        <v>1835</v>
      </c>
      <c r="B1782" t="s">
        <v>30</v>
      </c>
      <c r="C1782">
        <v>196</v>
      </c>
      <c r="D1782">
        <v>4912</v>
      </c>
      <c r="E1782" s="2">
        <v>187.07</v>
      </c>
      <c r="F1782">
        <v>26</v>
      </c>
      <c r="G1782">
        <v>7</v>
      </c>
      <c r="H1782">
        <v>4.5999999999999999E-2</v>
      </c>
      <c r="I1782" s="3">
        <v>1720</v>
      </c>
      <c r="J1782" s="1">
        <v>45393</v>
      </c>
      <c r="K1782" t="s">
        <v>31</v>
      </c>
      <c r="L1782" t="s">
        <v>7</v>
      </c>
      <c r="M1782" t="s">
        <v>35</v>
      </c>
      <c r="N1782" s="1">
        <f t="shared" si="162"/>
        <v>45393</v>
      </c>
      <c r="O1782" s="4">
        <f t="shared" si="163"/>
        <v>3.9902280130293157E-2</v>
      </c>
      <c r="P1782">
        <f t="shared" si="164"/>
        <v>0.95443877551020406</v>
      </c>
      <c r="Q1782" s="2">
        <f t="shared" si="165"/>
        <v>7.1949999999999994</v>
      </c>
      <c r="R1782" s="2">
        <f t="shared" si="166"/>
        <v>26.724285714285713</v>
      </c>
      <c r="S1782" s="2">
        <f t="shared" si="167"/>
        <v>9.194419201368472</v>
      </c>
    </row>
    <row r="1783" spans="1:19" hidden="1">
      <c r="A1783" t="s">
        <v>1836</v>
      </c>
      <c r="B1783" t="s">
        <v>30</v>
      </c>
      <c r="C1783">
        <v>182</v>
      </c>
      <c r="D1783">
        <v>5136</v>
      </c>
      <c r="E1783" s="2">
        <v>249.36</v>
      </c>
      <c r="F1783">
        <v>23</v>
      </c>
      <c r="G1783">
        <v>7</v>
      </c>
      <c r="H1783">
        <v>3.7999999999999999E-2</v>
      </c>
      <c r="I1783" s="3">
        <v>1846</v>
      </c>
      <c r="J1783" s="1">
        <v>45599</v>
      </c>
      <c r="K1783" t="s">
        <v>31</v>
      </c>
      <c r="L1783" t="s">
        <v>7</v>
      </c>
      <c r="M1783" t="s">
        <v>32</v>
      </c>
      <c r="N1783" s="1">
        <f t="shared" si="162"/>
        <v>45599</v>
      </c>
      <c r="O1783" s="4">
        <f t="shared" si="163"/>
        <v>3.5436137071651087E-2</v>
      </c>
      <c r="P1783">
        <f t="shared" si="164"/>
        <v>1.3701098901098903</v>
      </c>
      <c r="Q1783" s="2">
        <f t="shared" si="165"/>
        <v>10.841739130434783</v>
      </c>
      <c r="R1783" s="2">
        <f t="shared" si="166"/>
        <v>35.622857142857143</v>
      </c>
      <c r="S1783" s="2">
        <f t="shared" si="167"/>
        <v>7.402951555983317</v>
      </c>
    </row>
    <row r="1784" spans="1:19">
      <c r="A1784" t="s">
        <v>1837</v>
      </c>
      <c r="B1784" t="s">
        <v>30</v>
      </c>
      <c r="C1784">
        <v>156</v>
      </c>
      <c r="D1784">
        <v>5674</v>
      </c>
      <c r="E1784" s="2">
        <v>193.18</v>
      </c>
      <c r="F1784">
        <v>29</v>
      </c>
      <c r="G1784">
        <v>10</v>
      </c>
      <c r="H1784">
        <v>4.5999999999999999E-2</v>
      </c>
      <c r="I1784" s="3">
        <v>1176</v>
      </c>
      <c r="J1784" s="1" t="s">
        <v>115</v>
      </c>
      <c r="K1784" t="s">
        <v>31</v>
      </c>
      <c r="L1784" t="s">
        <v>7</v>
      </c>
      <c r="M1784" t="s">
        <v>35</v>
      </c>
      <c r="N1784" s="1">
        <f t="shared" si="162"/>
        <v>45623</v>
      </c>
      <c r="O1784" s="4">
        <f t="shared" si="163"/>
        <v>2.7493831512160734E-2</v>
      </c>
      <c r="P1784">
        <f t="shared" si="164"/>
        <v>1.2383333333333333</v>
      </c>
      <c r="Q1784" s="2">
        <f t="shared" si="165"/>
        <v>6.6613793103448282</v>
      </c>
      <c r="R1784" s="2">
        <f t="shared" si="166"/>
        <v>19.318000000000001</v>
      </c>
      <c r="S1784" s="2">
        <f t="shared" si="167"/>
        <v>6.0875867066984162</v>
      </c>
    </row>
    <row r="1785" spans="1:19" hidden="1">
      <c r="A1785" t="s">
        <v>1838</v>
      </c>
      <c r="B1785" t="s">
        <v>30</v>
      </c>
      <c r="C1785">
        <v>187</v>
      </c>
      <c r="D1785">
        <v>4674</v>
      </c>
      <c r="E1785" s="2">
        <v>201.41</v>
      </c>
      <c r="F1785">
        <v>18</v>
      </c>
      <c r="G1785">
        <v>9</v>
      </c>
      <c r="H1785">
        <v>4.8000000000000001E-2</v>
      </c>
      <c r="I1785" s="3">
        <v>1719</v>
      </c>
      <c r="J1785" s="1">
        <v>45624</v>
      </c>
      <c r="K1785" t="s">
        <v>31</v>
      </c>
      <c r="L1785" t="s">
        <v>9</v>
      </c>
      <c r="M1785" t="s">
        <v>32</v>
      </c>
      <c r="N1785" s="1">
        <f t="shared" si="162"/>
        <v>45624</v>
      </c>
      <c r="O1785" s="4">
        <f t="shared" si="163"/>
        <v>4.0008557980316647E-2</v>
      </c>
      <c r="P1785">
        <f t="shared" si="164"/>
        <v>1.0770588235294118</v>
      </c>
      <c r="Q1785" s="2">
        <f t="shared" si="165"/>
        <v>11.189444444444444</v>
      </c>
      <c r="R1785" s="2">
        <f t="shared" si="166"/>
        <v>22.378888888888888</v>
      </c>
      <c r="S1785" s="2">
        <f t="shared" si="167"/>
        <v>8.5348294523608565</v>
      </c>
    </row>
    <row r="1786" spans="1:19" hidden="1">
      <c r="A1786" t="s">
        <v>1839</v>
      </c>
      <c r="B1786" t="s">
        <v>30</v>
      </c>
      <c r="C1786">
        <v>117</v>
      </c>
      <c r="D1786">
        <v>4408</v>
      </c>
      <c r="E1786" s="2">
        <v>184</v>
      </c>
      <c r="F1786">
        <v>30</v>
      </c>
      <c r="G1786">
        <v>3</v>
      </c>
      <c r="H1786">
        <v>2.5999999999999999E-2</v>
      </c>
      <c r="I1786" s="3">
        <v>1239</v>
      </c>
      <c r="J1786" s="1" t="s">
        <v>50</v>
      </c>
      <c r="K1786" t="s">
        <v>31</v>
      </c>
      <c r="L1786" t="s">
        <v>9</v>
      </c>
      <c r="M1786" t="s">
        <v>41</v>
      </c>
      <c r="N1786" s="1">
        <f t="shared" si="162"/>
        <v>45610</v>
      </c>
      <c r="O1786" s="4">
        <f t="shared" si="163"/>
        <v>2.6542649727767695E-2</v>
      </c>
      <c r="P1786">
        <f t="shared" si="164"/>
        <v>1.5726495726495726</v>
      </c>
      <c r="Q1786" s="2">
        <f t="shared" si="165"/>
        <v>6.1333333333333337</v>
      </c>
      <c r="R1786" s="2">
        <f t="shared" si="166"/>
        <v>61.333333333333336</v>
      </c>
      <c r="S1786" s="2">
        <f t="shared" si="167"/>
        <v>6.7336956521739131</v>
      </c>
    </row>
    <row r="1787" spans="1:19" hidden="1">
      <c r="A1787" t="s">
        <v>1840</v>
      </c>
      <c r="B1787" t="s">
        <v>30</v>
      </c>
      <c r="C1787">
        <v>135</v>
      </c>
      <c r="D1787">
        <v>5402</v>
      </c>
      <c r="E1787" s="2">
        <v>238.81</v>
      </c>
      <c r="F1787">
        <v>19</v>
      </c>
      <c r="G1787">
        <v>8</v>
      </c>
      <c r="H1787">
        <v>5.8999999999999997E-2</v>
      </c>
      <c r="I1787" s="3">
        <v>1648</v>
      </c>
      <c r="J1787" s="1" t="s">
        <v>357</v>
      </c>
      <c r="K1787" t="s">
        <v>31</v>
      </c>
      <c r="L1787" t="s">
        <v>8</v>
      </c>
      <c r="M1787" t="s">
        <v>32</v>
      </c>
      <c r="N1787" s="1">
        <f t="shared" si="162"/>
        <v>45624</v>
      </c>
      <c r="O1787" s="4">
        <f t="shared" si="163"/>
        <v>2.4990744168826361E-2</v>
      </c>
      <c r="P1787">
        <f t="shared" si="164"/>
        <v>1.7689629629629631</v>
      </c>
      <c r="Q1787" s="2">
        <f t="shared" si="165"/>
        <v>12.568947368421053</v>
      </c>
      <c r="R1787" s="2">
        <f t="shared" si="166"/>
        <v>29.85125</v>
      </c>
      <c r="S1787" s="2">
        <f t="shared" si="167"/>
        <v>6.9008835475901344</v>
      </c>
    </row>
    <row r="1788" spans="1:19" hidden="1">
      <c r="A1788" t="s">
        <v>1841</v>
      </c>
      <c r="B1788" t="s">
        <v>30</v>
      </c>
      <c r="C1788">
        <v>114</v>
      </c>
      <c r="D1788">
        <v>4518.5</v>
      </c>
      <c r="E1788" s="2">
        <v>223.69</v>
      </c>
      <c r="F1788">
        <v>20</v>
      </c>
      <c r="G1788">
        <v>3</v>
      </c>
      <c r="H1788">
        <v>2.5999999999999999E-2</v>
      </c>
      <c r="I1788" s="3">
        <v>1845</v>
      </c>
      <c r="J1788" s="1">
        <v>45515</v>
      </c>
      <c r="K1788" t="s">
        <v>31</v>
      </c>
      <c r="L1788" t="s">
        <v>7</v>
      </c>
      <c r="M1788" t="s">
        <v>39</v>
      </c>
      <c r="N1788" s="1">
        <f t="shared" si="162"/>
        <v>45515</v>
      </c>
      <c r="O1788" s="4">
        <f t="shared" si="163"/>
        <v>2.5229611596768838E-2</v>
      </c>
      <c r="P1788">
        <f t="shared" si="164"/>
        <v>1.9621929824561404</v>
      </c>
      <c r="Q1788" s="2">
        <f t="shared" si="165"/>
        <v>11.1845</v>
      </c>
      <c r="R1788" s="2">
        <f t="shared" si="166"/>
        <v>74.563333333333333</v>
      </c>
      <c r="S1788" s="2">
        <f t="shared" si="167"/>
        <v>8.2480218159059415</v>
      </c>
    </row>
    <row r="1789" spans="1:19">
      <c r="A1789" t="s">
        <v>1842</v>
      </c>
      <c r="B1789" t="s">
        <v>30</v>
      </c>
      <c r="C1789">
        <v>184</v>
      </c>
      <c r="D1789">
        <v>5876</v>
      </c>
      <c r="E1789" s="2">
        <v>231.91</v>
      </c>
      <c r="F1789">
        <v>23</v>
      </c>
      <c r="G1789">
        <v>7</v>
      </c>
      <c r="H1789">
        <v>4.5999999999999999E-2</v>
      </c>
      <c r="I1789" s="3">
        <v>1018</v>
      </c>
      <c r="J1789" s="1">
        <v>45607</v>
      </c>
      <c r="K1789" t="s">
        <v>31</v>
      </c>
      <c r="L1789" t="s">
        <v>7</v>
      </c>
      <c r="M1789" t="s">
        <v>35</v>
      </c>
      <c r="N1789" s="1">
        <f t="shared" si="162"/>
        <v>45607</v>
      </c>
      <c r="O1789" s="4">
        <f t="shared" si="163"/>
        <v>3.1313818924438394E-2</v>
      </c>
      <c r="P1789">
        <f t="shared" si="164"/>
        <v>1.2603804347826086</v>
      </c>
      <c r="Q1789" s="2">
        <f t="shared" si="165"/>
        <v>10.083043478260869</v>
      </c>
      <c r="R1789" s="2">
        <f t="shared" si="166"/>
        <v>33.130000000000003</v>
      </c>
      <c r="S1789" s="2">
        <f t="shared" si="167"/>
        <v>4.3896339097063519</v>
      </c>
    </row>
    <row r="1790" spans="1:19">
      <c r="A1790" t="s">
        <v>1843</v>
      </c>
      <c r="B1790" t="s">
        <v>30</v>
      </c>
      <c r="C1790">
        <v>115</v>
      </c>
      <c r="D1790">
        <v>5996</v>
      </c>
      <c r="E1790" s="2">
        <v>191.99</v>
      </c>
      <c r="F1790">
        <v>24</v>
      </c>
      <c r="G1790">
        <v>7</v>
      </c>
      <c r="H1790">
        <v>4.5999999999999999E-2</v>
      </c>
      <c r="I1790" s="3">
        <v>1822</v>
      </c>
      <c r="J1790" s="1">
        <v>45616</v>
      </c>
      <c r="K1790" t="s">
        <v>31</v>
      </c>
      <c r="L1790" t="s">
        <v>8</v>
      </c>
      <c r="M1790" t="s">
        <v>35</v>
      </c>
      <c r="N1790" s="1">
        <f t="shared" si="162"/>
        <v>45616</v>
      </c>
      <c r="O1790" s="4">
        <f t="shared" si="163"/>
        <v>1.9179452968645764E-2</v>
      </c>
      <c r="P1790">
        <f t="shared" si="164"/>
        <v>1.6694782608695653</v>
      </c>
      <c r="Q1790" s="2">
        <f t="shared" si="165"/>
        <v>7.9995833333333337</v>
      </c>
      <c r="R1790" s="2">
        <f t="shared" si="166"/>
        <v>27.427142857142858</v>
      </c>
      <c r="S1790" s="2">
        <f t="shared" si="167"/>
        <v>9.490077608208761</v>
      </c>
    </row>
    <row r="1791" spans="1:19" hidden="1">
      <c r="A1791" t="s">
        <v>1844</v>
      </c>
      <c r="B1791" t="s">
        <v>30</v>
      </c>
      <c r="C1791">
        <v>149</v>
      </c>
      <c r="D1791">
        <v>3249</v>
      </c>
      <c r="E1791" s="2">
        <v>202.43</v>
      </c>
      <c r="F1791">
        <v>11</v>
      </c>
      <c r="G1791">
        <v>6</v>
      </c>
      <c r="H1791">
        <v>0.04</v>
      </c>
      <c r="I1791" s="3">
        <v>1027</v>
      </c>
      <c r="J1791" s="1">
        <v>45393</v>
      </c>
      <c r="K1791" t="s">
        <v>31</v>
      </c>
      <c r="L1791" t="s">
        <v>7</v>
      </c>
      <c r="M1791" t="s">
        <v>46</v>
      </c>
      <c r="N1791" s="1">
        <f t="shared" si="162"/>
        <v>45393</v>
      </c>
      <c r="O1791" s="4">
        <f t="shared" si="163"/>
        <v>4.5860264696829793E-2</v>
      </c>
      <c r="P1791">
        <f t="shared" si="164"/>
        <v>1.3585906040268456</v>
      </c>
      <c r="Q1791" s="2">
        <f t="shared" si="165"/>
        <v>18.402727272727272</v>
      </c>
      <c r="R1791" s="2">
        <f t="shared" si="166"/>
        <v>33.738333333333337</v>
      </c>
      <c r="S1791" s="2">
        <f t="shared" si="167"/>
        <v>5.0733586918934943</v>
      </c>
    </row>
    <row r="1792" spans="1:19" hidden="1">
      <c r="A1792" t="s">
        <v>1845</v>
      </c>
      <c r="B1792" t="s">
        <v>30</v>
      </c>
      <c r="C1792">
        <v>136</v>
      </c>
      <c r="D1792">
        <v>4351</v>
      </c>
      <c r="E1792" s="2">
        <v>233.43</v>
      </c>
      <c r="F1792">
        <v>18</v>
      </c>
      <c r="G1792">
        <v>6</v>
      </c>
      <c r="H1792">
        <v>4.3999999999999997E-2</v>
      </c>
      <c r="I1792" s="3">
        <v>1299</v>
      </c>
      <c r="J1792" s="1">
        <v>45637</v>
      </c>
      <c r="K1792" t="s">
        <v>31</v>
      </c>
      <c r="L1792" t="s">
        <v>9</v>
      </c>
      <c r="M1792" t="s">
        <v>41</v>
      </c>
      <c r="N1792" s="1">
        <f t="shared" si="162"/>
        <v>45637</v>
      </c>
      <c r="O1792" s="4">
        <f t="shared" si="163"/>
        <v>3.1257182256952426E-2</v>
      </c>
      <c r="P1792">
        <f t="shared" si="164"/>
        <v>1.7163970588235296</v>
      </c>
      <c r="Q1792" s="2">
        <f t="shared" si="165"/>
        <v>12.968333333333334</v>
      </c>
      <c r="R1792" s="2">
        <f t="shared" si="166"/>
        <v>38.905000000000001</v>
      </c>
      <c r="S1792" s="2">
        <f t="shared" si="167"/>
        <v>5.5648374244955656</v>
      </c>
    </row>
    <row r="1793" spans="1:19">
      <c r="A1793" t="s">
        <v>1846</v>
      </c>
      <c r="B1793" t="s">
        <v>30</v>
      </c>
      <c r="C1793">
        <v>119</v>
      </c>
      <c r="D1793">
        <v>5805</v>
      </c>
      <c r="E1793" s="2">
        <v>245.13</v>
      </c>
      <c r="F1793">
        <v>25</v>
      </c>
      <c r="G1793">
        <v>6</v>
      </c>
      <c r="H1793">
        <v>4.5999999999999999E-2</v>
      </c>
      <c r="I1793" s="3">
        <v>1122</v>
      </c>
      <c r="J1793" s="1">
        <v>45609</v>
      </c>
      <c r="K1793" t="s">
        <v>31</v>
      </c>
      <c r="L1793" t="s">
        <v>9</v>
      </c>
      <c r="M1793" t="s">
        <v>41</v>
      </c>
      <c r="N1793" s="1">
        <f t="shared" si="162"/>
        <v>45609</v>
      </c>
      <c r="O1793" s="4">
        <f t="shared" si="163"/>
        <v>2.0499569336778638E-2</v>
      </c>
      <c r="P1793">
        <f t="shared" si="164"/>
        <v>2.0599159663865545</v>
      </c>
      <c r="Q1793" s="2">
        <f t="shared" si="165"/>
        <v>9.8051999999999992</v>
      </c>
      <c r="R1793" s="2">
        <f t="shared" si="166"/>
        <v>40.854999999999997</v>
      </c>
      <c r="S1793" s="2">
        <f t="shared" si="167"/>
        <v>4.5771631379268145</v>
      </c>
    </row>
    <row r="1794" spans="1:19" hidden="1">
      <c r="A1794" t="s">
        <v>1847</v>
      </c>
      <c r="B1794" t="s">
        <v>30</v>
      </c>
      <c r="C1794">
        <v>186</v>
      </c>
      <c r="D1794">
        <v>5685</v>
      </c>
      <c r="E1794" s="2">
        <v>197.15</v>
      </c>
      <c r="F1794">
        <v>18</v>
      </c>
      <c r="G1794">
        <v>10</v>
      </c>
      <c r="H1794">
        <v>4.5999999999999999E-2</v>
      </c>
      <c r="I1794" s="3">
        <v>1273</v>
      </c>
      <c r="J1794" s="1">
        <v>45620</v>
      </c>
      <c r="K1794" t="s">
        <v>31</v>
      </c>
      <c r="L1794" t="s">
        <v>7</v>
      </c>
      <c r="M1794" t="s">
        <v>35</v>
      </c>
      <c r="N1794" s="1">
        <f t="shared" ref="N1794:N1857" si="168">IF(A1794="","",IF(ISNUMBER(J1794),J1794,IF(MID(J1794,5,1)="-",DATE(LEFT(J1794,4),MID(J1794,6,2),RIGHT(J1794,2)),IF(MID(J1794,5,1)="/",DATE(LEFT(J1794,4),MID(J1794,6,2),RIGHT(J1794,2)),DATE(RIGHT(J1794,4),MID(J1794,4,2),LEFT(J1794,2))))))</f>
        <v>45620</v>
      </c>
      <c r="O1794" s="4">
        <f t="shared" ref="O1794:O1857" si="169">IFERROR(C1794/D1794,0)</f>
        <v>3.2717678100263853E-2</v>
      </c>
      <c r="P1794">
        <f t="shared" ref="P1794:P1857" si="170">IFERROR(E1794/C1794,0)</f>
        <v>1.0599462365591399</v>
      </c>
      <c r="Q1794" s="2">
        <f t="shared" ref="Q1794:Q1857" si="171">IFERROR(E1794/F1794,0)</f>
        <v>10.952777777777778</v>
      </c>
      <c r="R1794" s="2">
        <f t="shared" ref="R1794:R1857" si="172">IFERROR(E1794/G1794,0)</f>
        <v>19.715</v>
      </c>
      <c r="S1794" s="2">
        <f t="shared" ref="S1794:S1857" si="173">IFERROR(I1794/E1794,0)</f>
        <v>6.4570124270859752</v>
      </c>
    </row>
    <row r="1795" spans="1:19" hidden="1">
      <c r="A1795" t="s">
        <v>1848</v>
      </c>
      <c r="B1795" t="s">
        <v>30</v>
      </c>
      <c r="C1795">
        <v>91</v>
      </c>
      <c r="D1795">
        <v>3199</v>
      </c>
      <c r="E1795" s="2">
        <v>196.04</v>
      </c>
      <c r="F1795">
        <v>27</v>
      </c>
      <c r="G1795">
        <v>4</v>
      </c>
      <c r="H1795">
        <v>4.3999999999999997E-2</v>
      </c>
      <c r="I1795" s="3">
        <v>1737</v>
      </c>
      <c r="J1795" s="1">
        <v>45621</v>
      </c>
      <c r="K1795" t="s">
        <v>31</v>
      </c>
      <c r="L1795" t="s">
        <v>9</v>
      </c>
      <c r="M1795" t="s">
        <v>39</v>
      </c>
      <c r="N1795" s="1">
        <f t="shared" si="168"/>
        <v>45621</v>
      </c>
      <c r="O1795" s="4">
        <f t="shared" si="169"/>
        <v>2.8446389496717725E-2</v>
      </c>
      <c r="P1795">
        <f t="shared" si="170"/>
        <v>2.1542857142857144</v>
      </c>
      <c r="Q1795" s="2">
        <f t="shared" si="171"/>
        <v>7.2607407407407401</v>
      </c>
      <c r="R1795" s="2">
        <f t="shared" si="172"/>
        <v>49.01</v>
      </c>
      <c r="S1795" s="2">
        <f t="shared" si="173"/>
        <v>8.860436645582535</v>
      </c>
    </row>
    <row r="1796" spans="1:19" hidden="1">
      <c r="A1796" t="s">
        <v>1849</v>
      </c>
      <c r="B1796" t="s">
        <v>30</v>
      </c>
      <c r="C1796">
        <v>171</v>
      </c>
      <c r="D1796">
        <v>3490</v>
      </c>
      <c r="E1796" s="2">
        <v>180.82</v>
      </c>
      <c r="F1796">
        <v>11</v>
      </c>
      <c r="G1796">
        <v>8</v>
      </c>
      <c r="H1796">
        <v>4.7E-2</v>
      </c>
      <c r="I1796" s="3">
        <v>1497</v>
      </c>
      <c r="J1796" s="1">
        <v>45610</v>
      </c>
      <c r="K1796" t="s">
        <v>31</v>
      </c>
      <c r="L1796" t="s">
        <v>8</v>
      </c>
      <c r="M1796" t="s">
        <v>35</v>
      </c>
      <c r="N1796" s="1">
        <f t="shared" si="168"/>
        <v>45610</v>
      </c>
      <c r="O1796" s="4">
        <f t="shared" si="169"/>
        <v>4.8997134670487108E-2</v>
      </c>
      <c r="P1796">
        <f t="shared" si="170"/>
        <v>1.0574269005847954</v>
      </c>
      <c r="Q1796" s="2">
        <f t="shared" si="171"/>
        <v>16.438181818181818</v>
      </c>
      <c r="R1796" s="2">
        <f t="shared" si="172"/>
        <v>22.602499999999999</v>
      </c>
      <c r="S1796" s="2">
        <f t="shared" si="173"/>
        <v>8.2789514434244005</v>
      </c>
    </row>
    <row r="1797" spans="1:19" hidden="1">
      <c r="A1797" t="s">
        <v>1850</v>
      </c>
      <c r="B1797" t="s">
        <v>30</v>
      </c>
      <c r="C1797">
        <v>149</v>
      </c>
      <c r="D1797">
        <v>3584</v>
      </c>
      <c r="E1797" s="2">
        <v>199.9</v>
      </c>
      <c r="F1797">
        <v>21</v>
      </c>
      <c r="G1797">
        <v>8</v>
      </c>
      <c r="H1797">
        <v>5.3999999999999999E-2</v>
      </c>
      <c r="I1797" s="3">
        <v>1505</v>
      </c>
      <c r="J1797" s="1">
        <v>45614</v>
      </c>
      <c r="K1797" t="s">
        <v>31</v>
      </c>
      <c r="L1797" t="s">
        <v>8</v>
      </c>
      <c r="M1797" t="s">
        <v>32</v>
      </c>
      <c r="N1797" s="1">
        <f t="shared" si="168"/>
        <v>45614</v>
      </c>
      <c r="O1797" s="4">
        <f t="shared" si="169"/>
        <v>4.1573660714285712E-2</v>
      </c>
      <c r="P1797">
        <f t="shared" si="170"/>
        <v>1.3416107382550335</v>
      </c>
      <c r="Q1797" s="2">
        <f t="shared" si="171"/>
        <v>9.519047619047619</v>
      </c>
      <c r="R1797" s="2">
        <f t="shared" si="172"/>
        <v>24.987500000000001</v>
      </c>
      <c r="S1797" s="2">
        <f t="shared" si="173"/>
        <v>7.5287643821910955</v>
      </c>
    </row>
    <row r="1798" spans="1:19" hidden="1">
      <c r="A1798" t="s">
        <v>1851</v>
      </c>
      <c r="B1798" t="s">
        <v>30</v>
      </c>
      <c r="C1798">
        <v>121</v>
      </c>
      <c r="D1798">
        <v>3757</v>
      </c>
      <c r="E1798" s="2">
        <v>241.14</v>
      </c>
      <c r="F1798">
        <v>16</v>
      </c>
      <c r="G1798">
        <v>3</v>
      </c>
      <c r="H1798">
        <v>0.04</v>
      </c>
      <c r="I1798" s="3">
        <v>1226</v>
      </c>
      <c r="J1798" s="1">
        <v>45607</v>
      </c>
      <c r="K1798" t="s">
        <v>31</v>
      </c>
      <c r="L1798" t="s">
        <v>7</v>
      </c>
      <c r="M1798" t="s">
        <v>37</v>
      </c>
      <c r="N1798" s="1">
        <f t="shared" si="168"/>
        <v>45607</v>
      </c>
      <c r="O1798" s="4">
        <f t="shared" si="169"/>
        <v>3.2206547777482032E-2</v>
      </c>
      <c r="P1798">
        <f t="shared" si="170"/>
        <v>1.992892561983471</v>
      </c>
      <c r="Q1798" s="2">
        <f t="shared" si="171"/>
        <v>15.071249999999999</v>
      </c>
      <c r="R1798" s="2">
        <f t="shared" si="172"/>
        <v>80.38</v>
      </c>
      <c r="S1798" s="2">
        <f t="shared" si="173"/>
        <v>5.0841834618893591</v>
      </c>
    </row>
    <row r="1799" spans="1:19" hidden="1">
      <c r="A1799" t="s">
        <v>1852</v>
      </c>
      <c r="B1799" t="s">
        <v>30</v>
      </c>
      <c r="C1799">
        <v>189</v>
      </c>
      <c r="D1799">
        <v>3029</v>
      </c>
      <c r="E1799" s="2">
        <v>215.57</v>
      </c>
      <c r="F1799">
        <v>21</v>
      </c>
      <c r="G1799">
        <v>3</v>
      </c>
      <c r="H1799">
        <v>1.6E-2</v>
      </c>
      <c r="I1799" s="3">
        <v>1016</v>
      </c>
      <c r="J1799" s="1">
        <v>45601</v>
      </c>
      <c r="K1799" t="s">
        <v>31</v>
      </c>
      <c r="L1799" t="s">
        <v>7</v>
      </c>
      <c r="M1799" t="s">
        <v>39</v>
      </c>
      <c r="N1799" s="1">
        <f t="shared" si="168"/>
        <v>45601</v>
      </c>
      <c r="O1799" s="4">
        <f t="shared" si="169"/>
        <v>6.2396830637173988E-2</v>
      </c>
      <c r="P1799">
        <f t="shared" si="170"/>
        <v>1.1405820105820106</v>
      </c>
      <c r="Q1799" s="2">
        <f t="shared" si="171"/>
        <v>10.265238095238095</v>
      </c>
      <c r="R1799" s="2">
        <f t="shared" si="172"/>
        <v>71.856666666666669</v>
      </c>
      <c r="S1799" s="2">
        <f t="shared" si="173"/>
        <v>4.7130862364893078</v>
      </c>
    </row>
    <row r="1800" spans="1:19" hidden="1">
      <c r="A1800" t="s">
        <v>1853</v>
      </c>
      <c r="B1800" t="s">
        <v>30</v>
      </c>
      <c r="C1800">
        <v>183</v>
      </c>
      <c r="D1800">
        <v>3876</v>
      </c>
      <c r="E1800" s="2">
        <v>237.72</v>
      </c>
      <c r="F1800">
        <v>13</v>
      </c>
      <c r="G1800">
        <v>10</v>
      </c>
      <c r="H1800">
        <v>5.5E-2</v>
      </c>
      <c r="I1800" s="3">
        <v>1682</v>
      </c>
      <c r="J1800" s="1">
        <v>45607</v>
      </c>
      <c r="K1800" t="s">
        <v>31</v>
      </c>
      <c r="L1800" t="s">
        <v>8</v>
      </c>
      <c r="M1800" t="s">
        <v>37</v>
      </c>
      <c r="N1800" s="1">
        <f t="shared" si="168"/>
        <v>45607</v>
      </c>
      <c r="O1800" s="4">
        <f t="shared" si="169"/>
        <v>4.7213622291021669E-2</v>
      </c>
      <c r="P1800">
        <f t="shared" si="170"/>
        <v>1.2990163934426229</v>
      </c>
      <c r="Q1800" s="2">
        <f t="shared" si="171"/>
        <v>18.286153846153844</v>
      </c>
      <c r="R1800" s="2">
        <f t="shared" si="172"/>
        <v>23.771999999999998</v>
      </c>
      <c r="S1800" s="2">
        <f t="shared" si="173"/>
        <v>7.0755510684839305</v>
      </c>
    </row>
    <row r="1801" spans="1:19" hidden="1">
      <c r="A1801" t="s">
        <v>1854</v>
      </c>
      <c r="B1801" t="s">
        <v>30</v>
      </c>
      <c r="C1801">
        <v>133</v>
      </c>
      <c r="D1801">
        <v>4622</v>
      </c>
      <c r="E1801" s="2">
        <v>243.63</v>
      </c>
      <c r="F1801">
        <v>26</v>
      </c>
      <c r="G1801">
        <v>5</v>
      </c>
      <c r="H1801">
        <v>3.7999999999999999E-2</v>
      </c>
      <c r="I1801" s="3">
        <v>1742</v>
      </c>
      <c r="J1801" s="1">
        <v>45618</v>
      </c>
      <c r="K1801" t="s">
        <v>31</v>
      </c>
      <c r="L1801" t="s">
        <v>8</v>
      </c>
      <c r="M1801" t="s">
        <v>46</v>
      </c>
      <c r="N1801" s="1">
        <f t="shared" si="168"/>
        <v>45618</v>
      </c>
      <c r="O1801" s="4">
        <f t="shared" si="169"/>
        <v>2.8775421895283426E-2</v>
      </c>
      <c r="P1801">
        <f t="shared" si="170"/>
        <v>1.8318045112781955</v>
      </c>
      <c r="Q1801" s="2">
        <f t="shared" si="171"/>
        <v>9.3703846153846158</v>
      </c>
      <c r="R1801" s="2">
        <f t="shared" si="172"/>
        <v>48.725999999999999</v>
      </c>
      <c r="S1801" s="2">
        <f t="shared" si="173"/>
        <v>7.150186758609367</v>
      </c>
    </row>
    <row r="1802" spans="1:19" hidden="1">
      <c r="A1802" t="s">
        <v>1855</v>
      </c>
      <c r="B1802" t="s">
        <v>30</v>
      </c>
      <c r="C1802">
        <v>127</v>
      </c>
      <c r="D1802">
        <v>3249</v>
      </c>
      <c r="E1802" s="2">
        <v>244.01</v>
      </c>
      <c r="F1802">
        <v>25</v>
      </c>
      <c r="G1802">
        <v>5</v>
      </c>
      <c r="H1802">
        <v>3.9E-2</v>
      </c>
      <c r="I1802" s="3">
        <v>1248</v>
      </c>
      <c r="J1802" s="1">
        <v>45601</v>
      </c>
      <c r="K1802" t="s">
        <v>31</v>
      </c>
      <c r="L1802" t="s">
        <v>8</v>
      </c>
      <c r="M1802" t="s">
        <v>46</v>
      </c>
      <c r="N1802" s="1">
        <f t="shared" si="168"/>
        <v>45601</v>
      </c>
      <c r="O1802" s="4">
        <f t="shared" si="169"/>
        <v>3.9088950446291168E-2</v>
      </c>
      <c r="P1802">
        <f t="shared" si="170"/>
        <v>1.9213385826771652</v>
      </c>
      <c r="Q1802" s="2">
        <f t="shared" si="171"/>
        <v>9.7603999999999989</v>
      </c>
      <c r="R1802" s="2">
        <f t="shared" si="172"/>
        <v>48.802</v>
      </c>
      <c r="S1802" s="2">
        <f t="shared" si="173"/>
        <v>5.1145444858817264</v>
      </c>
    </row>
    <row r="1803" spans="1:19" hidden="1">
      <c r="A1803" t="s">
        <v>1856</v>
      </c>
      <c r="B1803" t="s">
        <v>30</v>
      </c>
      <c r="C1803">
        <v>195</v>
      </c>
      <c r="D1803">
        <v>3372</v>
      </c>
      <c r="E1803" s="2">
        <v>225.57</v>
      </c>
      <c r="F1803">
        <v>10</v>
      </c>
      <c r="G1803">
        <v>9</v>
      </c>
      <c r="H1803">
        <v>4.5999999999999999E-2</v>
      </c>
      <c r="I1803" s="3">
        <v>1686</v>
      </c>
      <c r="J1803" s="1">
        <v>45613</v>
      </c>
      <c r="K1803" t="s">
        <v>31</v>
      </c>
      <c r="L1803" t="s">
        <v>8</v>
      </c>
      <c r="M1803" t="s">
        <v>39</v>
      </c>
      <c r="N1803" s="1">
        <f t="shared" si="168"/>
        <v>45613</v>
      </c>
      <c r="O1803" s="4">
        <f t="shared" si="169"/>
        <v>5.7829181494661923E-2</v>
      </c>
      <c r="P1803">
        <f t="shared" si="170"/>
        <v>1.1567692307692308</v>
      </c>
      <c r="Q1803" s="2">
        <f t="shared" si="171"/>
        <v>22.556999999999999</v>
      </c>
      <c r="R1803" s="2">
        <f t="shared" si="172"/>
        <v>25.063333333333333</v>
      </c>
      <c r="S1803" s="2">
        <f t="shared" si="173"/>
        <v>7.4743981912488362</v>
      </c>
    </row>
    <row r="1804" spans="1:19" hidden="1">
      <c r="A1804" t="s">
        <v>1857</v>
      </c>
      <c r="B1804" t="s">
        <v>30</v>
      </c>
      <c r="C1804">
        <v>138</v>
      </c>
      <c r="D1804">
        <v>5452</v>
      </c>
      <c r="E1804" s="2">
        <v>210.45</v>
      </c>
      <c r="F1804">
        <v>16</v>
      </c>
      <c r="G1804">
        <v>8</v>
      </c>
      <c r="H1804">
        <v>5.1999999999999998E-2</v>
      </c>
      <c r="I1804" s="3">
        <v>1964</v>
      </c>
      <c r="J1804" s="1">
        <v>45333</v>
      </c>
      <c r="K1804" t="s">
        <v>31</v>
      </c>
      <c r="L1804" t="s">
        <v>7</v>
      </c>
      <c r="M1804" t="s">
        <v>39</v>
      </c>
      <c r="N1804" s="1">
        <f t="shared" si="168"/>
        <v>45333</v>
      </c>
      <c r="O1804" s="4">
        <f t="shared" si="169"/>
        <v>2.5311812179016874E-2</v>
      </c>
      <c r="P1804">
        <f t="shared" si="170"/>
        <v>1.5249999999999999</v>
      </c>
      <c r="Q1804" s="2">
        <f t="shared" si="171"/>
        <v>13.153124999999999</v>
      </c>
      <c r="R1804" s="2">
        <f t="shared" si="172"/>
        <v>26.306249999999999</v>
      </c>
      <c r="S1804" s="2">
        <f t="shared" si="173"/>
        <v>9.3323829888334533</v>
      </c>
    </row>
    <row r="1805" spans="1:19" hidden="1">
      <c r="A1805" t="s">
        <v>1858</v>
      </c>
      <c r="B1805" t="s">
        <v>30</v>
      </c>
      <c r="C1805">
        <v>134</v>
      </c>
      <c r="D1805">
        <v>3011</v>
      </c>
      <c r="E1805" s="2">
        <v>230.59</v>
      </c>
      <c r="F1805">
        <v>21</v>
      </c>
      <c r="G1805">
        <v>7</v>
      </c>
      <c r="H1805">
        <v>5.1999999999999998E-2</v>
      </c>
      <c r="I1805" s="3">
        <v>1224</v>
      </c>
      <c r="J1805" s="1" t="s">
        <v>43</v>
      </c>
      <c r="K1805" t="s">
        <v>31</v>
      </c>
      <c r="L1805" t="s">
        <v>8</v>
      </c>
      <c r="M1805" t="s">
        <v>41</v>
      </c>
      <c r="N1805" s="1">
        <f t="shared" si="168"/>
        <v>45612</v>
      </c>
      <c r="O1805" s="4">
        <f t="shared" si="169"/>
        <v>4.4503487213550318E-2</v>
      </c>
      <c r="P1805">
        <f t="shared" si="170"/>
        <v>1.720820895522388</v>
      </c>
      <c r="Q1805" s="2">
        <f t="shared" si="171"/>
        <v>10.980476190476191</v>
      </c>
      <c r="R1805" s="2">
        <f t="shared" si="172"/>
        <v>32.941428571428574</v>
      </c>
      <c r="S1805" s="2">
        <f t="shared" si="173"/>
        <v>5.3081226419185565</v>
      </c>
    </row>
    <row r="1806" spans="1:19" hidden="1">
      <c r="A1806" t="s">
        <v>1859</v>
      </c>
      <c r="B1806" t="s">
        <v>30</v>
      </c>
      <c r="C1806">
        <v>110</v>
      </c>
      <c r="D1806">
        <v>3371</v>
      </c>
      <c r="E1806" s="2">
        <v>211.89</v>
      </c>
      <c r="F1806">
        <v>12</v>
      </c>
      <c r="G1806">
        <v>6</v>
      </c>
      <c r="H1806">
        <v>5.5E-2</v>
      </c>
      <c r="I1806" s="3">
        <v>1743</v>
      </c>
      <c r="J1806" s="1">
        <v>45605</v>
      </c>
      <c r="K1806" t="s">
        <v>31</v>
      </c>
      <c r="L1806" t="s">
        <v>9</v>
      </c>
      <c r="M1806" t="s">
        <v>35</v>
      </c>
      <c r="N1806" s="1">
        <f t="shared" si="168"/>
        <v>45605</v>
      </c>
      <c r="O1806" s="4">
        <f t="shared" si="169"/>
        <v>3.2631266686443193E-2</v>
      </c>
      <c r="P1806">
        <f t="shared" si="170"/>
        <v>1.9262727272727271</v>
      </c>
      <c r="Q1806" s="2">
        <f t="shared" si="171"/>
        <v>17.657499999999999</v>
      </c>
      <c r="R1806" s="2">
        <f t="shared" si="172"/>
        <v>35.314999999999998</v>
      </c>
      <c r="S1806" s="2">
        <f t="shared" si="173"/>
        <v>8.2259663032705657</v>
      </c>
    </row>
    <row r="1807" spans="1:19" hidden="1">
      <c r="A1807" t="s">
        <v>1860</v>
      </c>
      <c r="B1807" t="s">
        <v>30</v>
      </c>
      <c r="C1807">
        <v>186</v>
      </c>
      <c r="D1807">
        <v>5126</v>
      </c>
      <c r="E1807" s="2">
        <v>182.38</v>
      </c>
      <c r="F1807">
        <v>25</v>
      </c>
      <c r="G1807">
        <v>7</v>
      </c>
      <c r="H1807">
        <v>3.7999999999999999E-2</v>
      </c>
      <c r="I1807" s="3">
        <v>1856</v>
      </c>
      <c r="J1807" s="1">
        <v>45614</v>
      </c>
      <c r="K1807" t="s">
        <v>31</v>
      </c>
      <c r="L1807" t="s">
        <v>9</v>
      </c>
      <c r="M1807" t="s">
        <v>37</v>
      </c>
      <c r="N1807" s="1">
        <f t="shared" si="168"/>
        <v>45614</v>
      </c>
      <c r="O1807" s="4">
        <f t="shared" si="169"/>
        <v>3.6285602809207958E-2</v>
      </c>
      <c r="P1807">
        <f t="shared" si="170"/>
        <v>0.98053763440860209</v>
      </c>
      <c r="Q1807" s="2">
        <f t="shared" si="171"/>
        <v>7.2951999999999995</v>
      </c>
      <c r="R1807" s="2">
        <f t="shared" si="172"/>
        <v>26.054285714285715</v>
      </c>
      <c r="S1807" s="2">
        <f t="shared" si="173"/>
        <v>10.176554446759514</v>
      </c>
    </row>
    <row r="1808" spans="1:19" hidden="1">
      <c r="A1808" t="s">
        <v>1861</v>
      </c>
      <c r="B1808" t="s">
        <v>30</v>
      </c>
      <c r="C1808">
        <v>191</v>
      </c>
      <c r="D1808">
        <v>5257</v>
      </c>
      <c r="E1808" s="2">
        <v>219.4</v>
      </c>
      <c r="F1808">
        <v>29</v>
      </c>
      <c r="G1808">
        <v>6</v>
      </c>
      <c r="H1808">
        <v>3.1E-2</v>
      </c>
      <c r="I1808" s="3">
        <v>1730</v>
      </c>
      <c r="J1808" s="1">
        <v>45600</v>
      </c>
      <c r="K1808" t="s">
        <v>31</v>
      </c>
      <c r="L1808" t="s">
        <v>8</v>
      </c>
      <c r="M1808" t="s">
        <v>37</v>
      </c>
      <c r="N1808" s="1">
        <f t="shared" si="168"/>
        <v>45600</v>
      </c>
      <c r="O1808" s="4">
        <f t="shared" si="169"/>
        <v>3.6332509035571621E-2</v>
      </c>
      <c r="P1808">
        <f t="shared" si="170"/>
        <v>1.1486910994764399</v>
      </c>
      <c r="Q1808" s="2">
        <f t="shared" si="171"/>
        <v>7.5655172413793101</v>
      </c>
      <c r="R1808" s="2">
        <f t="shared" si="172"/>
        <v>36.56666666666667</v>
      </c>
      <c r="S1808" s="2">
        <f t="shared" si="173"/>
        <v>7.8851412944393795</v>
      </c>
    </row>
    <row r="1809" spans="1:19" hidden="1">
      <c r="A1809" t="s">
        <v>1862</v>
      </c>
      <c r="B1809" t="s">
        <v>30</v>
      </c>
      <c r="C1809">
        <v>169</v>
      </c>
      <c r="D1809">
        <v>3475</v>
      </c>
      <c r="E1809" s="2">
        <v>247.16</v>
      </c>
      <c r="F1809">
        <v>12</v>
      </c>
      <c r="G1809">
        <v>3</v>
      </c>
      <c r="H1809">
        <v>1.7999999999999999E-2</v>
      </c>
      <c r="I1809" s="3">
        <v>1985</v>
      </c>
      <c r="J1809" s="1">
        <v>45608</v>
      </c>
      <c r="K1809" t="s">
        <v>31</v>
      </c>
      <c r="L1809" t="s">
        <v>8</v>
      </c>
      <c r="M1809" t="s">
        <v>39</v>
      </c>
      <c r="N1809" s="1">
        <f t="shared" si="168"/>
        <v>45608</v>
      </c>
      <c r="O1809" s="4">
        <f t="shared" si="169"/>
        <v>4.8633093525179853E-2</v>
      </c>
      <c r="P1809">
        <f t="shared" si="170"/>
        <v>1.4624852071005916</v>
      </c>
      <c r="Q1809" s="2">
        <f t="shared" si="171"/>
        <v>20.596666666666668</v>
      </c>
      <c r="R1809" s="2">
        <f t="shared" si="172"/>
        <v>82.38666666666667</v>
      </c>
      <c r="S1809" s="2">
        <f t="shared" si="173"/>
        <v>8.0312348276420131</v>
      </c>
    </row>
    <row r="1810" spans="1:19" hidden="1">
      <c r="A1810" t="s">
        <v>1863</v>
      </c>
      <c r="B1810" t="s">
        <v>30</v>
      </c>
      <c r="C1810">
        <v>198</v>
      </c>
      <c r="D1810">
        <v>5447</v>
      </c>
      <c r="E1810" s="2">
        <v>225.49</v>
      </c>
      <c r="F1810">
        <v>16</v>
      </c>
      <c r="G1810">
        <v>5</v>
      </c>
      <c r="H1810">
        <v>2.5000000000000001E-2</v>
      </c>
      <c r="I1810" s="3">
        <v>1249</v>
      </c>
      <c r="J1810" s="1" t="s">
        <v>86</v>
      </c>
      <c r="K1810" t="s">
        <v>31</v>
      </c>
      <c r="L1810" t="s">
        <v>8</v>
      </c>
      <c r="M1810" t="s">
        <v>46</v>
      </c>
      <c r="N1810" s="1">
        <f t="shared" si="168"/>
        <v>45625</v>
      </c>
      <c r="O1810" s="4">
        <f t="shared" si="169"/>
        <v>3.6350284560308428E-2</v>
      </c>
      <c r="P1810">
        <f t="shared" si="170"/>
        <v>1.138838383838384</v>
      </c>
      <c r="Q1810" s="2">
        <f t="shared" si="171"/>
        <v>14.093125000000001</v>
      </c>
      <c r="R1810" s="2">
        <f t="shared" si="172"/>
        <v>45.097999999999999</v>
      </c>
      <c r="S1810" s="2">
        <f t="shared" si="173"/>
        <v>5.539048294824604</v>
      </c>
    </row>
    <row r="1811" spans="1:19">
      <c r="A1811" t="s">
        <v>1864</v>
      </c>
      <c r="B1811" t="s">
        <v>30</v>
      </c>
      <c r="C1811">
        <v>184</v>
      </c>
      <c r="D1811">
        <v>3272</v>
      </c>
      <c r="E1811" s="2">
        <v>241.8</v>
      </c>
      <c r="F1811">
        <v>27</v>
      </c>
      <c r="G1811">
        <v>9</v>
      </c>
      <c r="H1811">
        <v>4.5999999999999999E-2</v>
      </c>
      <c r="I1811" s="3">
        <v>1969</v>
      </c>
      <c r="J1811" s="1">
        <v>45604</v>
      </c>
      <c r="K1811" t="s">
        <v>31</v>
      </c>
      <c r="L1811" t="s">
        <v>8</v>
      </c>
      <c r="M1811" t="s">
        <v>32</v>
      </c>
      <c r="N1811" s="1">
        <f t="shared" si="168"/>
        <v>45604</v>
      </c>
      <c r="O1811" s="4">
        <f t="shared" si="169"/>
        <v>5.623471882640587E-2</v>
      </c>
      <c r="P1811">
        <f t="shared" si="170"/>
        <v>1.3141304347826088</v>
      </c>
      <c r="Q1811" s="2">
        <f t="shared" si="171"/>
        <v>8.9555555555555557</v>
      </c>
      <c r="R1811" s="2">
        <f t="shared" si="172"/>
        <v>26.866666666666667</v>
      </c>
      <c r="S1811" s="2">
        <f t="shared" si="173"/>
        <v>8.1430934656741112</v>
      </c>
    </row>
    <row r="1812" spans="1:19" hidden="1">
      <c r="A1812" t="s">
        <v>1865</v>
      </c>
      <c r="B1812" t="s">
        <v>30</v>
      </c>
      <c r="C1812">
        <v>87</v>
      </c>
      <c r="D1812">
        <v>5221</v>
      </c>
      <c r="E1812" s="2">
        <v>217.08</v>
      </c>
      <c r="F1812">
        <v>13</v>
      </c>
      <c r="G1812">
        <v>9</v>
      </c>
      <c r="H1812">
        <v>0.10299999999999999</v>
      </c>
      <c r="I1812" s="3">
        <v>1723</v>
      </c>
      <c r="J1812" s="1">
        <v>45605</v>
      </c>
      <c r="K1812" t="s">
        <v>31</v>
      </c>
      <c r="L1812" t="s">
        <v>7</v>
      </c>
      <c r="M1812" t="s">
        <v>37</v>
      </c>
      <c r="N1812" s="1">
        <f t="shared" si="168"/>
        <v>45605</v>
      </c>
      <c r="O1812" s="4">
        <f t="shared" si="169"/>
        <v>1.6663474430185787E-2</v>
      </c>
      <c r="P1812">
        <f t="shared" si="170"/>
        <v>2.4951724137931035</v>
      </c>
      <c r="Q1812" s="2">
        <f t="shared" si="171"/>
        <v>16.69846153846154</v>
      </c>
      <c r="R1812" s="2">
        <f t="shared" si="172"/>
        <v>24.12</v>
      </c>
      <c r="S1812" s="2">
        <f t="shared" si="173"/>
        <v>7.9371660217431357</v>
      </c>
    </row>
    <row r="1813" spans="1:19" hidden="1">
      <c r="A1813" t="s">
        <v>1866</v>
      </c>
      <c r="B1813" t="s">
        <v>30</v>
      </c>
      <c r="C1813">
        <v>180</v>
      </c>
      <c r="D1813">
        <v>3099</v>
      </c>
      <c r="E1813" s="2">
        <v>241.32</v>
      </c>
      <c r="F1813">
        <v>23</v>
      </c>
      <c r="G1813">
        <v>5</v>
      </c>
      <c r="H1813">
        <v>2.8000000000000001E-2</v>
      </c>
      <c r="I1813" s="3">
        <v>1177</v>
      </c>
      <c r="J1813" s="1">
        <v>45624</v>
      </c>
      <c r="K1813" t="s">
        <v>31</v>
      </c>
      <c r="L1813" t="s">
        <v>8</v>
      </c>
      <c r="M1813" t="s">
        <v>46</v>
      </c>
      <c r="N1813" s="1">
        <f t="shared" si="168"/>
        <v>45624</v>
      </c>
      <c r="O1813" s="4">
        <f t="shared" si="169"/>
        <v>5.8083252662149081E-2</v>
      </c>
      <c r="P1813">
        <f t="shared" si="170"/>
        <v>1.3406666666666667</v>
      </c>
      <c r="Q1813" s="2">
        <f t="shared" si="171"/>
        <v>10.492173913043478</v>
      </c>
      <c r="R1813" s="2">
        <f t="shared" si="172"/>
        <v>48.263999999999996</v>
      </c>
      <c r="S1813" s="2">
        <f t="shared" si="173"/>
        <v>4.8773412895740096</v>
      </c>
    </row>
    <row r="1814" spans="1:19" hidden="1">
      <c r="A1814" t="s">
        <v>1867</v>
      </c>
      <c r="B1814" t="s">
        <v>30</v>
      </c>
      <c r="C1814">
        <v>99</v>
      </c>
      <c r="D1814">
        <v>4229</v>
      </c>
      <c r="E1814" s="2">
        <v>183.7</v>
      </c>
      <c r="F1814">
        <v>24</v>
      </c>
      <c r="G1814">
        <v>8</v>
      </c>
      <c r="H1814">
        <v>8.1000000000000003E-2</v>
      </c>
      <c r="I1814" s="3">
        <v>1792</v>
      </c>
      <c r="J1814" s="1">
        <v>45615</v>
      </c>
      <c r="K1814" t="s">
        <v>31</v>
      </c>
      <c r="L1814" t="s">
        <v>8</v>
      </c>
      <c r="M1814" t="s">
        <v>32</v>
      </c>
      <c r="N1814" s="1">
        <f t="shared" si="168"/>
        <v>45615</v>
      </c>
      <c r="O1814" s="4">
        <f t="shared" si="169"/>
        <v>2.3409789548356586E-2</v>
      </c>
      <c r="P1814">
        <f t="shared" si="170"/>
        <v>1.8555555555555554</v>
      </c>
      <c r="Q1814" s="2">
        <f t="shared" si="171"/>
        <v>7.6541666666666659</v>
      </c>
      <c r="R1814" s="2">
        <f t="shared" si="172"/>
        <v>22.962499999999999</v>
      </c>
      <c r="S1814" s="2">
        <f t="shared" si="173"/>
        <v>9.7550353837778996</v>
      </c>
    </row>
    <row r="1815" spans="1:19">
      <c r="A1815" t="s">
        <v>1868</v>
      </c>
      <c r="B1815" t="s">
        <v>30</v>
      </c>
      <c r="C1815">
        <v>148</v>
      </c>
      <c r="D1815">
        <v>4038</v>
      </c>
      <c r="E1815" s="2">
        <v>248.37</v>
      </c>
      <c r="F1815">
        <v>28</v>
      </c>
      <c r="G1815">
        <v>3</v>
      </c>
      <c r="H1815">
        <v>4.5999999999999999E-2</v>
      </c>
      <c r="I1815" s="3">
        <v>1549</v>
      </c>
      <c r="J1815" s="1">
        <v>45515</v>
      </c>
      <c r="K1815" t="s">
        <v>31</v>
      </c>
      <c r="L1815" t="s">
        <v>8</v>
      </c>
      <c r="M1815" t="s">
        <v>41</v>
      </c>
      <c r="N1815" s="1">
        <f t="shared" si="168"/>
        <v>45515</v>
      </c>
      <c r="O1815" s="4">
        <f t="shared" si="169"/>
        <v>3.6651807825656267E-2</v>
      </c>
      <c r="P1815">
        <f t="shared" si="170"/>
        <v>1.6781756756756756</v>
      </c>
      <c r="Q1815" s="2">
        <f t="shared" si="171"/>
        <v>8.8703571428571433</v>
      </c>
      <c r="R1815" s="2">
        <f t="shared" si="172"/>
        <v>82.79</v>
      </c>
      <c r="S1815" s="2">
        <f t="shared" si="173"/>
        <v>6.2366630430406245</v>
      </c>
    </row>
    <row r="1816" spans="1:19" hidden="1">
      <c r="A1816" t="s">
        <v>1869</v>
      </c>
      <c r="B1816" t="s">
        <v>30</v>
      </c>
      <c r="C1816">
        <v>146</v>
      </c>
      <c r="D1816">
        <v>3960</v>
      </c>
      <c r="E1816" s="2">
        <v>213.7</v>
      </c>
      <c r="F1816">
        <v>29</v>
      </c>
      <c r="G1816">
        <v>6</v>
      </c>
      <c r="H1816">
        <v>4.1000000000000002E-2</v>
      </c>
      <c r="I1816" s="3">
        <v>1178</v>
      </c>
      <c r="J1816" s="1">
        <v>45619</v>
      </c>
      <c r="K1816" t="s">
        <v>31</v>
      </c>
      <c r="L1816" t="s">
        <v>8</v>
      </c>
      <c r="M1816" t="s">
        <v>35</v>
      </c>
      <c r="N1816" s="1">
        <f t="shared" si="168"/>
        <v>45619</v>
      </c>
      <c r="O1816" s="4">
        <f t="shared" si="169"/>
        <v>3.686868686868687E-2</v>
      </c>
      <c r="P1816">
        <f t="shared" si="170"/>
        <v>1.4636986301369863</v>
      </c>
      <c r="Q1816" s="2">
        <f t="shared" si="171"/>
        <v>7.3689655172413788</v>
      </c>
      <c r="R1816" s="2">
        <f t="shared" si="172"/>
        <v>35.616666666666667</v>
      </c>
      <c r="S1816" s="2">
        <f t="shared" si="173"/>
        <v>5.5124005615348626</v>
      </c>
    </row>
    <row r="1817" spans="1:19" hidden="1">
      <c r="A1817" t="s">
        <v>1870</v>
      </c>
      <c r="B1817" t="s">
        <v>30</v>
      </c>
      <c r="C1817">
        <v>149</v>
      </c>
      <c r="D1817">
        <v>3865</v>
      </c>
      <c r="E1817" s="2">
        <v>198.54</v>
      </c>
      <c r="F1817">
        <v>14</v>
      </c>
      <c r="G1817">
        <v>4</v>
      </c>
      <c r="H1817">
        <v>3.4000000000000002E-2</v>
      </c>
      <c r="I1817" s="3">
        <v>1505</v>
      </c>
      <c r="J1817" s="1">
        <v>45597</v>
      </c>
      <c r="K1817" t="s">
        <v>31</v>
      </c>
      <c r="L1817" t="s">
        <v>9</v>
      </c>
      <c r="M1817" t="s">
        <v>39</v>
      </c>
      <c r="N1817" s="1">
        <f t="shared" si="168"/>
        <v>45597</v>
      </c>
      <c r="O1817" s="4">
        <f t="shared" si="169"/>
        <v>3.855109961190168E-2</v>
      </c>
      <c r="P1817">
        <f t="shared" si="170"/>
        <v>1.3324832214765101</v>
      </c>
      <c r="Q1817" s="2">
        <f t="shared" si="171"/>
        <v>14.181428571428571</v>
      </c>
      <c r="R1817" s="2">
        <f t="shared" si="172"/>
        <v>49.634999999999998</v>
      </c>
      <c r="S1817" s="2">
        <f t="shared" si="173"/>
        <v>7.5803364561297473</v>
      </c>
    </row>
    <row r="1818" spans="1:19" hidden="1">
      <c r="A1818" t="s">
        <v>1871</v>
      </c>
      <c r="B1818" t="s">
        <v>30</v>
      </c>
      <c r="C1818">
        <v>88</v>
      </c>
      <c r="D1818">
        <v>3433</v>
      </c>
      <c r="E1818" s="2">
        <v>241.8</v>
      </c>
      <c r="F1818">
        <v>29</v>
      </c>
      <c r="G1818">
        <v>6</v>
      </c>
      <c r="H1818">
        <v>6.8000000000000005E-2</v>
      </c>
      <c r="I1818" s="3">
        <v>1654</v>
      </c>
      <c r="J1818" s="1">
        <v>45616</v>
      </c>
      <c r="K1818" t="s">
        <v>31</v>
      </c>
      <c r="L1818" t="s">
        <v>8</v>
      </c>
      <c r="M1818" t="s">
        <v>32</v>
      </c>
      <c r="N1818" s="1">
        <f t="shared" si="168"/>
        <v>45616</v>
      </c>
      <c r="O1818" s="4">
        <f t="shared" si="169"/>
        <v>2.5633556655986017E-2</v>
      </c>
      <c r="P1818">
        <f t="shared" si="170"/>
        <v>2.747727272727273</v>
      </c>
      <c r="Q1818" s="2">
        <f t="shared" si="171"/>
        <v>8.3379310344827591</v>
      </c>
      <c r="R1818" s="2">
        <f t="shared" si="172"/>
        <v>40.300000000000004</v>
      </c>
      <c r="S1818" s="2">
        <f t="shared" si="173"/>
        <v>6.8403639371381306</v>
      </c>
    </row>
    <row r="1819" spans="1:19" hidden="1">
      <c r="A1819" t="s">
        <v>1872</v>
      </c>
      <c r="B1819" t="s">
        <v>30</v>
      </c>
      <c r="C1819">
        <v>154</v>
      </c>
      <c r="D1819">
        <v>3009</v>
      </c>
      <c r="E1819" s="2">
        <v>185.32</v>
      </c>
      <c r="F1819">
        <v>16</v>
      </c>
      <c r="G1819">
        <v>9</v>
      </c>
      <c r="H1819">
        <v>5.0999999999999997E-2</v>
      </c>
      <c r="I1819" s="3">
        <v>1433</v>
      </c>
      <c r="J1819" s="1" t="s">
        <v>50</v>
      </c>
      <c r="K1819" t="s">
        <v>31</v>
      </c>
      <c r="L1819" t="s">
        <v>8</v>
      </c>
      <c r="M1819" t="s">
        <v>37</v>
      </c>
      <c r="N1819" s="1">
        <f t="shared" si="168"/>
        <v>45610</v>
      </c>
      <c r="O1819" s="4">
        <f t="shared" si="169"/>
        <v>5.1179793951478897E-2</v>
      </c>
      <c r="P1819">
        <f t="shared" si="170"/>
        <v>1.2033766233766234</v>
      </c>
      <c r="Q1819" s="2">
        <f t="shared" si="171"/>
        <v>11.5825</v>
      </c>
      <c r="R1819" s="2">
        <f t="shared" si="172"/>
        <v>20.591111111111111</v>
      </c>
      <c r="S1819" s="2">
        <f t="shared" si="173"/>
        <v>7.7325706885387442</v>
      </c>
    </row>
    <row r="1820" spans="1:19" hidden="1">
      <c r="A1820" t="s">
        <v>1873</v>
      </c>
      <c r="B1820" t="s">
        <v>30</v>
      </c>
      <c r="C1820">
        <v>137</v>
      </c>
      <c r="D1820">
        <v>4817</v>
      </c>
      <c r="E1820" s="2">
        <v>215.57</v>
      </c>
      <c r="F1820">
        <v>17</v>
      </c>
      <c r="G1820">
        <v>6</v>
      </c>
      <c r="H1820">
        <v>5.6000000000000001E-2</v>
      </c>
      <c r="I1820" s="3">
        <v>1720</v>
      </c>
      <c r="J1820" s="1">
        <v>45515</v>
      </c>
      <c r="K1820" t="s">
        <v>31</v>
      </c>
      <c r="L1820" t="s">
        <v>8</v>
      </c>
      <c r="M1820" t="s">
        <v>35</v>
      </c>
      <c r="N1820" s="1">
        <f t="shared" si="168"/>
        <v>45515</v>
      </c>
      <c r="O1820" s="4">
        <f t="shared" si="169"/>
        <v>2.844093834336724E-2</v>
      </c>
      <c r="P1820">
        <f t="shared" si="170"/>
        <v>1.5735036496350365</v>
      </c>
      <c r="Q1820" s="2">
        <f t="shared" si="171"/>
        <v>12.680588235294117</v>
      </c>
      <c r="R1820" s="2">
        <f t="shared" si="172"/>
        <v>35.928333333333335</v>
      </c>
      <c r="S1820" s="2">
        <f t="shared" si="173"/>
        <v>7.9788467783086707</v>
      </c>
    </row>
    <row r="1821" spans="1:19" hidden="1">
      <c r="A1821" t="s">
        <v>1874</v>
      </c>
      <c r="B1821" t="s">
        <v>30</v>
      </c>
      <c r="C1821">
        <v>125</v>
      </c>
      <c r="D1821">
        <v>5217</v>
      </c>
      <c r="E1821" s="2">
        <v>183.16</v>
      </c>
      <c r="F1821">
        <v>16</v>
      </c>
      <c r="G1821">
        <v>10</v>
      </c>
      <c r="H1821">
        <v>4.1000000000000002E-2</v>
      </c>
      <c r="I1821" s="3">
        <v>1245</v>
      </c>
      <c r="J1821" s="1">
        <v>45599</v>
      </c>
      <c r="K1821" t="s">
        <v>31</v>
      </c>
      <c r="L1821" t="s">
        <v>9</v>
      </c>
      <c r="M1821" t="s">
        <v>32</v>
      </c>
      <c r="N1821" s="1">
        <f t="shared" si="168"/>
        <v>45599</v>
      </c>
      <c r="O1821" s="4">
        <f t="shared" si="169"/>
        <v>2.3960130343109065E-2</v>
      </c>
      <c r="P1821">
        <f t="shared" si="170"/>
        <v>1.4652799999999999</v>
      </c>
      <c r="Q1821" s="2">
        <f t="shared" si="171"/>
        <v>11.4475</v>
      </c>
      <c r="R1821" s="2">
        <f t="shared" si="172"/>
        <v>18.315999999999999</v>
      </c>
      <c r="S1821" s="2">
        <f t="shared" si="173"/>
        <v>6.7973356628084733</v>
      </c>
    </row>
    <row r="1822" spans="1:19" hidden="1">
      <c r="A1822" t="s">
        <v>1875</v>
      </c>
      <c r="B1822" t="s">
        <v>30</v>
      </c>
      <c r="C1822">
        <v>155</v>
      </c>
      <c r="D1822">
        <v>4870</v>
      </c>
      <c r="E1822" s="2">
        <v>191.54</v>
      </c>
      <c r="F1822">
        <v>23</v>
      </c>
      <c r="G1822">
        <v>8</v>
      </c>
      <c r="H1822">
        <v>5.1999999999999998E-2</v>
      </c>
      <c r="I1822" s="3">
        <v>1451</v>
      </c>
      <c r="J1822" s="1">
        <v>45610</v>
      </c>
      <c r="K1822" t="s">
        <v>31</v>
      </c>
      <c r="L1822" t="s">
        <v>9</v>
      </c>
      <c r="M1822" t="s">
        <v>35</v>
      </c>
      <c r="N1822" s="1">
        <f t="shared" si="168"/>
        <v>45610</v>
      </c>
      <c r="O1822" s="4">
        <f t="shared" si="169"/>
        <v>3.1827515400410678E-2</v>
      </c>
      <c r="P1822">
        <f t="shared" si="170"/>
        <v>1.235741935483871</v>
      </c>
      <c r="Q1822" s="2">
        <f t="shared" si="171"/>
        <v>8.3278260869565219</v>
      </c>
      <c r="R1822" s="2">
        <f t="shared" si="172"/>
        <v>23.942499999999999</v>
      </c>
      <c r="S1822" s="2">
        <f t="shared" si="173"/>
        <v>7.5754411611151724</v>
      </c>
    </row>
    <row r="1823" spans="1:19" hidden="1">
      <c r="A1823" t="s">
        <v>1876</v>
      </c>
      <c r="B1823" t="s">
        <v>30</v>
      </c>
      <c r="C1823">
        <v>111</v>
      </c>
      <c r="D1823">
        <v>5133</v>
      </c>
      <c r="E1823" s="2">
        <v>240.23</v>
      </c>
      <c r="F1823">
        <v>22</v>
      </c>
      <c r="G1823">
        <v>8</v>
      </c>
      <c r="H1823">
        <v>7.1999999999999995E-2</v>
      </c>
      <c r="I1823" s="3">
        <v>1555</v>
      </c>
      <c r="J1823" s="1" t="s">
        <v>73</v>
      </c>
      <c r="K1823" t="s">
        <v>31</v>
      </c>
      <c r="L1823" t="s">
        <v>7</v>
      </c>
      <c r="M1823" t="s">
        <v>41</v>
      </c>
      <c r="N1823" s="1">
        <f t="shared" si="168"/>
        <v>45618</v>
      </c>
      <c r="O1823" s="4">
        <f t="shared" si="169"/>
        <v>2.1624780829924022E-2</v>
      </c>
      <c r="P1823">
        <f t="shared" si="170"/>
        <v>2.1642342342342342</v>
      </c>
      <c r="Q1823" s="2">
        <f t="shared" si="171"/>
        <v>10.919545454545455</v>
      </c>
      <c r="R1823" s="2">
        <f t="shared" si="172"/>
        <v>30.028749999999999</v>
      </c>
      <c r="S1823" s="2">
        <f t="shared" si="173"/>
        <v>6.4729634100653541</v>
      </c>
    </row>
    <row r="1824" spans="1:19" hidden="1">
      <c r="A1824" t="s">
        <v>1877</v>
      </c>
      <c r="B1824" t="s">
        <v>30</v>
      </c>
      <c r="C1824">
        <v>141</v>
      </c>
      <c r="D1824">
        <v>3181</v>
      </c>
      <c r="E1824" s="2">
        <v>234.44</v>
      </c>
      <c r="F1824">
        <v>16</v>
      </c>
      <c r="G1824">
        <v>9</v>
      </c>
      <c r="H1824">
        <v>6.4000000000000001E-2</v>
      </c>
      <c r="I1824" s="3">
        <v>1628</v>
      </c>
      <c r="J1824" s="1">
        <v>45617</v>
      </c>
      <c r="K1824" t="s">
        <v>31</v>
      </c>
      <c r="L1824" t="s">
        <v>7</v>
      </c>
      <c r="M1824" t="s">
        <v>39</v>
      </c>
      <c r="N1824" s="1">
        <f t="shared" si="168"/>
        <v>45617</v>
      </c>
      <c r="O1824" s="4">
        <f t="shared" si="169"/>
        <v>4.4325683747249295E-2</v>
      </c>
      <c r="P1824">
        <f t="shared" si="170"/>
        <v>1.6626950354609928</v>
      </c>
      <c r="Q1824" s="2">
        <f t="shared" si="171"/>
        <v>14.6525</v>
      </c>
      <c r="R1824" s="2">
        <f t="shared" si="172"/>
        <v>26.048888888888889</v>
      </c>
      <c r="S1824" s="2">
        <f t="shared" si="173"/>
        <v>6.9442074731274523</v>
      </c>
    </row>
    <row r="1825" spans="1:19" hidden="1">
      <c r="A1825" t="s">
        <v>1878</v>
      </c>
      <c r="B1825" t="s">
        <v>30</v>
      </c>
      <c r="C1825">
        <v>153</v>
      </c>
      <c r="D1825">
        <v>4153</v>
      </c>
      <c r="E1825" s="2">
        <v>234.25</v>
      </c>
      <c r="F1825">
        <v>18</v>
      </c>
      <c r="G1825">
        <v>5</v>
      </c>
      <c r="H1825">
        <v>4.8000000000000001E-2</v>
      </c>
      <c r="I1825" s="3">
        <v>1368</v>
      </c>
      <c r="J1825" s="1">
        <v>45620</v>
      </c>
      <c r="K1825" t="s">
        <v>31</v>
      </c>
      <c r="L1825" t="s">
        <v>9</v>
      </c>
      <c r="M1825" t="s">
        <v>35</v>
      </c>
      <c r="N1825" s="1">
        <f t="shared" si="168"/>
        <v>45620</v>
      </c>
      <c r="O1825" s="4">
        <f t="shared" si="169"/>
        <v>3.6840837948470984E-2</v>
      </c>
      <c r="P1825">
        <f t="shared" si="170"/>
        <v>1.5310457516339868</v>
      </c>
      <c r="Q1825" s="2">
        <f t="shared" si="171"/>
        <v>13.013888888888889</v>
      </c>
      <c r="R1825" s="2">
        <f t="shared" si="172"/>
        <v>46.85</v>
      </c>
      <c r="S1825" s="2">
        <f t="shared" si="173"/>
        <v>5.8399146211312702</v>
      </c>
    </row>
    <row r="1826" spans="1:19" hidden="1">
      <c r="A1826" t="s">
        <v>1879</v>
      </c>
      <c r="B1826" t="s">
        <v>30</v>
      </c>
      <c r="C1826">
        <v>176</v>
      </c>
      <c r="D1826">
        <v>4518.5</v>
      </c>
      <c r="E1826" s="2">
        <v>191.11</v>
      </c>
      <c r="F1826">
        <v>11</v>
      </c>
      <c r="G1826">
        <v>4</v>
      </c>
      <c r="H1826">
        <v>5.8999999999999997E-2</v>
      </c>
      <c r="I1826" s="3">
        <v>1107</v>
      </c>
      <c r="J1826" s="1">
        <v>45624</v>
      </c>
      <c r="K1826" t="s">
        <v>31</v>
      </c>
      <c r="L1826" t="s">
        <v>8</v>
      </c>
      <c r="M1826" t="s">
        <v>41</v>
      </c>
      <c r="N1826" s="1">
        <f t="shared" si="168"/>
        <v>45624</v>
      </c>
      <c r="O1826" s="4">
        <f t="shared" si="169"/>
        <v>3.8950979307292244E-2</v>
      </c>
      <c r="P1826">
        <f t="shared" si="170"/>
        <v>1.0858522727272728</v>
      </c>
      <c r="Q1826" s="2">
        <f t="shared" si="171"/>
        <v>17.373636363636365</v>
      </c>
      <c r="R1826" s="2">
        <f t="shared" si="172"/>
        <v>47.777500000000003</v>
      </c>
      <c r="S1826" s="2">
        <f t="shared" si="173"/>
        <v>5.7924755376484747</v>
      </c>
    </row>
    <row r="1827" spans="1:19" hidden="1">
      <c r="A1827" t="s">
        <v>1880</v>
      </c>
      <c r="B1827" t="s">
        <v>30</v>
      </c>
      <c r="C1827">
        <v>147</v>
      </c>
      <c r="D1827">
        <v>4250</v>
      </c>
      <c r="E1827" s="2">
        <v>223.33</v>
      </c>
      <c r="F1827">
        <v>17</v>
      </c>
      <c r="G1827">
        <v>3</v>
      </c>
      <c r="H1827">
        <v>0.02</v>
      </c>
      <c r="I1827" s="3">
        <v>1069</v>
      </c>
      <c r="J1827" s="1">
        <v>45623</v>
      </c>
      <c r="K1827" t="s">
        <v>31</v>
      </c>
      <c r="L1827" t="s">
        <v>7</v>
      </c>
      <c r="M1827" t="s">
        <v>41</v>
      </c>
      <c r="N1827" s="1">
        <f t="shared" si="168"/>
        <v>45623</v>
      </c>
      <c r="O1827" s="4">
        <f t="shared" si="169"/>
        <v>3.4588235294117649E-2</v>
      </c>
      <c r="P1827">
        <f t="shared" si="170"/>
        <v>1.5192517006802722</v>
      </c>
      <c r="Q1827" s="2">
        <f t="shared" si="171"/>
        <v>13.137058823529413</v>
      </c>
      <c r="R1827" s="2">
        <f t="shared" si="172"/>
        <v>74.443333333333342</v>
      </c>
      <c r="S1827" s="2">
        <f t="shared" si="173"/>
        <v>4.786638606546366</v>
      </c>
    </row>
    <row r="1828" spans="1:19" hidden="1">
      <c r="A1828" t="s">
        <v>1881</v>
      </c>
      <c r="B1828" t="s">
        <v>30</v>
      </c>
      <c r="C1828">
        <v>80</v>
      </c>
      <c r="D1828">
        <v>4518.5</v>
      </c>
      <c r="E1828" s="2">
        <v>196.17</v>
      </c>
      <c r="F1828">
        <v>15</v>
      </c>
      <c r="G1828">
        <v>4</v>
      </c>
      <c r="H1828">
        <v>0.05</v>
      </c>
      <c r="I1828" s="3">
        <v>1252</v>
      </c>
      <c r="J1828" s="1">
        <v>45604</v>
      </c>
      <c r="K1828" t="s">
        <v>31</v>
      </c>
      <c r="L1828" t="s">
        <v>7</v>
      </c>
      <c r="M1828" t="s">
        <v>32</v>
      </c>
      <c r="N1828" s="1">
        <f t="shared" si="168"/>
        <v>45604</v>
      </c>
      <c r="O1828" s="4">
        <f t="shared" si="169"/>
        <v>1.7704990594223747E-2</v>
      </c>
      <c r="P1828">
        <f t="shared" si="170"/>
        <v>2.4521249999999997</v>
      </c>
      <c r="Q1828" s="2">
        <f t="shared" si="171"/>
        <v>13.077999999999999</v>
      </c>
      <c r="R1828" s="2">
        <f t="shared" si="172"/>
        <v>49.042499999999997</v>
      </c>
      <c r="S1828" s="2">
        <f t="shared" si="173"/>
        <v>6.3822195034918696</v>
      </c>
    </row>
    <row r="1829" spans="1:19" hidden="1">
      <c r="A1829" t="s">
        <v>1882</v>
      </c>
      <c r="B1829" t="s">
        <v>30</v>
      </c>
      <c r="C1829">
        <v>181</v>
      </c>
      <c r="D1829">
        <v>5783</v>
      </c>
      <c r="E1829" s="2">
        <v>231.16</v>
      </c>
      <c r="F1829">
        <v>24</v>
      </c>
      <c r="G1829">
        <v>4</v>
      </c>
      <c r="H1829">
        <v>2.1999999999999999E-2</v>
      </c>
      <c r="I1829" s="3">
        <v>1963</v>
      </c>
      <c r="J1829" s="1" t="s">
        <v>86</v>
      </c>
      <c r="K1829" t="s">
        <v>31</v>
      </c>
      <c r="L1829" t="s">
        <v>9</v>
      </c>
      <c r="M1829" t="s">
        <v>35</v>
      </c>
      <c r="N1829" s="1">
        <f t="shared" si="168"/>
        <v>45625</v>
      </c>
      <c r="O1829" s="4">
        <f t="shared" si="169"/>
        <v>3.1298633927027496E-2</v>
      </c>
      <c r="P1829">
        <f t="shared" si="170"/>
        <v>1.2771270718232044</v>
      </c>
      <c r="Q1829" s="2">
        <f t="shared" si="171"/>
        <v>9.6316666666666659</v>
      </c>
      <c r="R1829" s="2">
        <f t="shared" si="172"/>
        <v>57.79</v>
      </c>
      <c r="S1829" s="2">
        <f t="shared" si="173"/>
        <v>8.4919536251946699</v>
      </c>
    </row>
    <row r="1830" spans="1:19" hidden="1">
      <c r="A1830" t="s">
        <v>1883</v>
      </c>
      <c r="B1830" t="s">
        <v>30</v>
      </c>
      <c r="C1830">
        <v>175</v>
      </c>
      <c r="D1830">
        <v>3792</v>
      </c>
      <c r="E1830" s="2">
        <v>227.98</v>
      </c>
      <c r="F1830">
        <v>17</v>
      </c>
      <c r="G1830">
        <v>8</v>
      </c>
      <c r="H1830">
        <v>4.5999999999999999E-2</v>
      </c>
      <c r="I1830" s="3">
        <v>1627</v>
      </c>
      <c r="J1830" s="1">
        <v>45600</v>
      </c>
      <c r="K1830" t="s">
        <v>31</v>
      </c>
      <c r="L1830" t="s">
        <v>9</v>
      </c>
      <c r="M1830" t="s">
        <v>32</v>
      </c>
      <c r="N1830" s="1">
        <f t="shared" si="168"/>
        <v>45600</v>
      </c>
      <c r="O1830" s="4">
        <f t="shared" si="169"/>
        <v>4.6149789029535863E-2</v>
      </c>
      <c r="P1830">
        <f t="shared" si="170"/>
        <v>1.302742857142857</v>
      </c>
      <c r="Q1830" s="2">
        <f t="shared" si="171"/>
        <v>13.410588235294117</v>
      </c>
      <c r="R1830" s="2">
        <f t="shared" si="172"/>
        <v>28.497499999999999</v>
      </c>
      <c r="S1830" s="2">
        <f t="shared" si="173"/>
        <v>7.1365909290288627</v>
      </c>
    </row>
    <row r="1831" spans="1:19" hidden="1">
      <c r="A1831" t="s">
        <v>1884</v>
      </c>
      <c r="B1831" t="s">
        <v>30</v>
      </c>
      <c r="C1831">
        <v>94</v>
      </c>
      <c r="D1831">
        <v>5919</v>
      </c>
      <c r="E1831" s="2">
        <v>220.26</v>
      </c>
      <c r="F1831">
        <v>18</v>
      </c>
      <c r="G1831">
        <v>8</v>
      </c>
      <c r="H1831">
        <v>5.5E-2</v>
      </c>
      <c r="I1831" s="3">
        <v>1486</v>
      </c>
      <c r="J1831" s="1">
        <v>45614</v>
      </c>
      <c r="K1831" t="s">
        <v>31</v>
      </c>
      <c r="L1831" t="s">
        <v>7</v>
      </c>
      <c r="M1831" t="s">
        <v>39</v>
      </c>
      <c r="N1831" s="1">
        <f t="shared" si="168"/>
        <v>45614</v>
      </c>
      <c r="O1831" s="4">
        <f t="shared" si="169"/>
        <v>1.58810609900321E-2</v>
      </c>
      <c r="P1831">
        <f t="shared" si="170"/>
        <v>2.3431914893617019</v>
      </c>
      <c r="Q1831" s="2">
        <f t="shared" si="171"/>
        <v>12.236666666666666</v>
      </c>
      <c r="R1831" s="2">
        <f t="shared" si="172"/>
        <v>27.532499999999999</v>
      </c>
      <c r="S1831" s="2">
        <f t="shared" si="173"/>
        <v>6.7465722328157636</v>
      </c>
    </row>
    <row r="1832" spans="1:19" hidden="1">
      <c r="A1832" t="s">
        <v>1885</v>
      </c>
      <c r="B1832" t="s">
        <v>30</v>
      </c>
      <c r="C1832">
        <v>119</v>
      </c>
      <c r="D1832">
        <v>4593</v>
      </c>
      <c r="E1832" s="2">
        <v>248.14</v>
      </c>
      <c r="F1832">
        <v>23</v>
      </c>
      <c r="G1832">
        <v>8</v>
      </c>
      <c r="H1832">
        <v>6.7000000000000004E-2</v>
      </c>
      <c r="I1832" s="3">
        <v>1595</v>
      </c>
      <c r="J1832" s="1">
        <v>45604</v>
      </c>
      <c r="K1832" t="s">
        <v>31</v>
      </c>
      <c r="L1832" t="s">
        <v>8</v>
      </c>
      <c r="M1832" t="s">
        <v>32</v>
      </c>
      <c r="N1832" s="1">
        <f t="shared" si="168"/>
        <v>45604</v>
      </c>
      <c r="O1832" s="4">
        <f t="shared" si="169"/>
        <v>2.5908991944263007E-2</v>
      </c>
      <c r="P1832">
        <f t="shared" si="170"/>
        <v>2.0852100840336134</v>
      </c>
      <c r="Q1832" s="2">
        <f t="shared" si="171"/>
        <v>10.788695652173912</v>
      </c>
      <c r="R1832" s="2">
        <f t="shared" si="172"/>
        <v>31.017499999999998</v>
      </c>
      <c r="S1832" s="2">
        <f t="shared" si="173"/>
        <v>6.4278230031433869</v>
      </c>
    </row>
    <row r="1833" spans="1:19">
      <c r="A1833" t="s">
        <v>1886</v>
      </c>
      <c r="B1833" t="s">
        <v>30</v>
      </c>
      <c r="C1833">
        <v>146</v>
      </c>
      <c r="D1833">
        <v>4308</v>
      </c>
      <c r="E1833" s="2">
        <v>181.7</v>
      </c>
      <c r="F1833">
        <v>27</v>
      </c>
      <c r="G1833">
        <v>9</v>
      </c>
      <c r="H1833">
        <v>4.5999999999999999E-2</v>
      </c>
      <c r="I1833" s="3">
        <v>1391</v>
      </c>
      <c r="J1833" s="1">
        <v>45602</v>
      </c>
      <c r="K1833" t="s">
        <v>31</v>
      </c>
      <c r="L1833" t="s">
        <v>9</v>
      </c>
      <c r="M1833" t="s">
        <v>46</v>
      </c>
      <c r="N1833" s="1">
        <f t="shared" si="168"/>
        <v>45602</v>
      </c>
      <c r="O1833" s="4">
        <f t="shared" si="169"/>
        <v>3.3890436397400185E-2</v>
      </c>
      <c r="P1833">
        <f t="shared" si="170"/>
        <v>1.2445205479452055</v>
      </c>
      <c r="Q1833" s="2">
        <f t="shared" si="171"/>
        <v>6.7296296296296294</v>
      </c>
      <c r="R1833" s="2">
        <f t="shared" si="172"/>
        <v>20.188888888888886</v>
      </c>
      <c r="S1833" s="2">
        <f t="shared" si="173"/>
        <v>7.6554760594386355</v>
      </c>
    </row>
    <row r="1834" spans="1:19" hidden="1">
      <c r="A1834" t="s">
        <v>1887</v>
      </c>
      <c r="B1834" t="s">
        <v>30</v>
      </c>
      <c r="C1834">
        <v>122</v>
      </c>
      <c r="D1834">
        <v>4676</v>
      </c>
      <c r="E1834" s="2">
        <v>202.56</v>
      </c>
      <c r="F1834">
        <v>25</v>
      </c>
      <c r="G1834">
        <v>8</v>
      </c>
      <c r="H1834">
        <v>5.0999999999999997E-2</v>
      </c>
      <c r="I1834" s="3">
        <v>1368</v>
      </c>
      <c r="J1834" s="1">
        <v>45603</v>
      </c>
      <c r="K1834" t="s">
        <v>31</v>
      </c>
      <c r="L1834" t="s">
        <v>9</v>
      </c>
      <c r="M1834" t="s">
        <v>35</v>
      </c>
      <c r="N1834" s="1">
        <f t="shared" si="168"/>
        <v>45603</v>
      </c>
      <c r="O1834" s="4">
        <f t="shared" si="169"/>
        <v>2.6090675791274595E-2</v>
      </c>
      <c r="P1834">
        <f t="shared" si="170"/>
        <v>1.660327868852459</v>
      </c>
      <c r="Q1834" s="2">
        <f t="shared" si="171"/>
        <v>8.1023999999999994</v>
      </c>
      <c r="R1834" s="2">
        <f t="shared" si="172"/>
        <v>25.32</v>
      </c>
      <c r="S1834" s="2">
        <f t="shared" si="173"/>
        <v>6.7535545023696679</v>
      </c>
    </row>
    <row r="1835" spans="1:19" hidden="1">
      <c r="A1835" t="s">
        <v>1888</v>
      </c>
      <c r="B1835" t="s">
        <v>30</v>
      </c>
      <c r="C1835">
        <v>114</v>
      </c>
      <c r="D1835">
        <v>5832</v>
      </c>
      <c r="E1835" s="2">
        <v>215.57</v>
      </c>
      <c r="F1835">
        <v>28</v>
      </c>
      <c r="G1835">
        <v>4</v>
      </c>
      <c r="H1835">
        <v>3.5000000000000003E-2</v>
      </c>
      <c r="I1835" s="3">
        <v>1566</v>
      </c>
      <c r="J1835" s="1">
        <v>45614</v>
      </c>
      <c r="K1835" t="s">
        <v>31</v>
      </c>
      <c r="L1835" t="s">
        <v>8</v>
      </c>
      <c r="M1835" t="s">
        <v>35</v>
      </c>
      <c r="N1835" s="1">
        <f t="shared" si="168"/>
        <v>45614</v>
      </c>
      <c r="O1835" s="4">
        <f t="shared" si="169"/>
        <v>1.954732510288066E-2</v>
      </c>
      <c r="P1835">
        <f t="shared" si="170"/>
        <v>1.8909649122807017</v>
      </c>
      <c r="Q1835" s="2">
        <f t="shared" si="171"/>
        <v>7.6989285714285716</v>
      </c>
      <c r="R1835" s="2">
        <f t="shared" si="172"/>
        <v>53.892499999999998</v>
      </c>
      <c r="S1835" s="2">
        <f t="shared" si="173"/>
        <v>7.2644616597856846</v>
      </c>
    </row>
    <row r="1836" spans="1:19">
      <c r="A1836" t="s">
        <v>1889</v>
      </c>
      <c r="B1836" t="s">
        <v>30</v>
      </c>
      <c r="C1836">
        <v>130</v>
      </c>
      <c r="D1836">
        <v>3637</v>
      </c>
      <c r="E1836" s="2">
        <v>215.57</v>
      </c>
      <c r="F1836">
        <v>25</v>
      </c>
      <c r="G1836">
        <v>7</v>
      </c>
      <c r="H1836">
        <v>4.5999999999999999E-2</v>
      </c>
      <c r="I1836" s="3">
        <v>1361</v>
      </c>
      <c r="J1836" s="1">
        <v>45611</v>
      </c>
      <c r="K1836" t="s">
        <v>31</v>
      </c>
      <c r="L1836" t="s">
        <v>9</v>
      </c>
      <c r="M1836" t="s">
        <v>46</v>
      </c>
      <c r="N1836" s="1">
        <f t="shared" si="168"/>
        <v>45611</v>
      </c>
      <c r="O1836" s="4">
        <f t="shared" si="169"/>
        <v>3.5743744844652182E-2</v>
      </c>
      <c r="P1836">
        <f t="shared" si="170"/>
        <v>1.6582307692307692</v>
      </c>
      <c r="Q1836" s="2">
        <f t="shared" si="171"/>
        <v>8.6227999999999998</v>
      </c>
      <c r="R1836" s="2">
        <f t="shared" si="172"/>
        <v>30.795714285714286</v>
      </c>
      <c r="S1836" s="2">
        <f t="shared" si="173"/>
        <v>6.3134944565570352</v>
      </c>
    </row>
    <row r="1837" spans="1:19" hidden="1">
      <c r="A1837" t="s">
        <v>1890</v>
      </c>
      <c r="B1837" t="s">
        <v>30</v>
      </c>
      <c r="C1837">
        <v>154</v>
      </c>
      <c r="D1837">
        <v>5533</v>
      </c>
      <c r="E1837" s="2">
        <v>207.61</v>
      </c>
      <c r="F1837">
        <v>14</v>
      </c>
      <c r="G1837">
        <v>8</v>
      </c>
      <c r="H1837">
        <v>3.5000000000000003E-2</v>
      </c>
      <c r="I1837" s="3">
        <v>1165</v>
      </c>
      <c r="J1837" s="1">
        <v>45602</v>
      </c>
      <c r="K1837" t="s">
        <v>31</v>
      </c>
      <c r="L1837" t="s">
        <v>7</v>
      </c>
      <c r="M1837" t="s">
        <v>46</v>
      </c>
      <c r="N1837" s="1">
        <f t="shared" si="168"/>
        <v>45602</v>
      </c>
      <c r="O1837" s="4">
        <f t="shared" si="169"/>
        <v>2.7833001988071572E-2</v>
      </c>
      <c r="P1837">
        <f t="shared" si="170"/>
        <v>1.3481168831168833</v>
      </c>
      <c r="Q1837" s="2">
        <f t="shared" si="171"/>
        <v>14.829285714285716</v>
      </c>
      <c r="R1837" s="2">
        <f t="shared" si="172"/>
        <v>25.951250000000002</v>
      </c>
      <c r="S1837" s="2">
        <f t="shared" si="173"/>
        <v>5.6114830692163187</v>
      </c>
    </row>
    <row r="1838" spans="1:19" hidden="1">
      <c r="A1838" t="s">
        <v>1891</v>
      </c>
      <c r="B1838" t="s">
        <v>30</v>
      </c>
      <c r="C1838">
        <v>132</v>
      </c>
      <c r="D1838">
        <v>4320</v>
      </c>
      <c r="E1838" s="2">
        <v>229.38</v>
      </c>
      <c r="F1838">
        <v>15</v>
      </c>
      <c r="G1838">
        <v>5</v>
      </c>
      <c r="H1838">
        <v>3.7999999999999999E-2</v>
      </c>
      <c r="I1838" s="3">
        <v>1557</v>
      </c>
      <c r="J1838" s="1">
        <v>45610</v>
      </c>
      <c r="K1838" t="s">
        <v>31</v>
      </c>
      <c r="L1838" t="s">
        <v>7</v>
      </c>
      <c r="M1838" t="s">
        <v>46</v>
      </c>
      <c r="N1838" s="1">
        <f t="shared" si="168"/>
        <v>45610</v>
      </c>
      <c r="O1838" s="4">
        <f t="shared" si="169"/>
        <v>3.0555555555555555E-2</v>
      </c>
      <c r="P1838">
        <f t="shared" si="170"/>
        <v>1.7377272727272728</v>
      </c>
      <c r="Q1838" s="2">
        <f t="shared" si="171"/>
        <v>15.292</v>
      </c>
      <c r="R1838" s="2">
        <f t="shared" si="172"/>
        <v>45.875999999999998</v>
      </c>
      <c r="S1838" s="2">
        <f t="shared" si="173"/>
        <v>6.7878629348679045</v>
      </c>
    </row>
    <row r="1839" spans="1:19" hidden="1">
      <c r="A1839" t="s">
        <v>1892</v>
      </c>
      <c r="B1839" t="s">
        <v>30</v>
      </c>
      <c r="C1839">
        <v>170</v>
      </c>
      <c r="D1839">
        <v>3526</v>
      </c>
      <c r="E1839" s="2">
        <v>224.34</v>
      </c>
      <c r="F1839">
        <v>29</v>
      </c>
      <c r="G1839">
        <v>4</v>
      </c>
      <c r="H1839">
        <v>2.4E-2</v>
      </c>
      <c r="I1839" s="3">
        <v>1969</v>
      </c>
      <c r="J1839" s="1">
        <v>45597</v>
      </c>
      <c r="K1839" t="s">
        <v>31</v>
      </c>
      <c r="L1839" t="s">
        <v>7</v>
      </c>
      <c r="M1839" t="s">
        <v>46</v>
      </c>
      <c r="N1839" s="1">
        <f t="shared" si="168"/>
        <v>45597</v>
      </c>
      <c r="O1839" s="4">
        <f t="shared" si="169"/>
        <v>4.821327283040272E-2</v>
      </c>
      <c r="P1839">
        <f t="shared" si="170"/>
        <v>1.3196470588235294</v>
      </c>
      <c r="Q1839" s="2">
        <f t="shared" si="171"/>
        <v>7.7358620689655178</v>
      </c>
      <c r="R1839" s="2">
        <f t="shared" si="172"/>
        <v>56.085000000000001</v>
      </c>
      <c r="S1839" s="2">
        <f t="shared" si="173"/>
        <v>8.7768565570116781</v>
      </c>
    </row>
    <row r="1840" spans="1:19">
      <c r="A1840" t="s">
        <v>1893</v>
      </c>
      <c r="B1840" t="s">
        <v>30</v>
      </c>
      <c r="C1840">
        <v>85</v>
      </c>
      <c r="D1840">
        <v>5962</v>
      </c>
      <c r="E1840" s="2">
        <v>201.12</v>
      </c>
      <c r="F1840">
        <v>20</v>
      </c>
      <c r="G1840">
        <v>10</v>
      </c>
      <c r="H1840">
        <v>4.5999999999999999E-2</v>
      </c>
      <c r="I1840" s="3">
        <v>1728</v>
      </c>
      <c r="J1840" s="1">
        <v>45621</v>
      </c>
      <c r="K1840" t="s">
        <v>31</v>
      </c>
      <c r="L1840" t="s">
        <v>8</v>
      </c>
      <c r="M1840" t="s">
        <v>35</v>
      </c>
      <c r="N1840" s="1">
        <f t="shared" si="168"/>
        <v>45621</v>
      </c>
      <c r="O1840" s="4">
        <f t="shared" si="169"/>
        <v>1.4256960751425697E-2</v>
      </c>
      <c r="P1840">
        <f t="shared" si="170"/>
        <v>2.3661176470588234</v>
      </c>
      <c r="Q1840" s="2">
        <f t="shared" si="171"/>
        <v>10.056000000000001</v>
      </c>
      <c r="R1840" s="2">
        <f t="shared" si="172"/>
        <v>20.112000000000002</v>
      </c>
      <c r="S1840" s="2">
        <f t="shared" si="173"/>
        <v>8.5918854415274453</v>
      </c>
    </row>
    <row r="1841" spans="1:19" hidden="1">
      <c r="A1841" t="s">
        <v>1894</v>
      </c>
      <c r="B1841" t="s">
        <v>30</v>
      </c>
      <c r="C1841">
        <v>85</v>
      </c>
      <c r="D1841">
        <v>3208</v>
      </c>
      <c r="E1841" s="2">
        <v>220.53</v>
      </c>
      <c r="F1841">
        <v>25</v>
      </c>
      <c r="G1841">
        <v>5</v>
      </c>
      <c r="H1841">
        <v>5.8999999999999997E-2</v>
      </c>
      <c r="I1841" s="3">
        <v>1426</v>
      </c>
      <c r="J1841" s="1">
        <v>45333</v>
      </c>
      <c r="K1841" t="s">
        <v>31</v>
      </c>
      <c r="L1841" t="s">
        <v>7</v>
      </c>
      <c r="M1841" t="s">
        <v>46</v>
      </c>
      <c r="N1841" s="1">
        <f t="shared" si="168"/>
        <v>45333</v>
      </c>
      <c r="O1841" s="4">
        <f t="shared" si="169"/>
        <v>2.6496259351620949E-2</v>
      </c>
      <c r="P1841">
        <f t="shared" si="170"/>
        <v>2.5944705882352941</v>
      </c>
      <c r="Q1841" s="2">
        <f t="shared" si="171"/>
        <v>8.8211999999999993</v>
      </c>
      <c r="R1841" s="2">
        <f t="shared" si="172"/>
        <v>44.106000000000002</v>
      </c>
      <c r="S1841" s="2">
        <f t="shared" si="173"/>
        <v>6.466240420804426</v>
      </c>
    </row>
    <row r="1842" spans="1:19" hidden="1">
      <c r="A1842" t="s">
        <v>1895</v>
      </c>
      <c r="B1842" t="s">
        <v>30</v>
      </c>
      <c r="C1842">
        <v>127</v>
      </c>
      <c r="D1842">
        <v>4477</v>
      </c>
      <c r="E1842" s="2">
        <v>199.34</v>
      </c>
      <c r="F1842">
        <v>20</v>
      </c>
      <c r="G1842">
        <v>3</v>
      </c>
      <c r="H1842">
        <v>2.4E-2</v>
      </c>
      <c r="I1842" s="3">
        <v>1239</v>
      </c>
      <c r="J1842" s="1">
        <v>45597</v>
      </c>
      <c r="K1842" t="s">
        <v>31</v>
      </c>
      <c r="L1842" t="s">
        <v>7</v>
      </c>
      <c r="M1842" t="s">
        <v>35</v>
      </c>
      <c r="N1842" s="1">
        <f t="shared" si="168"/>
        <v>45597</v>
      </c>
      <c r="O1842" s="4">
        <f t="shared" si="169"/>
        <v>2.8367210185392004E-2</v>
      </c>
      <c r="P1842">
        <f t="shared" si="170"/>
        <v>1.5696062992125985</v>
      </c>
      <c r="Q1842" s="2">
        <f t="shared" si="171"/>
        <v>9.9670000000000005</v>
      </c>
      <c r="R1842" s="2">
        <f t="shared" si="172"/>
        <v>66.446666666666673</v>
      </c>
      <c r="S1842" s="2">
        <f t="shared" si="173"/>
        <v>6.2155111869168254</v>
      </c>
    </row>
    <row r="1843" spans="1:19" hidden="1">
      <c r="A1843" t="s">
        <v>1896</v>
      </c>
      <c r="B1843" t="s">
        <v>30</v>
      </c>
      <c r="C1843">
        <v>148</v>
      </c>
      <c r="D1843">
        <v>3207</v>
      </c>
      <c r="E1843" s="2">
        <v>207.16</v>
      </c>
      <c r="F1843">
        <v>22</v>
      </c>
      <c r="G1843">
        <v>9</v>
      </c>
      <c r="H1843">
        <v>6.0999999999999999E-2</v>
      </c>
      <c r="I1843" s="3">
        <v>1416</v>
      </c>
      <c r="J1843" s="1">
        <v>45624</v>
      </c>
      <c r="K1843" t="s">
        <v>31</v>
      </c>
      <c r="L1843" t="s">
        <v>7</v>
      </c>
      <c r="M1843" t="s">
        <v>41</v>
      </c>
      <c r="N1843" s="1">
        <f t="shared" si="168"/>
        <v>45624</v>
      </c>
      <c r="O1843" s="4">
        <f t="shared" si="169"/>
        <v>4.6149048955410041E-2</v>
      </c>
      <c r="P1843">
        <f t="shared" si="170"/>
        <v>1.3997297297297298</v>
      </c>
      <c r="Q1843" s="2">
        <f t="shared" si="171"/>
        <v>9.416363636363636</v>
      </c>
      <c r="R1843" s="2">
        <f t="shared" si="172"/>
        <v>23.017777777777777</v>
      </c>
      <c r="S1843" s="2">
        <f t="shared" si="173"/>
        <v>6.8352963892643368</v>
      </c>
    </row>
    <row r="1844" spans="1:19">
      <c r="A1844" t="s">
        <v>1897</v>
      </c>
      <c r="B1844" t="s">
        <v>30</v>
      </c>
      <c r="C1844">
        <v>181</v>
      </c>
      <c r="D1844">
        <v>4269</v>
      </c>
      <c r="E1844" s="2">
        <v>227.56</v>
      </c>
      <c r="F1844">
        <v>24</v>
      </c>
      <c r="G1844">
        <v>4</v>
      </c>
      <c r="H1844">
        <v>4.5999999999999999E-2</v>
      </c>
      <c r="I1844" s="3">
        <v>1251</v>
      </c>
      <c r="J1844" s="1" t="s">
        <v>43</v>
      </c>
      <c r="K1844" t="s">
        <v>31</v>
      </c>
      <c r="L1844" t="s">
        <v>8</v>
      </c>
      <c r="M1844" t="s">
        <v>35</v>
      </c>
      <c r="N1844" s="1">
        <f t="shared" si="168"/>
        <v>45612</v>
      </c>
      <c r="O1844" s="4">
        <f t="shared" si="169"/>
        <v>4.2398688217381117E-2</v>
      </c>
      <c r="P1844">
        <f t="shared" si="170"/>
        <v>1.2572375690607736</v>
      </c>
      <c r="Q1844" s="2">
        <f t="shared" si="171"/>
        <v>9.4816666666666674</v>
      </c>
      <c r="R1844" s="2">
        <f t="shared" si="172"/>
        <v>56.89</v>
      </c>
      <c r="S1844" s="2">
        <f t="shared" si="173"/>
        <v>5.4974512216558269</v>
      </c>
    </row>
    <row r="1845" spans="1:19" hidden="1">
      <c r="A1845" t="s">
        <v>1898</v>
      </c>
      <c r="B1845" t="s">
        <v>30</v>
      </c>
      <c r="C1845">
        <v>102</v>
      </c>
      <c r="D1845">
        <v>4512</v>
      </c>
      <c r="E1845" s="2">
        <v>183.01</v>
      </c>
      <c r="F1845">
        <v>20</v>
      </c>
      <c r="G1845">
        <v>5</v>
      </c>
      <c r="H1845">
        <v>4.9000000000000002E-2</v>
      </c>
      <c r="I1845" s="3">
        <v>1544</v>
      </c>
      <c r="J1845" s="1" t="s">
        <v>167</v>
      </c>
      <c r="K1845" t="s">
        <v>31</v>
      </c>
      <c r="L1845" t="s">
        <v>9</v>
      </c>
      <c r="M1845" t="s">
        <v>46</v>
      </c>
      <c r="N1845" s="1">
        <f t="shared" si="168"/>
        <v>45620</v>
      </c>
      <c r="O1845" s="4">
        <f t="shared" si="169"/>
        <v>2.2606382978723406E-2</v>
      </c>
      <c r="P1845">
        <f t="shared" si="170"/>
        <v>1.7942156862745098</v>
      </c>
      <c r="Q1845" s="2">
        <f t="shared" si="171"/>
        <v>9.1504999999999992</v>
      </c>
      <c r="R1845" s="2">
        <f t="shared" si="172"/>
        <v>36.601999999999997</v>
      </c>
      <c r="S1845" s="2">
        <f t="shared" si="173"/>
        <v>8.4366974482268731</v>
      </c>
    </row>
    <row r="1846" spans="1:19" hidden="1">
      <c r="A1846" t="s">
        <v>1899</v>
      </c>
      <c r="B1846" t="s">
        <v>30</v>
      </c>
      <c r="C1846">
        <v>136</v>
      </c>
      <c r="D1846">
        <v>5249</v>
      </c>
      <c r="E1846" s="2">
        <v>199.26</v>
      </c>
      <c r="F1846">
        <v>25</v>
      </c>
      <c r="G1846">
        <v>9</v>
      </c>
      <c r="H1846">
        <v>5.8999999999999997E-2</v>
      </c>
      <c r="I1846" s="3">
        <v>1142</v>
      </c>
      <c r="J1846" s="1">
        <v>45546</v>
      </c>
      <c r="K1846" t="s">
        <v>31</v>
      </c>
      <c r="L1846" t="s">
        <v>7</v>
      </c>
      <c r="M1846" t="s">
        <v>46</v>
      </c>
      <c r="N1846" s="1">
        <f t="shared" si="168"/>
        <v>45546</v>
      </c>
      <c r="O1846" s="4">
        <f t="shared" si="169"/>
        <v>2.5909697085159077E-2</v>
      </c>
      <c r="P1846">
        <f t="shared" si="170"/>
        <v>1.4651470588235294</v>
      </c>
      <c r="Q1846" s="2">
        <f t="shared" si="171"/>
        <v>7.9703999999999997</v>
      </c>
      <c r="R1846" s="2">
        <f t="shared" si="172"/>
        <v>22.14</v>
      </c>
      <c r="S1846" s="2">
        <f t="shared" si="173"/>
        <v>5.7312054602027507</v>
      </c>
    </row>
    <row r="1847" spans="1:19" hidden="1">
      <c r="A1847" t="s">
        <v>1900</v>
      </c>
      <c r="B1847" t="s">
        <v>30</v>
      </c>
      <c r="C1847">
        <v>148</v>
      </c>
      <c r="D1847">
        <v>4881</v>
      </c>
      <c r="E1847" s="2">
        <v>213.23</v>
      </c>
      <c r="F1847">
        <v>14</v>
      </c>
      <c r="G1847">
        <v>4</v>
      </c>
      <c r="H1847">
        <v>4.5999999999999999E-2</v>
      </c>
      <c r="I1847" s="3">
        <v>1474</v>
      </c>
      <c r="J1847" s="1" t="s">
        <v>105</v>
      </c>
      <c r="K1847" t="s">
        <v>31</v>
      </c>
      <c r="L1847" t="s">
        <v>9</v>
      </c>
      <c r="M1847" t="s">
        <v>39</v>
      </c>
      <c r="N1847" s="1">
        <f t="shared" si="168"/>
        <v>45614</v>
      </c>
      <c r="O1847" s="4">
        <f t="shared" si="169"/>
        <v>3.0321655398483919E-2</v>
      </c>
      <c r="P1847">
        <f t="shared" si="170"/>
        <v>1.4407432432432432</v>
      </c>
      <c r="Q1847" s="2">
        <f t="shared" si="171"/>
        <v>15.230714285714285</v>
      </c>
      <c r="R1847" s="2">
        <f t="shared" si="172"/>
        <v>53.307499999999997</v>
      </c>
      <c r="S1847" s="2">
        <f t="shared" si="173"/>
        <v>6.9127233503728371</v>
      </c>
    </row>
    <row r="1848" spans="1:19" hidden="1">
      <c r="A1848" t="s">
        <v>1901</v>
      </c>
      <c r="B1848" t="s">
        <v>30</v>
      </c>
      <c r="C1848">
        <v>170</v>
      </c>
      <c r="D1848">
        <v>5385</v>
      </c>
      <c r="E1848" s="2">
        <v>198.13</v>
      </c>
      <c r="F1848">
        <v>21</v>
      </c>
      <c r="G1848">
        <v>7</v>
      </c>
      <c r="H1848">
        <v>4.4999999999999998E-2</v>
      </c>
      <c r="I1848" s="3">
        <v>1174</v>
      </c>
      <c r="J1848" s="1">
        <v>45626</v>
      </c>
      <c r="K1848" t="s">
        <v>31</v>
      </c>
      <c r="L1848" t="s">
        <v>7</v>
      </c>
      <c r="M1848" t="s">
        <v>41</v>
      </c>
      <c r="N1848" s="1">
        <f t="shared" si="168"/>
        <v>45626</v>
      </c>
      <c r="O1848" s="4">
        <f t="shared" si="169"/>
        <v>3.1569173630454965E-2</v>
      </c>
      <c r="P1848">
        <f t="shared" si="170"/>
        <v>1.165470588235294</v>
      </c>
      <c r="Q1848" s="2">
        <f t="shared" si="171"/>
        <v>9.4347619047619045</v>
      </c>
      <c r="R1848" s="2">
        <f t="shared" si="172"/>
        <v>28.304285714285715</v>
      </c>
      <c r="S1848" s="2">
        <f t="shared" si="173"/>
        <v>5.9254025135012363</v>
      </c>
    </row>
    <row r="1849" spans="1:19" hidden="1">
      <c r="A1849" t="s">
        <v>1902</v>
      </c>
      <c r="B1849" t="s">
        <v>30</v>
      </c>
      <c r="C1849">
        <v>152</v>
      </c>
      <c r="D1849">
        <v>4506</v>
      </c>
      <c r="E1849" s="2">
        <v>215.57</v>
      </c>
      <c r="F1849">
        <v>17</v>
      </c>
      <c r="G1849">
        <v>7</v>
      </c>
      <c r="H1849">
        <v>3.3000000000000002E-2</v>
      </c>
      <c r="I1849" s="3">
        <v>1678</v>
      </c>
      <c r="J1849" s="1">
        <v>45637</v>
      </c>
      <c r="K1849" t="s">
        <v>31</v>
      </c>
      <c r="L1849" t="s">
        <v>8</v>
      </c>
      <c r="M1849" t="s">
        <v>32</v>
      </c>
      <c r="N1849" s="1">
        <f t="shared" si="168"/>
        <v>45637</v>
      </c>
      <c r="O1849" s="4">
        <f t="shared" si="169"/>
        <v>3.3732800710164226E-2</v>
      </c>
      <c r="P1849">
        <f t="shared" si="170"/>
        <v>1.4182236842105262</v>
      </c>
      <c r="Q1849" s="2">
        <f t="shared" si="171"/>
        <v>12.680588235294117</v>
      </c>
      <c r="R1849" s="2">
        <f t="shared" si="172"/>
        <v>30.795714285714286</v>
      </c>
      <c r="S1849" s="2">
        <f t="shared" si="173"/>
        <v>7.7840144732569465</v>
      </c>
    </row>
    <row r="1850" spans="1:19">
      <c r="A1850" t="s">
        <v>1903</v>
      </c>
      <c r="B1850" t="s">
        <v>30</v>
      </c>
      <c r="C1850">
        <v>128</v>
      </c>
      <c r="D1850">
        <v>4149</v>
      </c>
      <c r="E1850" s="2">
        <v>238.94</v>
      </c>
      <c r="F1850">
        <v>10</v>
      </c>
      <c r="G1850">
        <v>10</v>
      </c>
      <c r="H1850">
        <v>4.5999999999999999E-2</v>
      </c>
      <c r="I1850" s="3">
        <v>1306</v>
      </c>
      <c r="J1850" s="1">
        <v>45609</v>
      </c>
      <c r="K1850" t="s">
        <v>31</v>
      </c>
      <c r="L1850" t="s">
        <v>8</v>
      </c>
      <c r="M1850" t="s">
        <v>35</v>
      </c>
      <c r="N1850" s="1">
        <f t="shared" si="168"/>
        <v>45609</v>
      </c>
      <c r="O1850" s="4">
        <f t="shared" si="169"/>
        <v>3.0850807423475537E-2</v>
      </c>
      <c r="P1850">
        <f t="shared" si="170"/>
        <v>1.86671875</v>
      </c>
      <c r="Q1850" s="2">
        <f t="shared" si="171"/>
        <v>23.893999999999998</v>
      </c>
      <c r="R1850" s="2">
        <f t="shared" si="172"/>
        <v>23.893999999999998</v>
      </c>
      <c r="S1850" s="2">
        <f t="shared" si="173"/>
        <v>5.4658073156440947</v>
      </c>
    </row>
    <row r="1851" spans="1:19" hidden="1">
      <c r="A1851" t="s">
        <v>1904</v>
      </c>
      <c r="B1851" t="s">
        <v>30</v>
      </c>
      <c r="C1851">
        <v>168</v>
      </c>
      <c r="D1851">
        <v>4517</v>
      </c>
      <c r="E1851" s="2">
        <v>228</v>
      </c>
      <c r="F1851">
        <v>27</v>
      </c>
      <c r="G1851">
        <v>6</v>
      </c>
      <c r="H1851">
        <v>3.5999999999999997E-2</v>
      </c>
      <c r="I1851" s="3">
        <v>1679</v>
      </c>
      <c r="J1851" s="1">
        <v>45616</v>
      </c>
      <c r="K1851" t="s">
        <v>31</v>
      </c>
      <c r="L1851" t="s">
        <v>8</v>
      </c>
      <c r="M1851" t="s">
        <v>41</v>
      </c>
      <c r="N1851" s="1">
        <f t="shared" si="168"/>
        <v>45616</v>
      </c>
      <c r="O1851" s="4">
        <f t="shared" si="169"/>
        <v>3.7192827097631172E-2</v>
      </c>
      <c r="P1851">
        <f t="shared" si="170"/>
        <v>1.3571428571428572</v>
      </c>
      <c r="Q1851" s="2">
        <f t="shared" si="171"/>
        <v>8.4444444444444446</v>
      </c>
      <c r="R1851" s="2">
        <f t="shared" si="172"/>
        <v>38</v>
      </c>
      <c r="S1851" s="2">
        <f t="shared" si="173"/>
        <v>7.3640350877192979</v>
      </c>
    </row>
    <row r="1852" spans="1:19" hidden="1">
      <c r="A1852" t="s">
        <v>1905</v>
      </c>
      <c r="B1852" t="s">
        <v>30</v>
      </c>
      <c r="C1852">
        <v>95</v>
      </c>
      <c r="D1852">
        <v>4075</v>
      </c>
      <c r="E1852" s="2">
        <v>225.18</v>
      </c>
      <c r="F1852">
        <v>26</v>
      </c>
      <c r="G1852">
        <v>7</v>
      </c>
      <c r="H1852">
        <v>7.3999999999999996E-2</v>
      </c>
      <c r="I1852" s="3">
        <v>1763</v>
      </c>
      <c r="J1852" s="1">
        <v>45615</v>
      </c>
      <c r="K1852" t="s">
        <v>31</v>
      </c>
      <c r="L1852" t="s">
        <v>9</v>
      </c>
      <c r="M1852" t="s">
        <v>37</v>
      </c>
      <c r="N1852" s="1">
        <f t="shared" si="168"/>
        <v>45615</v>
      </c>
      <c r="O1852" s="4">
        <f t="shared" si="169"/>
        <v>2.3312883435582823E-2</v>
      </c>
      <c r="P1852">
        <f t="shared" si="170"/>
        <v>2.3703157894736844</v>
      </c>
      <c r="Q1852" s="2">
        <f t="shared" si="171"/>
        <v>8.6607692307692314</v>
      </c>
      <c r="R1852" s="2">
        <f t="shared" si="172"/>
        <v>32.168571428571433</v>
      </c>
      <c r="S1852" s="2">
        <f t="shared" si="173"/>
        <v>7.8292921218580691</v>
      </c>
    </row>
    <row r="1853" spans="1:19">
      <c r="A1853" t="s">
        <v>1906</v>
      </c>
      <c r="B1853" t="s">
        <v>30</v>
      </c>
      <c r="C1853">
        <v>120</v>
      </c>
      <c r="D1853">
        <v>3903</v>
      </c>
      <c r="E1853" s="2">
        <v>197.56</v>
      </c>
      <c r="F1853">
        <v>20</v>
      </c>
      <c r="G1853">
        <v>7</v>
      </c>
      <c r="H1853">
        <v>4.5999999999999999E-2</v>
      </c>
      <c r="I1853" s="3">
        <v>1255</v>
      </c>
      <c r="J1853" s="1" t="s">
        <v>105</v>
      </c>
      <c r="K1853" t="s">
        <v>31</v>
      </c>
      <c r="L1853" t="s">
        <v>9</v>
      </c>
      <c r="M1853" t="s">
        <v>46</v>
      </c>
      <c r="N1853" s="1">
        <f t="shared" si="168"/>
        <v>45614</v>
      </c>
      <c r="O1853" s="4">
        <f t="shared" si="169"/>
        <v>3.0745580322828592E-2</v>
      </c>
      <c r="P1853">
        <f t="shared" si="170"/>
        <v>1.6463333333333334</v>
      </c>
      <c r="Q1853" s="2">
        <f t="shared" si="171"/>
        <v>9.8780000000000001</v>
      </c>
      <c r="R1853" s="2">
        <f t="shared" si="172"/>
        <v>28.222857142857144</v>
      </c>
      <c r="S1853" s="2">
        <f t="shared" si="173"/>
        <v>6.352500506175339</v>
      </c>
    </row>
    <row r="1854" spans="1:19" hidden="1">
      <c r="A1854" t="s">
        <v>1907</v>
      </c>
      <c r="B1854" t="s">
        <v>30</v>
      </c>
      <c r="C1854">
        <v>157</v>
      </c>
      <c r="D1854">
        <v>4477</v>
      </c>
      <c r="E1854" s="2">
        <v>191.69</v>
      </c>
      <c r="F1854">
        <v>20</v>
      </c>
      <c r="G1854">
        <v>10</v>
      </c>
      <c r="H1854">
        <v>6.4000000000000001E-2</v>
      </c>
      <c r="I1854" s="3">
        <v>1598</v>
      </c>
      <c r="J1854" s="1">
        <v>45600</v>
      </c>
      <c r="K1854" t="s">
        <v>31</v>
      </c>
      <c r="L1854" t="s">
        <v>8</v>
      </c>
      <c r="M1854" t="s">
        <v>41</v>
      </c>
      <c r="N1854" s="1">
        <f t="shared" si="168"/>
        <v>45600</v>
      </c>
      <c r="O1854" s="4">
        <f t="shared" si="169"/>
        <v>3.5068125977216889E-2</v>
      </c>
      <c r="P1854">
        <f t="shared" si="170"/>
        <v>1.2209554140127388</v>
      </c>
      <c r="Q1854" s="2">
        <f t="shared" si="171"/>
        <v>9.5845000000000002</v>
      </c>
      <c r="R1854" s="2">
        <f t="shared" si="172"/>
        <v>19.169</v>
      </c>
      <c r="S1854" s="2">
        <f t="shared" si="173"/>
        <v>8.3363764411289054</v>
      </c>
    </row>
    <row r="1855" spans="1:19" hidden="1">
      <c r="A1855" t="s">
        <v>1908</v>
      </c>
      <c r="B1855" t="s">
        <v>30</v>
      </c>
      <c r="C1855">
        <v>147</v>
      </c>
      <c r="D1855">
        <v>5580</v>
      </c>
      <c r="E1855" s="2">
        <v>230.15</v>
      </c>
      <c r="F1855">
        <v>15</v>
      </c>
      <c r="G1855">
        <v>3</v>
      </c>
      <c r="H1855">
        <v>5.8000000000000003E-2</v>
      </c>
      <c r="I1855" s="3">
        <v>1299</v>
      </c>
      <c r="J1855" s="1">
        <v>45454</v>
      </c>
      <c r="K1855" t="s">
        <v>31</v>
      </c>
      <c r="L1855" t="s">
        <v>7</v>
      </c>
      <c r="M1855" t="s">
        <v>32</v>
      </c>
      <c r="N1855" s="1">
        <f t="shared" si="168"/>
        <v>45454</v>
      </c>
      <c r="O1855" s="4">
        <f t="shared" si="169"/>
        <v>2.6344086021505377E-2</v>
      </c>
      <c r="P1855">
        <f t="shared" si="170"/>
        <v>1.5656462585034014</v>
      </c>
      <c r="Q1855" s="2">
        <f t="shared" si="171"/>
        <v>15.343333333333334</v>
      </c>
      <c r="R1855" s="2">
        <f t="shared" si="172"/>
        <v>76.716666666666669</v>
      </c>
      <c r="S1855" s="2">
        <f t="shared" si="173"/>
        <v>5.6441451227460346</v>
      </c>
    </row>
    <row r="1856" spans="1:19" hidden="1">
      <c r="A1856" t="s">
        <v>1909</v>
      </c>
      <c r="B1856" t="s">
        <v>30</v>
      </c>
      <c r="C1856">
        <v>161</v>
      </c>
      <c r="D1856">
        <v>3253</v>
      </c>
      <c r="E1856" s="2">
        <v>181.02</v>
      </c>
      <c r="F1856">
        <v>15</v>
      </c>
      <c r="G1856">
        <v>10</v>
      </c>
      <c r="H1856">
        <v>6.2E-2</v>
      </c>
      <c r="I1856" s="3">
        <v>1340</v>
      </c>
      <c r="J1856" s="1">
        <v>45603</v>
      </c>
      <c r="K1856" t="s">
        <v>31</v>
      </c>
      <c r="L1856" t="s">
        <v>7</v>
      </c>
      <c r="M1856" t="s">
        <v>39</v>
      </c>
      <c r="N1856" s="1">
        <f t="shared" si="168"/>
        <v>45603</v>
      </c>
      <c r="O1856" s="4">
        <f t="shared" si="169"/>
        <v>4.9492775899169998E-2</v>
      </c>
      <c r="P1856">
        <f t="shared" si="170"/>
        <v>1.1243478260869566</v>
      </c>
      <c r="Q1856" s="2">
        <f t="shared" si="171"/>
        <v>12.068000000000001</v>
      </c>
      <c r="R1856" s="2">
        <f t="shared" si="172"/>
        <v>18.102</v>
      </c>
      <c r="S1856" s="2">
        <f t="shared" si="173"/>
        <v>7.4024969616616945</v>
      </c>
    </row>
    <row r="1857" spans="1:19" hidden="1">
      <c r="A1857" t="s">
        <v>1910</v>
      </c>
      <c r="B1857" t="s">
        <v>30</v>
      </c>
      <c r="C1857">
        <v>187</v>
      </c>
      <c r="D1857">
        <v>3869</v>
      </c>
      <c r="E1857" s="2">
        <v>185.15</v>
      </c>
      <c r="F1857">
        <v>26</v>
      </c>
      <c r="G1857">
        <v>6</v>
      </c>
      <c r="H1857">
        <v>3.2000000000000001E-2</v>
      </c>
      <c r="I1857" s="3">
        <v>1881</v>
      </c>
      <c r="J1857" s="1">
        <v>45600</v>
      </c>
      <c r="K1857" t="s">
        <v>31</v>
      </c>
      <c r="L1857" t="s">
        <v>8</v>
      </c>
      <c r="M1857" t="s">
        <v>39</v>
      </c>
      <c r="N1857" s="1">
        <f t="shared" si="168"/>
        <v>45600</v>
      </c>
      <c r="O1857" s="4">
        <f t="shared" si="169"/>
        <v>4.8332902558800725E-2</v>
      </c>
      <c r="P1857">
        <f t="shared" si="170"/>
        <v>0.99010695187165776</v>
      </c>
      <c r="Q1857" s="2">
        <f t="shared" si="171"/>
        <v>7.1211538461538462</v>
      </c>
      <c r="R1857" s="2">
        <f t="shared" si="172"/>
        <v>30.858333333333334</v>
      </c>
      <c r="S1857" s="2">
        <f t="shared" si="173"/>
        <v>10.159330272751822</v>
      </c>
    </row>
    <row r="1858" spans="1:19" hidden="1">
      <c r="A1858" t="s">
        <v>1911</v>
      </c>
      <c r="B1858" t="s">
        <v>30</v>
      </c>
      <c r="C1858">
        <v>177</v>
      </c>
      <c r="D1858">
        <v>5043</v>
      </c>
      <c r="E1858" s="2">
        <v>213.52</v>
      </c>
      <c r="F1858">
        <v>18</v>
      </c>
      <c r="G1858">
        <v>4</v>
      </c>
      <c r="H1858">
        <v>2.3E-2</v>
      </c>
      <c r="I1858" s="3">
        <v>1117</v>
      </c>
      <c r="J1858" s="1" t="s">
        <v>357</v>
      </c>
      <c r="K1858" t="s">
        <v>31</v>
      </c>
      <c r="L1858" t="s">
        <v>9</v>
      </c>
      <c r="M1858" t="s">
        <v>35</v>
      </c>
      <c r="N1858" s="1">
        <f t="shared" ref="N1858:N1921" si="174">IF(A1858="","",IF(ISNUMBER(J1858),J1858,IF(MID(J1858,5,1)="-",DATE(LEFT(J1858,4),MID(J1858,6,2),RIGHT(J1858,2)),IF(MID(J1858,5,1)="/",DATE(LEFT(J1858,4),MID(J1858,6,2),RIGHT(J1858,2)),DATE(RIGHT(J1858,4),MID(J1858,4,2),LEFT(J1858,2))))))</f>
        <v>45624</v>
      </c>
      <c r="O1858" s="4">
        <f t="shared" ref="O1858:O1921" si="175">IFERROR(C1858/D1858,0)</f>
        <v>3.5098155859607377E-2</v>
      </c>
      <c r="P1858">
        <f t="shared" ref="P1858:P1921" si="176">IFERROR(E1858/C1858,0)</f>
        <v>1.2063276836158192</v>
      </c>
      <c r="Q1858" s="2">
        <f t="shared" ref="Q1858:Q1921" si="177">IFERROR(E1858/F1858,0)</f>
        <v>11.862222222222222</v>
      </c>
      <c r="R1858" s="2">
        <f t="shared" ref="R1858:R1921" si="178">IFERROR(E1858/G1858,0)</f>
        <v>53.38</v>
      </c>
      <c r="S1858" s="2">
        <f t="shared" ref="S1858:S1921" si="179">IFERROR(I1858/E1858,0)</f>
        <v>5.231360059947546</v>
      </c>
    </row>
    <row r="1859" spans="1:19" hidden="1">
      <c r="A1859" t="s">
        <v>1912</v>
      </c>
      <c r="B1859" t="s">
        <v>30</v>
      </c>
      <c r="C1859">
        <v>165</v>
      </c>
      <c r="D1859">
        <v>4537</v>
      </c>
      <c r="E1859" s="2">
        <v>191.77</v>
      </c>
      <c r="F1859">
        <v>15</v>
      </c>
      <c r="G1859">
        <v>4</v>
      </c>
      <c r="H1859">
        <v>2.4E-2</v>
      </c>
      <c r="I1859" s="3">
        <v>1783</v>
      </c>
      <c r="J1859" s="1">
        <v>45600</v>
      </c>
      <c r="K1859" t="s">
        <v>31</v>
      </c>
      <c r="L1859" t="s">
        <v>9</v>
      </c>
      <c r="M1859" t="s">
        <v>46</v>
      </c>
      <c r="N1859" s="1">
        <f t="shared" si="174"/>
        <v>45600</v>
      </c>
      <c r="O1859" s="4">
        <f t="shared" si="175"/>
        <v>3.6367643817500551E-2</v>
      </c>
      <c r="P1859">
        <f t="shared" si="176"/>
        <v>1.1622424242424243</v>
      </c>
      <c r="Q1859" s="2">
        <f t="shared" si="177"/>
        <v>12.784666666666668</v>
      </c>
      <c r="R1859" s="2">
        <f t="shared" si="178"/>
        <v>47.942500000000003</v>
      </c>
      <c r="S1859" s="2">
        <f t="shared" si="179"/>
        <v>9.2975960786358662</v>
      </c>
    </row>
    <row r="1860" spans="1:19">
      <c r="A1860" t="s">
        <v>1913</v>
      </c>
      <c r="B1860" t="s">
        <v>30</v>
      </c>
      <c r="C1860">
        <v>146</v>
      </c>
      <c r="D1860">
        <v>3766</v>
      </c>
      <c r="E1860" s="2">
        <v>215.57</v>
      </c>
      <c r="F1860">
        <v>23</v>
      </c>
      <c r="G1860">
        <v>6</v>
      </c>
      <c r="H1860">
        <v>4.5999999999999999E-2</v>
      </c>
      <c r="I1860" s="3">
        <v>1760</v>
      </c>
      <c r="J1860" s="1">
        <v>45601</v>
      </c>
      <c r="K1860" t="s">
        <v>31</v>
      </c>
      <c r="L1860" t="s">
        <v>7</v>
      </c>
      <c r="M1860" t="s">
        <v>46</v>
      </c>
      <c r="N1860" s="1">
        <f t="shared" si="174"/>
        <v>45601</v>
      </c>
      <c r="O1860" s="4">
        <f t="shared" si="175"/>
        <v>3.8767923526287836E-2</v>
      </c>
      <c r="P1860">
        <f t="shared" si="176"/>
        <v>1.4765068493150684</v>
      </c>
      <c r="Q1860" s="2">
        <f t="shared" si="177"/>
        <v>9.3726086956521737</v>
      </c>
      <c r="R1860" s="2">
        <f t="shared" si="178"/>
        <v>35.928333333333335</v>
      </c>
      <c r="S1860" s="2">
        <f t="shared" si="179"/>
        <v>8.1644013545484064</v>
      </c>
    </row>
    <row r="1861" spans="1:19" hidden="1">
      <c r="A1861" t="s">
        <v>1914</v>
      </c>
      <c r="B1861" t="s">
        <v>30</v>
      </c>
      <c r="C1861">
        <v>126</v>
      </c>
      <c r="D1861">
        <v>3702</v>
      </c>
      <c r="E1861" s="2">
        <v>222.41</v>
      </c>
      <c r="F1861">
        <v>27</v>
      </c>
      <c r="G1861">
        <v>5</v>
      </c>
      <c r="H1861">
        <v>0.04</v>
      </c>
      <c r="I1861" s="3">
        <v>1489</v>
      </c>
      <c r="J1861" s="1" t="s">
        <v>64</v>
      </c>
      <c r="K1861" t="s">
        <v>31</v>
      </c>
      <c r="L1861" t="s">
        <v>7</v>
      </c>
      <c r="M1861" t="s">
        <v>46</v>
      </c>
      <c r="N1861" s="1">
        <f t="shared" si="174"/>
        <v>45626</v>
      </c>
      <c r="O1861" s="4">
        <f t="shared" si="175"/>
        <v>3.4035656401944892E-2</v>
      </c>
      <c r="P1861">
        <f t="shared" si="176"/>
        <v>1.7651587301587301</v>
      </c>
      <c r="Q1861" s="2">
        <f t="shared" si="177"/>
        <v>8.2374074074074066</v>
      </c>
      <c r="R1861" s="2">
        <f t="shared" si="178"/>
        <v>44.481999999999999</v>
      </c>
      <c r="S1861" s="2">
        <f t="shared" si="179"/>
        <v>6.6948428577851713</v>
      </c>
    </row>
    <row r="1862" spans="1:19" hidden="1">
      <c r="A1862" t="s">
        <v>1915</v>
      </c>
      <c r="B1862" t="s">
        <v>30</v>
      </c>
      <c r="C1862">
        <v>110</v>
      </c>
      <c r="D1862">
        <v>4840</v>
      </c>
      <c r="E1862" s="2">
        <v>184.63</v>
      </c>
      <c r="F1862">
        <v>17</v>
      </c>
      <c r="G1862">
        <v>8</v>
      </c>
      <c r="H1862">
        <v>7.2999999999999995E-2</v>
      </c>
      <c r="I1862" s="3">
        <v>1013</v>
      </c>
      <c r="J1862" s="1">
        <v>45618</v>
      </c>
      <c r="K1862" t="s">
        <v>31</v>
      </c>
      <c r="L1862" t="s">
        <v>8</v>
      </c>
      <c r="M1862" t="s">
        <v>37</v>
      </c>
      <c r="N1862" s="1">
        <f t="shared" si="174"/>
        <v>45618</v>
      </c>
      <c r="O1862" s="4">
        <f t="shared" si="175"/>
        <v>2.2727272727272728E-2</v>
      </c>
      <c r="P1862">
        <f t="shared" si="176"/>
        <v>1.6784545454545454</v>
      </c>
      <c r="Q1862" s="2">
        <f t="shared" si="177"/>
        <v>10.860588235294117</v>
      </c>
      <c r="R1862" s="2">
        <f t="shared" si="178"/>
        <v>23.078749999999999</v>
      </c>
      <c r="S1862" s="2">
        <f t="shared" si="179"/>
        <v>5.4866489736229216</v>
      </c>
    </row>
    <row r="1863" spans="1:19">
      <c r="A1863" t="s">
        <v>1916</v>
      </c>
      <c r="B1863" t="s">
        <v>30</v>
      </c>
      <c r="C1863">
        <v>97</v>
      </c>
      <c r="D1863">
        <v>4425</v>
      </c>
      <c r="E1863" s="2">
        <v>206.41</v>
      </c>
      <c r="F1863">
        <v>10</v>
      </c>
      <c r="G1863">
        <v>5</v>
      </c>
      <c r="H1863">
        <v>4.5999999999999999E-2</v>
      </c>
      <c r="I1863" s="3">
        <v>1219</v>
      </c>
      <c r="J1863" s="1" t="s">
        <v>43</v>
      </c>
      <c r="K1863" t="s">
        <v>31</v>
      </c>
      <c r="L1863" t="s">
        <v>7</v>
      </c>
      <c r="M1863" t="s">
        <v>35</v>
      </c>
      <c r="N1863" s="1">
        <f t="shared" si="174"/>
        <v>45612</v>
      </c>
      <c r="O1863" s="4">
        <f t="shared" si="175"/>
        <v>2.192090395480226E-2</v>
      </c>
      <c r="P1863">
        <f t="shared" si="176"/>
        <v>2.1279381443298968</v>
      </c>
      <c r="Q1863" s="2">
        <f t="shared" si="177"/>
        <v>20.640999999999998</v>
      </c>
      <c r="R1863" s="2">
        <f t="shared" si="178"/>
        <v>41.281999999999996</v>
      </c>
      <c r="S1863" s="2">
        <f t="shared" si="179"/>
        <v>5.9057216220144371</v>
      </c>
    </row>
    <row r="1864" spans="1:19" hidden="1">
      <c r="A1864" t="s">
        <v>1917</v>
      </c>
      <c r="B1864" t="s">
        <v>30</v>
      </c>
      <c r="C1864">
        <v>104</v>
      </c>
      <c r="D1864">
        <v>4213</v>
      </c>
      <c r="E1864" s="2">
        <v>202.54</v>
      </c>
      <c r="F1864">
        <v>21</v>
      </c>
      <c r="G1864">
        <v>8</v>
      </c>
      <c r="H1864">
        <v>7.6999999999999999E-2</v>
      </c>
      <c r="I1864" s="3">
        <v>1065</v>
      </c>
      <c r="J1864" s="1">
        <v>45622</v>
      </c>
      <c r="K1864" t="s">
        <v>31</v>
      </c>
      <c r="L1864" t="s">
        <v>9</v>
      </c>
      <c r="M1864" t="s">
        <v>35</v>
      </c>
      <c r="N1864" s="1">
        <f t="shared" si="174"/>
        <v>45622</v>
      </c>
      <c r="O1864" s="4">
        <f t="shared" si="175"/>
        <v>2.4685497270353667E-2</v>
      </c>
      <c r="P1864">
        <f t="shared" si="176"/>
        <v>1.9475</v>
      </c>
      <c r="Q1864" s="2">
        <f t="shared" si="177"/>
        <v>9.6447619047619035</v>
      </c>
      <c r="R1864" s="2">
        <f t="shared" si="178"/>
        <v>25.317499999999999</v>
      </c>
      <c r="S1864" s="2">
        <f t="shared" si="179"/>
        <v>5.2582205984003165</v>
      </c>
    </row>
    <row r="1865" spans="1:19" hidden="1">
      <c r="A1865" t="s">
        <v>1918</v>
      </c>
      <c r="B1865" t="s">
        <v>30</v>
      </c>
      <c r="C1865">
        <v>176</v>
      </c>
      <c r="D1865">
        <v>5010</v>
      </c>
      <c r="E1865" s="2">
        <v>205.47</v>
      </c>
      <c r="F1865">
        <v>18</v>
      </c>
      <c r="G1865">
        <v>10</v>
      </c>
      <c r="H1865">
        <v>5.7000000000000002E-2</v>
      </c>
      <c r="I1865" s="3">
        <v>1709</v>
      </c>
      <c r="J1865" s="1">
        <v>45620</v>
      </c>
      <c r="K1865" t="s">
        <v>31</v>
      </c>
      <c r="L1865" t="s">
        <v>9</v>
      </c>
      <c r="M1865" t="s">
        <v>35</v>
      </c>
      <c r="N1865" s="1">
        <f t="shared" si="174"/>
        <v>45620</v>
      </c>
      <c r="O1865" s="4">
        <f t="shared" si="175"/>
        <v>3.5129740518962074E-2</v>
      </c>
      <c r="P1865">
        <f t="shared" si="176"/>
        <v>1.1674431818181819</v>
      </c>
      <c r="Q1865" s="2">
        <f t="shared" si="177"/>
        <v>11.414999999999999</v>
      </c>
      <c r="R1865" s="2">
        <f t="shared" si="178"/>
        <v>20.547000000000001</v>
      </c>
      <c r="S1865" s="2">
        <f t="shared" si="179"/>
        <v>8.3175159390665296</v>
      </c>
    </row>
    <row r="1866" spans="1:19">
      <c r="A1866" t="s">
        <v>1919</v>
      </c>
      <c r="B1866" t="s">
        <v>30</v>
      </c>
      <c r="C1866">
        <v>91</v>
      </c>
      <c r="D1866">
        <v>4045</v>
      </c>
      <c r="E1866" s="2">
        <v>225.82</v>
      </c>
      <c r="F1866">
        <v>12</v>
      </c>
      <c r="G1866">
        <v>7</v>
      </c>
      <c r="H1866">
        <v>4.5999999999999999E-2</v>
      </c>
      <c r="I1866" s="3">
        <v>1828</v>
      </c>
      <c r="J1866" s="1">
        <v>45609</v>
      </c>
      <c r="K1866" t="s">
        <v>31</v>
      </c>
      <c r="L1866" t="s">
        <v>9</v>
      </c>
      <c r="M1866" t="s">
        <v>41</v>
      </c>
      <c r="N1866" s="1">
        <f t="shared" si="174"/>
        <v>45609</v>
      </c>
      <c r="O1866" s="4">
        <f t="shared" si="175"/>
        <v>2.249690976514215E-2</v>
      </c>
      <c r="P1866">
        <f t="shared" si="176"/>
        <v>2.4815384615384612</v>
      </c>
      <c r="Q1866" s="2">
        <f t="shared" si="177"/>
        <v>18.818333333333332</v>
      </c>
      <c r="R1866" s="2">
        <f t="shared" si="178"/>
        <v>32.26</v>
      </c>
      <c r="S1866" s="2">
        <f t="shared" si="179"/>
        <v>8.0949428748560806</v>
      </c>
    </row>
    <row r="1867" spans="1:19" hidden="1">
      <c r="A1867" t="s">
        <v>1920</v>
      </c>
      <c r="B1867" t="s">
        <v>30</v>
      </c>
      <c r="C1867">
        <v>167</v>
      </c>
      <c r="D1867">
        <v>5145</v>
      </c>
      <c r="E1867" s="2">
        <v>183.22</v>
      </c>
      <c r="F1867">
        <v>19</v>
      </c>
      <c r="G1867">
        <v>9</v>
      </c>
      <c r="H1867">
        <v>5.3999999999999999E-2</v>
      </c>
      <c r="I1867" s="3">
        <v>1021</v>
      </c>
      <c r="J1867" s="1">
        <v>45618</v>
      </c>
      <c r="K1867" t="s">
        <v>31</v>
      </c>
      <c r="L1867" t="s">
        <v>7</v>
      </c>
      <c r="M1867" t="s">
        <v>41</v>
      </c>
      <c r="N1867" s="1">
        <f t="shared" si="174"/>
        <v>45618</v>
      </c>
      <c r="O1867" s="4">
        <f t="shared" si="175"/>
        <v>3.2458697764820216E-2</v>
      </c>
      <c r="P1867">
        <f t="shared" si="176"/>
        <v>1.0971257485029939</v>
      </c>
      <c r="Q1867" s="2">
        <f t="shared" si="177"/>
        <v>9.6431578947368415</v>
      </c>
      <c r="R1867" s="2">
        <f t="shared" si="178"/>
        <v>20.357777777777777</v>
      </c>
      <c r="S1867" s="2">
        <f t="shared" si="179"/>
        <v>5.5725357493723395</v>
      </c>
    </row>
    <row r="1868" spans="1:19" hidden="1">
      <c r="A1868" t="s">
        <v>1921</v>
      </c>
      <c r="B1868" t="s">
        <v>30</v>
      </c>
      <c r="C1868">
        <v>132</v>
      </c>
      <c r="D1868">
        <v>3725</v>
      </c>
      <c r="E1868" s="2">
        <v>196.98</v>
      </c>
      <c r="F1868">
        <v>16</v>
      </c>
      <c r="G1868">
        <v>6</v>
      </c>
      <c r="H1868">
        <v>4.4999999999999998E-2</v>
      </c>
      <c r="I1868" s="3">
        <v>1094</v>
      </c>
      <c r="J1868" s="1">
        <v>45597</v>
      </c>
      <c r="K1868" t="s">
        <v>31</v>
      </c>
      <c r="L1868" t="s">
        <v>7</v>
      </c>
      <c r="M1868" t="s">
        <v>46</v>
      </c>
      <c r="N1868" s="1">
        <f t="shared" si="174"/>
        <v>45597</v>
      </c>
      <c r="O1868" s="4">
        <f t="shared" si="175"/>
        <v>3.5436241610738252E-2</v>
      </c>
      <c r="P1868">
        <f t="shared" si="176"/>
        <v>1.4922727272727272</v>
      </c>
      <c r="Q1868" s="2">
        <f t="shared" si="177"/>
        <v>12.311249999999999</v>
      </c>
      <c r="R1868" s="2">
        <f t="shared" si="178"/>
        <v>32.83</v>
      </c>
      <c r="S1868" s="2">
        <f t="shared" si="179"/>
        <v>5.5538633363793277</v>
      </c>
    </row>
    <row r="1869" spans="1:19" hidden="1">
      <c r="A1869" t="s">
        <v>1922</v>
      </c>
      <c r="B1869" t="s">
        <v>30</v>
      </c>
      <c r="C1869">
        <v>93</v>
      </c>
      <c r="D1869">
        <v>4962</v>
      </c>
      <c r="E1869" s="2">
        <v>181.34</v>
      </c>
      <c r="F1869">
        <v>22</v>
      </c>
      <c r="G1869">
        <v>4</v>
      </c>
      <c r="H1869">
        <v>4.2999999999999997E-2</v>
      </c>
      <c r="I1869" s="3">
        <v>1100</v>
      </c>
      <c r="J1869" s="1">
        <v>45626</v>
      </c>
      <c r="K1869" t="s">
        <v>31</v>
      </c>
      <c r="L1869" t="s">
        <v>7</v>
      </c>
      <c r="M1869" t="s">
        <v>46</v>
      </c>
      <c r="N1869" s="1">
        <f t="shared" si="174"/>
        <v>45626</v>
      </c>
      <c r="O1869" s="4">
        <f t="shared" si="175"/>
        <v>1.8742442563482467E-2</v>
      </c>
      <c r="P1869">
        <f t="shared" si="176"/>
        <v>1.9498924731182796</v>
      </c>
      <c r="Q1869" s="2">
        <f t="shared" si="177"/>
        <v>8.2427272727272722</v>
      </c>
      <c r="R1869" s="2">
        <f t="shared" si="178"/>
        <v>45.335000000000001</v>
      </c>
      <c r="S1869" s="2">
        <f t="shared" si="179"/>
        <v>6.065953457593471</v>
      </c>
    </row>
    <row r="1870" spans="1:19" hidden="1">
      <c r="A1870" t="s">
        <v>1923</v>
      </c>
      <c r="B1870" t="s">
        <v>30</v>
      </c>
      <c r="C1870">
        <v>149</v>
      </c>
      <c r="D1870">
        <v>3055</v>
      </c>
      <c r="E1870" s="2">
        <v>228.17</v>
      </c>
      <c r="F1870">
        <v>18</v>
      </c>
      <c r="G1870">
        <v>7</v>
      </c>
      <c r="H1870">
        <v>0.05</v>
      </c>
      <c r="I1870" s="3">
        <v>1382</v>
      </c>
      <c r="J1870" s="1">
        <v>45613</v>
      </c>
      <c r="K1870" t="s">
        <v>31</v>
      </c>
      <c r="L1870" t="s">
        <v>7</v>
      </c>
      <c r="M1870" t="s">
        <v>32</v>
      </c>
      <c r="N1870" s="1">
        <f t="shared" si="174"/>
        <v>45613</v>
      </c>
      <c r="O1870" s="4">
        <f t="shared" si="175"/>
        <v>4.8772504091653027E-2</v>
      </c>
      <c r="P1870">
        <f t="shared" si="176"/>
        <v>1.5313422818791946</v>
      </c>
      <c r="Q1870" s="2">
        <f t="shared" si="177"/>
        <v>12.67611111111111</v>
      </c>
      <c r="R1870" s="2">
        <f t="shared" si="178"/>
        <v>32.595714285714287</v>
      </c>
      <c r="S1870" s="2">
        <f t="shared" si="179"/>
        <v>6.0568874085111979</v>
      </c>
    </row>
    <row r="1871" spans="1:19" hidden="1">
      <c r="A1871" t="s">
        <v>1924</v>
      </c>
      <c r="B1871" t="s">
        <v>30</v>
      </c>
      <c r="C1871">
        <v>184</v>
      </c>
      <c r="D1871">
        <v>4425</v>
      </c>
      <c r="E1871" s="2">
        <v>221.83</v>
      </c>
      <c r="F1871">
        <v>30</v>
      </c>
      <c r="G1871">
        <v>6</v>
      </c>
      <c r="H1871">
        <v>3.3000000000000002E-2</v>
      </c>
      <c r="I1871" s="3">
        <v>1956</v>
      </c>
      <c r="J1871" s="1" t="s">
        <v>217</v>
      </c>
      <c r="K1871" t="s">
        <v>31</v>
      </c>
      <c r="L1871" t="s">
        <v>9</v>
      </c>
      <c r="M1871" t="s">
        <v>37</v>
      </c>
      <c r="N1871" s="1">
        <f t="shared" si="174"/>
        <v>45609</v>
      </c>
      <c r="O1871" s="4">
        <f t="shared" si="175"/>
        <v>4.1581920903954801E-2</v>
      </c>
      <c r="P1871">
        <f t="shared" si="176"/>
        <v>1.2055978260869566</v>
      </c>
      <c r="Q1871" s="2">
        <f t="shared" si="177"/>
        <v>7.3943333333333339</v>
      </c>
      <c r="R1871" s="2">
        <f t="shared" si="178"/>
        <v>36.971666666666671</v>
      </c>
      <c r="S1871" s="2">
        <f t="shared" si="179"/>
        <v>8.8175629986926918</v>
      </c>
    </row>
    <row r="1872" spans="1:19" hidden="1">
      <c r="A1872" t="s">
        <v>1925</v>
      </c>
      <c r="B1872" t="s">
        <v>30</v>
      </c>
      <c r="C1872">
        <v>192</v>
      </c>
      <c r="D1872">
        <v>3755</v>
      </c>
      <c r="E1872" s="2">
        <v>215.57</v>
      </c>
      <c r="F1872">
        <v>16</v>
      </c>
      <c r="G1872">
        <v>4</v>
      </c>
      <c r="H1872">
        <v>2.1000000000000001E-2</v>
      </c>
      <c r="I1872" s="3">
        <v>1805</v>
      </c>
      <c r="J1872" s="1">
        <v>45454</v>
      </c>
      <c r="K1872" t="s">
        <v>31</v>
      </c>
      <c r="L1872" t="s">
        <v>7</v>
      </c>
      <c r="M1872" t="s">
        <v>32</v>
      </c>
      <c r="N1872" s="1">
        <f t="shared" si="174"/>
        <v>45454</v>
      </c>
      <c r="O1872" s="4">
        <f t="shared" si="175"/>
        <v>5.1131824234354195E-2</v>
      </c>
      <c r="P1872">
        <f t="shared" si="176"/>
        <v>1.1227604166666667</v>
      </c>
      <c r="Q1872" s="2">
        <f t="shared" si="177"/>
        <v>13.473125</v>
      </c>
      <c r="R1872" s="2">
        <f t="shared" si="178"/>
        <v>53.892499999999998</v>
      </c>
      <c r="S1872" s="2">
        <f t="shared" si="179"/>
        <v>8.3731502528181103</v>
      </c>
    </row>
    <row r="1873" spans="1:19" hidden="1">
      <c r="A1873" t="s">
        <v>1926</v>
      </c>
      <c r="B1873" t="s">
        <v>30</v>
      </c>
      <c r="C1873">
        <v>115</v>
      </c>
      <c r="D1873">
        <v>4832</v>
      </c>
      <c r="E1873" s="2">
        <v>237.18</v>
      </c>
      <c r="F1873">
        <v>24</v>
      </c>
      <c r="G1873">
        <v>5</v>
      </c>
      <c r="H1873">
        <v>4.2999999999999997E-2</v>
      </c>
      <c r="I1873" s="3">
        <v>1737</v>
      </c>
      <c r="J1873" s="1">
        <v>45619</v>
      </c>
      <c r="K1873" t="s">
        <v>31</v>
      </c>
      <c r="L1873" t="s">
        <v>9</v>
      </c>
      <c r="M1873" t="s">
        <v>37</v>
      </c>
      <c r="N1873" s="1">
        <f t="shared" si="174"/>
        <v>45619</v>
      </c>
      <c r="O1873" s="4">
        <f t="shared" si="175"/>
        <v>2.3799668874172186E-2</v>
      </c>
      <c r="P1873">
        <f t="shared" si="176"/>
        <v>2.0624347826086957</v>
      </c>
      <c r="Q1873" s="2">
        <f t="shared" si="177"/>
        <v>9.8825000000000003</v>
      </c>
      <c r="R1873" s="2">
        <f t="shared" si="178"/>
        <v>47.436</v>
      </c>
      <c r="S1873" s="2">
        <f t="shared" si="179"/>
        <v>7.3235517328611177</v>
      </c>
    </row>
    <row r="1874" spans="1:19" hidden="1">
      <c r="A1874" t="s">
        <v>1927</v>
      </c>
      <c r="B1874" t="s">
        <v>30</v>
      </c>
      <c r="C1874">
        <v>81</v>
      </c>
      <c r="D1874">
        <v>3224</v>
      </c>
      <c r="E1874" s="2">
        <v>239.58</v>
      </c>
      <c r="F1874">
        <v>18</v>
      </c>
      <c r="G1874">
        <v>10</v>
      </c>
      <c r="H1874">
        <v>0.123</v>
      </c>
      <c r="I1874" s="3">
        <v>1229</v>
      </c>
      <c r="J1874" s="1">
        <v>45623</v>
      </c>
      <c r="K1874" t="s">
        <v>31</v>
      </c>
      <c r="L1874" t="s">
        <v>9</v>
      </c>
      <c r="M1874" t="s">
        <v>41</v>
      </c>
      <c r="N1874" s="1">
        <f t="shared" si="174"/>
        <v>45623</v>
      </c>
      <c r="O1874" s="4">
        <f t="shared" si="175"/>
        <v>2.512406947890819E-2</v>
      </c>
      <c r="P1874">
        <f t="shared" si="176"/>
        <v>2.9577777777777778</v>
      </c>
      <c r="Q1874" s="2">
        <f t="shared" si="177"/>
        <v>13.31</v>
      </c>
      <c r="R1874" s="2">
        <f t="shared" si="178"/>
        <v>23.958000000000002</v>
      </c>
      <c r="S1874" s="2">
        <f t="shared" si="179"/>
        <v>5.1298105017113276</v>
      </c>
    </row>
    <row r="1875" spans="1:19" hidden="1">
      <c r="A1875" t="s">
        <v>1928</v>
      </c>
      <c r="B1875" t="s">
        <v>30</v>
      </c>
      <c r="C1875">
        <v>119</v>
      </c>
      <c r="D1875">
        <v>5809</v>
      </c>
      <c r="E1875" s="2">
        <v>224.5</v>
      </c>
      <c r="F1875">
        <v>11</v>
      </c>
      <c r="G1875">
        <v>7</v>
      </c>
      <c r="H1875">
        <v>5.8999999999999997E-2</v>
      </c>
      <c r="I1875" s="3">
        <v>1736</v>
      </c>
      <c r="J1875" s="1" t="s">
        <v>348</v>
      </c>
      <c r="K1875" t="s">
        <v>31</v>
      </c>
      <c r="L1875" t="s">
        <v>8</v>
      </c>
      <c r="M1875" t="s">
        <v>46</v>
      </c>
      <c r="N1875" s="1">
        <f t="shared" si="174"/>
        <v>45615</v>
      </c>
      <c r="O1875" s="4">
        <f t="shared" si="175"/>
        <v>2.0485453606472716E-2</v>
      </c>
      <c r="P1875">
        <f t="shared" si="176"/>
        <v>1.8865546218487395</v>
      </c>
      <c r="Q1875" s="2">
        <f t="shared" si="177"/>
        <v>20.40909090909091</v>
      </c>
      <c r="R1875" s="2">
        <f t="shared" si="178"/>
        <v>32.071428571428569</v>
      </c>
      <c r="S1875" s="2">
        <f t="shared" si="179"/>
        <v>7.7327394209354123</v>
      </c>
    </row>
    <row r="1876" spans="1:19" hidden="1">
      <c r="A1876" t="s">
        <v>1929</v>
      </c>
      <c r="B1876" t="s">
        <v>30</v>
      </c>
      <c r="C1876">
        <v>169</v>
      </c>
      <c r="D1876">
        <v>4027</v>
      </c>
      <c r="E1876" s="2">
        <v>193.86</v>
      </c>
      <c r="F1876">
        <v>22</v>
      </c>
      <c r="G1876">
        <v>4</v>
      </c>
      <c r="H1876">
        <v>3.3000000000000002E-2</v>
      </c>
      <c r="I1876" s="3">
        <v>1387</v>
      </c>
      <c r="J1876" s="1">
        <v>45608</v>
      </c>
      <c r="K1876" t="s">
        <v>31</v>
      </c>
      <c r="L1876" t="s">
        <v>7</v>
      </c>
      <c r="M1876" t="s">
        <v>37</v>
      </c>
      <c r="N1876" s="1">
        <f t="shared" si="174"/>
        <v>45608</v>
      </c>
      <c r="O1876" s="4">
        <f t="shared" si="175"/>
        <v>4.1966724608889991E-2</v>
      </c>
      <c r="P1876">
        <f t="shared" si="176"/>
        <v>1.1471005917159764</v>
      </c>
      <c r="Q1876" s="2">
        <f t="shared" si="177"/>
        <v>8.8118181818181824</v>
      </c>
      <c r="R1876" s="2">
        <f t="shared" si="178"/>
        <v>48.465000000000003</v>
      </c>
      <c r="S1876" s="2">
        <f t="shared" si="179"/>
        <v>7.1546476838955941</v>
      </c>
    </row>
    <row r="1877" spans="1:19" hidden="1">
      <c r="A1877" t="s">
        <v>1930</v>
      </c>
      <c r="B1877" t="s">
        <v>30</v>
      </c>
      <c r="C1877">
        <v>103</v>
      </c>
      <c r="D1877">
        <v>5900</v>
      </c>
      <c r="E1877" s="2">
        <v>231.39</v>
      </c>
      <c r="F1877">
        <v>24</v>
      </c>
      <c r="G1877">
        <v>10</v>
      </c>
      <c r="H1877">
        <v>9.7000000000000003E-2</v>
      </c>
      <c r="I1877" s="3">
        <v>1963</v>
      </c>
      <c r="J1877" s="1">
        <v>45598</v>
      </c>
      <c r="K1877" t="s">
        <v>31</v>
      </c>
      <c r="L1877" t="s">
        <v>8</v>
      </c>
      <c r="M1877" t="s">
        <v>39</v>
      </c>
      <c r="N1877" s="1">
        <f t="shared" si="174"/>
        <v>45598</v>
      </c>
      <c r="O1877" s="4">
        <f t="shared" si="175"/>
        <v>1.7457627118644067E-2</v>
      </c>
      <c r="P1877">
        <f t="shared" si="176"/>
        <v>2.2465048543689319</v>
      </c>
      <c r="Q1877" s="2">
        <f t="shared" si="177"/>
        <v>9.6412499999999994</v>
      </c>
      <c r="R1877" s="2">
        <f t="shared" si="178"/>
        <v>23.138999999999999</v>
      </c>
      <c r="S1877" s="2">
        <f t="shared" si="179"/>
        <v>8.4835126842128012</v>
      </c>
    </row>
    <row r="1878" spans="1:19" hidden="1">
      <c r="A1878" t="s">
        <v>1931</v>
      </c>
      <c r="B1878" t="s">
        <v>30</v>
      </c>
      <c r="C1878">
        <v>90</v>
      </c>
      <c r="D1878">
        <v>3518</v>
      </c>
      <c r="E1878" s="2">
        <v>216.8</v>
      </c>
      <c r="F1878">
        <v>21</v>
      </c>
      <c r="G1878">
        <v>4</v>
      </c>
      <c r="H1878">
        <v>4.3999999999999997E-2</v>
      </c>
      <c r="I1878" s="3">
        <v>1781</v>
      </c>
      <c r="J1878" s="1" t="s">
        <v>111</v>
      </c>
      <c r="K1878" t="s">
        <v>31</v>
      </c>
      <c r="L1878" t="s">
        <v>8</v>
      </c>
      <c r="M1878" t="s">
        <v>32</v>
      </c>
      <c r="N1878" s="1">
        <f t="shared" si="174"/>
        <v>45619</v>
      </c>
      <c r="O1878" s="4">
        <f t="shared" si="175"/>
        <v>2.5582717453098352E-2</v>
      </c>
      <c r="P1878">
        <f t="shared" si="176"/>
        <v>2.4088888888888889</v>
      </c>
      <c r="Q1878" s="2">
        <f t="shared" si="177"/>
        <v>10.323809523809524</v>
      </c>
      <c r="R1878" s="2">
        <f t="shared" si="178"/>
        <v>54.2</v>
      </c>
      <c r="S1878" s="2">
        <f t="shared" si="179"/>
        <v>8.2149446494464939</v>
      </c>
    </row>
    <row r="1879" spans="1:19">
      <c r="A1879" t="s">
        <v>1932</v>
      </c>
      <c r="B1879" t="s">
        <v>30</v>
      </c>
      <c r="C1879">
        <v>184</v>
      </c>
      <c r="D1879">
        <v>4238</v>
      </c>
      <c r="E1879" s="2">
        <v>228.49</v>
      </c>
      <c r="F1879">
        <v>26</v>
      </c>
      <c r="G1879">
        <v>10</v>
      </c>
      <c r="H1879">
        <v>4.5999999999999999E-2</v>
      </c>
      <c r="I1879" s="3">
        <v>1003</v>
      </c>
      <c r="J1879" s="1">
        <v>45605</v>
      </c>
      <c r="K1879" t="s">
        <v>31</v>
      </c>
      <c r="L1879" t="s">
        <v>9</v>
      </c>
      <c r="M1879" t="s">
        <v>32</v>
      </c>
      <c r="N1879" s="1">
        <f t="shared" si="174"/>
        <v>45605</v>
      </c>
      <c r="O1879" s="4">
        <f t="shared" si="175"/>
        <v>4.3416705993393111E-2</v>
      </c>
      <c r="P1879">
        <f t="shared" si="176"/>
        <v>1.2417934782608697</v>
      </c>
      <c r="Q1879" s="2">
        <f t="shared" si="177"/>
        <v>8.7880769230769236</v>
      </c>
      <c r="R1879" s="2">
        <f t="shared" si="178"/>
        <v>22.849</v>
      </c>
      <c r="S1879" s="2">
        <f t="shared" si="179"/>
        <v>4.389688826644492</v>
      </c>
    </row>
    <row r="1880" spans="1:19" hidden="1">
      <c r="A1880" t="s">
        <v>1933</v>
      </c>
      <c r="B1880" t="s">
        <v>30</v>
      </c>
      <c r="C1880">
        <v>143</v>
      </c>
      <c r="D1880">
        <v>5160</v>
      </c>
      <c r="E1880" s="2">
        <v>248.04</v>
      </c>
      <c r="F1880">
        <v>21</v>
      </c>
      <c r="G1880">
        <v>10</v>
      </c>
      <c r="H1880">
        <v>3.7999999999999999E-2</v>
      </c>
      <c r="I1880" s="3">
        <v>1780</v>
      </c>
      <c r="J1880" s="1" t="s">
        <v>206</v>
      </c>
      <c r="K1880" t="s">
        <v>31</v>
      </c>
      <c r="L1880" t="s">
        <v>8</v>
      </c>
      <c r="M1880" t="s">
        <v>37</v>
      </c>
      <c r="N1880" s="1">
        <f t="shared" si="174"/>
        <v>45621</v>
      </c>
      <c r="O1880" s="4">
        <f t="shared" si="175"/>
        <v>2.7713178294573645E-2</v>
      </c>
      <c r="P1880">
        <f t="shared" si="176"/>
        <v>1.7345454545454544</v>
      </c>
      <c r="Q1880" s="2">
        <f t="shared" si="177"/>
        <v>11.811428571428571</v>
      </c>
      <c r="R1880" s="2">
        <f t="shared" si="178"/>
        <v>24.803999999999998</v>
      </c>
      <c r="S1880" s="2">
        <f t="shared" si="179"/>
        <v>7.1762618932430255</v>
      </c>
    </row>
    <row r="1881" spans="1:19" hidden="1">
      <c r="A1881" t="s">
        <v>1934</v>
      </c>
      <c r="B1881" t="s">
        <v>30</v>
      </c>
      <c r="C1881">
        <v>123</v>
      </c>
      <c r="D1881">
        <v>4753</v>
      </c>
      <c r="E1881" s="2">
        <v>203.59</v>
      </c>
      <c r="F1881">
        <v>29</v>
      </c>
      <c r="G1881">
        <v>10</v>
      </c>
      <c r="H1881">
        <v>8.1000000000000003E-2</v>
      </c>
      <c r="I1881" s="3">
        <v>1959</v>
      </c>
      <c r="J1881" s="1">
        <v>45611</v>
      </c>
      <c r="K1881" t="s">
        <v>31</v>
      </c>
      <c r="L1881" t="s">
        <v>8</v>
      </c>
      <c r="M1881" t="s">
        <v>39</v>
      </c>
      <c r="N1881" s="1">
        <f t="shared" si="174"/>
        <v>45611</v>
      </c>
      <c r="O1881" s="4">
        <f t="shared" si="175"/>
        <v>2.5878392594151062E-2</v>
      </c>
      <c r="P1881">
        <f t="shared" si="176"/>
        <v>1.6552032520325204</v>
      </c>
      <c r="Q1881" s="2">
        <f t="shared" si="177"/>
        <v>7.0203448275862073</v>
      </c>
      <c r="R1881" s="2">
        <f t="shared" si="178"/>
        <v>20.359000000000002</v>
      </c>
      <c r="S1881" s="2">
        <f t="shared" si="179"/>
        <v>9.6222800726951228</v>
      </c>
    </row>
    <row r="1882" spans="1:19" hidden="1">
      <c r="A1882" t="s">
        <v>1935</v>
      </c>
      <c r="B1882" t="s">
        <v>30</v>
      </c>
      <c r="C1882">
        <v>155</v>
      </c>
      <c r="D1882">
        <v>4969</v>
      </c>
      <c r="E1882" s="2">
        <v>190.87</v>
      </c>
      <c r="F1882">
        <v>25</v>
      </c>
      <c r="G1882">
        <v>5</v>
      </c>
      <c r="H1882">
        <v>3.2000000000000001E-2</v>
      </c>
      <c r="I1882" s="3">
        <v>1807</v>
      </c>
      <c r="J1882" s="1">
        <v>45624</v>
      </c>
      <c r="K1882" t="s">
        <v>31</v>
      </c>
      <c r="L1882" t="s">
        <v>9</v>
      </c>
      <c r="M1882" t="s">
        <v>39</v>
      </c>
      <c r="N1882" s="1">
        <f t="shared" si="174"/>
        <v>45624</v>
      </c>
      <c r="O1882" s="4">
        <f t="shared" si="175"/>
        <v>3.1193399074260414E-2</v>
      </c>
      <c r="P1882">
        <f t="shared" si="176"/>
        <v>1.2314193548387098</v>
      </c>
      <c r="Q1882" s="2">
        <f t="shared" si="177"/>
        <v>7.6348000000000003</v>
      </c>
      <c r="R1882" s="2">
        <f t="shared" si="178"/>
        <v>38.173999999999999</v>
      </c>
      <c r="S1882" s="2">
        <f t="shared" si="179"/>
        <v>9.467176612353958</v>
      </c>
    </row>
    <row r="1883" spans="1:19" hidden="1">
      <c r="A1883" t="s">
        <v>1936</v>
      </c>
      <c r="B1883" t="s">
        <v>30</v>
      </c>
      <c r="C1883">
        <v>140</v>
      </c>
      <c r="D1883">
        <v>4415</v>
      </c>
      <c r="E1883" s="2">
        <v>240.95</v>
      </c>
      <c r="F1883">
        <v>13</v>
      </c>
      <c r="G1883">
        <v>8</v>
      </c>
      <c r="H1883">
        <v>5.7000000000000002E-2</v>
      </c>
      <c r="I1883" s="3">
        <v>1579</v>
      </c>
      <c r="J1883" s="1">
        <v>45608</v>
      </c>
      <c r="K1883" t="s">
        <v>31</v>
      </c>
      <c r="L1883" t="s">
        <v>8</v>
      </c>
      <c r="M1883" t="s">
        <v>39</v>
      </c>
      <c r="N1883" s="1">
        <f t="shared" si="174"/>
        <v>45608</v>
      </c>
      <c r="O1883" s="4">
        <f t="shared" si="175"/>
        <v>3.1710079275198186E-2</v>
      </c>
      <c r="P1883">
        <f t="shared" si="176"/>
        <v>1.7210714285714286</v>
      </c>
      <c r="Q1883" s="2">
        <f t="shared" si="177"/>
        <v>18.534615384615385</v>
      </c>
      <c r="R1883" s="2">
        <f t="shared" si="178"/>
        <v>30.118749999999999</v>
      </c>
      <c r="S1883" s="2">
        <f t="shared" si="179"/>
        <v>6.5532268105416067</v>
      </c>
    </row>
    <row r="1884" spans="1:19">
      <c r="A1884" t="s">
        <v>1937</v>
      </c>
      <c r="B1884" t="s">
        <v>30</v>
      </c>
      <c r="C1884">
        <v>110</v>
      </c>
      <c r="D1884">
        <v>3931</v>
      </c>
      <c r="E1884" s="2">
        <v>193.32</v>
      </c>
      <c r="F1884">
        <v>20</v>
      </c>
      <c r="G1884">
        <v>4</v>
      </c>
      <c r="H1884">
        <v>4.5999999999999999E-2</v>
      </c>
      <c r="I1884" s="3">
        <v>1088</v>
      </c>
      <c r="J1884" s="1">
        <v>45610</v>
      </c>
      <c r="K1884" t="s">
        <v>31</v>
      </c>
      <c r="L1884" t="s">
        <v>8</v>
      </c>
      <c r="M1884" t="s">
        <v>39</v>
      </c>
      <c r="N1884" s="1">
        <f t="shared" si="174"/>
        <v>45610</v>
      </c>
      <c r="O1884" s="4">
        <f t="shared" si="175"/>
        <v>2.7982701602645637E-2</v>
      </c>
      <c r="P1884">
        <f t="shared" si="176"/>
        <v>1.7574545454545454</v>
      </c>
      <c r="Q1884" s="2">
        <f t="shared" si="177"/>
        <v>9.6660000000000004</v>
      </c>
      <c r="R1884" s="2">
        <f t="shared" si="178"/>
        <v>48.33</v>
      </c>
      <c r="S1884" s="2">
        <f t="shared" si="179"/>
        <v>5.6279743430581419</v>
      </c>
    </row>
    <row r="1885" spans="1:19" hidden="1">
      <c r="A1885" t="s">
        <v>1938</v>
      </c>
      <c r="B1885" t="s">
        <v>30</v>
      </c>
      <c r="C1885">
        <v>103</v>
      </c>
      <c r="D1885">
        <v>4409</v>
      </c>
      <c r="E1885" s="2">
        <v>246.87</v>
      </c>
      <c r="F1885">
        <v>18</v>
      </c>
      <c r="G1885">
        <v>8</v>
      </c>
      <c r="H1885">
        <v>7.8E-2</v>
      </c>
      <c r="I1885" s="3">
        <v>1136</v>
      </c>
      <c r="J1885" s="1">
        <v>45620</v>
      </c>
      <c r="K1885" t="s">
        <v>31</v>
      </c>
      <c r="L1885" t="s">
        <v>7</v>
      </c>
      <c r="M1885" t="s">
        <v>41</v>
      </c>
      <c r="N1885" s="1">
        <f t="shared" si="174"/>
        <v>45620</v>
      </c>
      <c r="O1885" s="4">
        <f t="shared" si="175"/>
        <v>2.3361306418689044E-2</v>
      </c>
      <c r="P1885">
        <f t="shared" si="176"/>
        <v>2.3967961165048544</v>
      </c>
      <c r="Q1885" s="2">
        <f t="shared" si="177"/>
        <v>13.715</v>
      </c>
      <c r="R1885" s="2">
        <f t="shared" si="178"/>
        <v>30.858750000000001</v>
      </c>
      <c r="S1885" s="2">
        <f t="shared" si="179"/>
        <v>4.6016121845505733</v>
      </c>
    </row>
    <row r="1886" spans="1:19" hidden="1">
      <c r="A1886" t="s">
        <v>1939</v>
      </c>
      <c r="B1886" t="s">
        <v>30</v>
      </c>
      <c r="C1886">
        <v>127</v>
      </c>
      <c r="D1886">
        <v>5064</v>
      </c>
      <c r="E1886" s="2">
        <v>195.07</v>
      </c>
      <c r="F1886">
        <v>22</v>
      </c>
      <c r="G1886">
        <v>10</v>
      </c>
      <c r="H1886">
        <v>7.9000000000000001E-2</v>
      </c>
      <c r="I1886" s="3">
        <v>1521</v>
      </c>
      <c r="J1886" s="1">
        <v>45612</v>
      </c>
      <c r="K1886" t="s">
        <v>31</v>
      </c>
      <c r="L1886" t="s">
        <v>8</v>
      </c>
      <c r="M1886" t="s">
        <v>32</v>
      </c>
      <c r="N1886" s="1">
        <f t="shared" si="174"/>
        <v>45612</v>
      </c>
      <c r="O1886" s="4">
        <f t="shared" si="175"/>
        <v>2.5078988941548183E-2</v>
      </c>
      <c r="P1886">
        <f t="shared" si="176"/>
        <v>1.5359842519685039</v>
      </c>
      <c r="Q1886" s="2">
        <f t="shared" si="177"/>
        <v>8.8668181818181822</v>
      </c>
      <c r="R1886" s="2">
        <f t="shared" si="178"/>
        <v>19.506999999999998</v>
      </c>
      <c r="S1886" s="2">
        <f t="shared" si="179"/>
        <v>7.79720100476752</v>
      </c>
    </row>
    <row r="1887" spans="1:19" hidden="1">
      <c r="A1887" t="s">
        <v>1940</v>
      </c>
      <c r="B1887" t="s">
        <v>30</v>
      </c>
      <c r="C1887">
        <v>151</v>
      </c>
      <c r="D1887">
        <v>3905</v>
      </c>
      <c r="E1887" s="2">
        <v>191.4</v>
      </c>
      <c r="F1887">
        <v>20</v>
      </c>
      <c r="G1887">
        <v>10</v>
      </c>
      <c r="H1887">
        <v>4.8000000000000001E-2</v>
      </c>
      <c r="I1887" s="3">
        <v>1342</v>
      </c>
      <c r="J1887" s="1">
        <v>45626</v>
      </c>
      <c r="K1887" t="s">
        <v>31</v>
      </c>
      <c r="L1887" t="s">
        <v>7</v>
      </c>
      <c r="M1887" t="s">
        <v>35</v>
      </c>
      <c r="N1887" s="1">
        <f t="shared" si="174"/>
        <v>45626</v>
      </c>
      <c r="O1887" s="4">
        <f t="shared" si="175"/>
        <v>3.8668373879641484E-2</v>
      </c>
      <c r="P1887">
        <f t="shared" si="176"/>
        <v>1.2675496688741723</v>
      </c>
      <c r="Q1887" s="2">
        <f t="shared" si="177"/>
        <v>9.57</v>
      </c>
      <c r="R1887" s="2">
        <f t="shared" si="178"/>
        <v>19.14</v>
      </c>
      <c r="S1887" s="2">
        <f t="shared" si="179"/>
        <v>7.0114942528735629</v>
      </c>
    </row>
    <row r="1888" spans="1:19" hidden="1">
      <c r="A1888" t="s">
        <v>1941</v>
      </c>
      <c r="B1888" t="s">
        <v>30</v>
      </c>
      <c r="C1888">
        <v>191</v>
      </c>
      <c r="D1888">
        <v>4710</v>
      </c>
      <c r="E1888" s="2">
        <v>214.24</v>
      </c>
      <c r="F1888">
        <v>15</v>
      </c>
      <c r="G1888">
        <v>6</v>
      </c>
      <c r="H1888">
        <v>4.2000000000000003E-2</v>
      </c>
      <c r="I1888" s="3">
        <v>1080</v>
      </c>
      <c r="J1888" s="1">
        <v>45423</v>
      </c>
      <c r="K1888" t="s">
        <v>31</v>
      </c>
      <c r="L1888" t="s">
        <v>7</v>
      </c>
      <c r="M1888" t="s">
        <v>35</v>
      </c>
      <c r="N1888" s="1">
        <f t="shared" si="174"/>
        <v>45423</v>
      </c>
      <c r="O1888" s="4">
        <f t="shared" si="175"/>
        <v>4.0552016985138002E-2</v>
      </c>
      <c r="P1888">
        <f t="shared" si="176"/>
        <v>1.121675392670157</v>
      </c>
      <c r="Q1888" s="2">
        <f t="shared" si="177"/>
        <v>14.282666666666668</v>
      </c>
      <c r="R1888" s="2">
        <f t="shared" si="178"/>
        <v>35.706666666666671</v>
      </c>
      <c r="S1888" s="2">
        <f t="shared" si="179"/>
        <v>5.0410754294249438</v>
      </c>
    </row>
    <row r="1889" spans="1:19">
      <c r="A1889" t="s">
        <v>1942</v>
      </c>
      <c r="B1889" t="s">
        <v>30</v>
      </c>
      <c r="C1889">
        <v>177</v>
      </c>
      <c r="D1889">
        <v>3869</v>
      </c>
      <c r="E1889" s="2">
        <v>198.88</v>
      </c>
      <c r="F1889">
        <v>23</v>
      </c>
      <c r="G1889">
        <v>4</v>
      </c>
      <c r="H1889">
        <v>4.5999999999999999E-2</v>
      </c>
      <c r="I1889" s="3">
        <v>1909</v>
      </c>
      <c r="J1889" s="1">
        <v>45600</v>
      </c>
      <c r="K1889" t="s">
        <v>31</v>
      </c>
      <c r="L1889" t="s">
        <v>7</v>
      </c>
      <c r="M1889" t="s">
        <v>35</v>
      </c>
      <c r="N1889" s="1">
        <f t="shared" si="174"/>
        <v>45600</v>
      </c>
      <c r="O1889" s="4">
        <f t="shared" si="175"/>
        <v>4.5748255363142934E-2</v>
      </c>
      <c r="P1889">
        <f t="shared" si="176"/>
        <v>1.1236158192090395</v>
      </c>
      <c r="Q1889" s="2">
        <f t="shared" si="177"/>
        <v>8.6469565217391295</v>
      </c>
      <c r="R1889" s="2">
        <f t="shared" si="178"/>
        <v>49.72</v>
      </c>
      <c r="S1889" s="2">
        <f t="shared" si="179"/>
        <v>9.5987530168946105</v>
      </c>
    </row>
    <row r="1890" spans="1:19" hidden="1">
      <c r="A1890" t="s">
        <v>1943</v>
      </c>
      <c r="B1890" t="s">
        <v>30</v>
      </c>
      <c r="C1890">
        <v>122</v>
      </c>
      <c r="D1890">
        <v>3760</v>
      </c>
      <c r="E1890" s="2">
        <v>233.47</v>
      </c>
      <c r="F1890">
        <v>22</v>
      </c>
      <c r="G1890">
        <v>7</v>
      </c>
      <c r="H1890">
        <v>5.7000000000000002E-2</v>
      </c>
      <c r="I1890" s="3">
        <v>1785</v>
      </c>
      <c r="J1890" s="1">
        <v>45612</v>
      </c>
      <c r="K1890" t="s">
        <v>31</v>
      </c>
      <c r="L1890" t="s">
        <v>7</v>
      </c>
      <c r="M1890" t="s">
        <v>46</v>
      </c>
      <c r="N1890" s="1">
        <f t="shared" si="174"/>
        <v>45612</v>
      </c>
      <c r="O1890" s="4">
        <f t="shared" si="175"/>
        <v>3.2446808510638296E-2</v>
      </c>
      <c r="P1890">
        <f t="shared" si="176"/>
        <v>1.913688524590164</v>
      </c>
      <c r="Q1890" s="2">
        <f t="shared" si="177"/>
        <v>10.612272727272726</v>
      </c>
      <c r="R1890" s="2">
        <f t="shared" si="178"/>
        <v>33.35285714285714</v>
      </c>
      <c r="S1890" s="2">
        <f t="shared" si="179"/>
        <v>7.6455219085963932</v>
      </c>
    </row>
    <row r="1891" spans="1:19" hidden="1">
      <c r="A1891" t="s">
        <v>1944</v>
      </c>
      <c r="B1891" t="s">
        <v>30</v>
      </c>
      <c r="C1891">
        <v>99</v>
      </c>
      <c r="D1891">
        <v>3979</v>
      </c>
      <c r="E1891" s="2">
        <v>188.54</v>
      </c>
      <c r="F1891">
        <v>16</v>
      </c>
      <c r="G1891">
        <v>4</v>
      </c>
      <c r="H1891">
        <v>0.04</v>
      </c>
      <c r="I1891" s="3">
        <v>1244</v>
      </c>
      <c r="J1891" s="1">
        <v>45616</v>
      </c>
      <c r="K1891" t="s">
        <v>31</v>
      </c>
      <c r="L1891" t="s">
        <v>9</v>
      </c>
      <c r="M1891" t="s">
        <v>39</v>
      </c>
      <c r="N1891" s="1">
        <f t="shared" si="174"/>
        <v>45616</v>
      </c>
      <c r="O1891" s="4">
        <f t="shared" si="175"/>
        <v>2.488062327217894E-2</v>
      </c>
      <c r="P1891">
        <f t="shared" si="176"/>
        <v>1.9044444444444444</v>
      </c>
      <c r="Q1891" s="2">
        <f t="shared" si="177"/>
        <v>11.78375</v>
      </c>
      <c r="R1891" s="2">
        <f t="shared" si="178"/>
        <v>47.134999999999998</v>
      </c>
      <c r="S1891" s="2">
        <f t="shared" si="179"/>
        <v>6.5980693751988975</v>
      </c>
    </row>
    <row r="1892" spans="1:19">
      <c r="A1892" t="s">
        <v>1945</v>
      </c>
      <c r="B1892" t="s">
        <v>30</v>
      </c>
      <c r="C1892">
        <v>139</v>
      </c>
      <c r="D1892">
        <v>3027</v>
      </c>
      <c r="E1892" s="2">
        <v>205.67</v>
      </c>
      <c r="F1892">
        <v>20</v>
      </c>
      <c r="G1892">
        <v>7</v>
      </c>
      <c r="H1892">
        <v>4.5999999999999999E-2</v>
      </c>
      <c r="I1892" s="3">
        <v>1593</v>
      </c>
      <c r="J1892" s="1">
        <v>45603</v>
      </c>
      <c r="K1892" t="s">
        <v>31</v>
      </c>
      <c r="L1892" t="s">
        <v>9</v>
      </c>
      <c r="M1892" t="s">
        <v>32</v>
      </c>
      <c r="N1892" s="1">
        <f t="shared" si="174"/>
        <v>45603</v>
      </c>
      <c r="O1892" s="4">
        <f t="shared" si="175"/>
        <v>4.5920052857614801E-2</v>
      </c>
      <c r="P1892">
        <f t="shared" si="176"/>
        <v>1.4796402877697841</v>
      </c>
      <c r="Q1892" s="2">
        <f t="shared" si="177"/>
        <v>10.2835</v>
      </c>
      <c r="R1892" s="2">
        <f t="shared" si="178"/>
        <v>29.381428571428568</v>
      </c>
      <c r="S1892" s="2">
        <f t="shared" si="179"/>
        <v>7.7454174162493317</v>
      </c>
    </row>
    <row r="1893" spans="1:19" hidden="1">
      <c r="A1893" t="s">
        <v>1946</v>
      </c>
      <c r="B1893" t="s">
        <v>30</v>
      </c>
      <c r="C1893">
        <v>114</v>
      </c>
      <c r="D1893">
        <v>4540</v>
      </c>
      <c r="E1893" s="2">
        <v>185.04</v>
      </c>
      <c r="F1893">
        <v>10</v>
      </c>
      <c r="G1893">
        <v>4</v>
      </c>
      <c r="H1893">
        <v>3.5000000000000003E-2</v>
      </c>
      <c r="I1893" s="3">
        <v>1561</v>
      </c>
      <c r="J1893" s="1">
        <v>45624</v>
      </c>
      <c r="K1893" t="s">
        <v>31</v>
      </c>
      <c r="L1893" t="s">
        <v>8</v>
      </c>
      <c r="M1893" t="s">
        <v>35</v>
      </c>
      <c r="N1893" s="1">
        <f t="shared" si="174"/>
        <v>45624</v>
      </c>
      <c r="O1893" s="4">
        <f t="shared" si="175"/>
        <v>2.5110132158590308E-2</v>
      </c>
      <c r="P1893">
        <f t="shared" si="176"/>
        <v>1.6231578947368421</v>
      </c>
      <c r="Q1893" s="2">
        <f t="shared" si="177"/>
        <v>18.503999999999998</v>
      </c>
      <c r="R1893" s="2">
        <f t="shared" si="178"/>
        <v>46.26</v>
      </c>
      <c r="S1893" s="2">
        <f t="shared" si="179"/>
        <v>8.4360138348465199</v>
      </c>
    </row>
    <row r="1894" spans="1:19" hidden="1">
      <c r="A1894" t="s">
        <v>1947</v>
      </c>
      <c r="B1894" t="s">
        <v>30</v>
      </c>
      <c r="C1894">
        <v>92</v>
      </c>
      <c r="D1894">
        <v>4466</v>
      </c>
      <c r="E1894" s="2">
        <v>244.46</v>
      </c>
      <c r="F1894">
        <v>18</v>
      </c>
      <c r="G1894">
        <v>6</v>
      </c>
      <c r="H1894">
        <v>3.9E-2</v>
      </c>
      <c r="I1894" s="3">
        <v>1912</v>
      </c>
      <c r="J1894" s="1">
        <v>45603</v>
      </c>
      <c r="K1894" t="s">
        <v>31</v>
      </c>
      <c r="L1894" t="s">
        <v>7</v>
      </c>
      <c r="M1894" t="s">
        <v>32</v>
      </c>
      <c r="N1894" s="1">
        <f t="shared" si="174"/>
        <v>45603</v>
      </c>
      <c r="O1894" s="4">
        <f t="shared" si="175"/>
        <v>2.0600089565606806E-2</v>
      </c>
      <c r="P1894">
        <f t="shared" si="176"/>
        <v>2.6571739130434784</v>
      </c>
      <c r="Q1894" s="2">
        <f t="shared" si="177"/>
        <v>13.581111111111111</v>
      </c>
      <c r="R1894" s="2">
        <f t="shared" si="178"/>
        <v>40.743333333333332</v>
      </c>
      <c r="S1894" s="2">
        <f t="shared" si="179"/>
        <v>7.8213204614251817</v>
      </c>
    </row>
    <row r="1895" spans="1:19">
      <c r="A1895" t="s">
        <v>1948</v>
      </c>
      <c r="B1895" t="s">
        <v>30</v>
      </c>
      <c r="C1895">
        <v>139</v>
      </c>
      <c r="D1895">
        <v>4865</v>
      </c>
      <c r="E1895" s="2">
        <v>206.18</v>
      </c>
      <c r="F1895">
        <v>25</v>
      </c>
      <c r="G1895">
        <v>9</v>
      </c>
      <c r="H1895">
        <v>4.5999999999999999E-2</v>
      </c>
      <c r="I1895" s="3">
        <v>1836</v>
      </c>
      <c r="J1895" s="1">
        <v>45515</v>
      </c>
      <c r="K1895" t="s">
        <v>31</v>
      </c>
      <c r="L1895" t="s">
        <v>7</v>
      </c>
      <c r="M1895" t="s">
        <v>37</v>
      </c>
      <c r="N1895" s="1">
        <f t="shared" si="174"/>
        <v>45515</v>
      </c>
      <c r="O1895" s="4">
        <f t="shared" si="175"/>
        <v>2.8571428571428571E-2</v>
      </c>
      <c r="P1895">
        <f t="shared" si="176"/>
        <v>1.4833093525179857</v>
      </c>
      <c r="Q1895" s="2">
        <f t="shared" si="177"/>
        <v>8.2471999999999994</v>
      </c>
      <c r="R1895" s="2">
        <f t="shared" si="178"/>
        <v>22.908888888888889</v>
      </c>
      <c r="S1895" s="2">
        <f t="shared" si="179"/>
        <v>8.9048404306916282</v>
      </c>
    </row>
    <row r="1896" spans="1:19">
      <c r="A1896" t="s">
        <v>1949</v>
      </c>
      <c r="B1896" t="s">
        <v>30</v>
      </c>
      <c r="C1896">
        <v>157</v>
      </c>
      <c r="D1896">
        <v>5890</v>
      </c>
      <c r="E1896" s="2">
        <v>221.53</v>
      </c>
      <c r="F1896">
        <v>27</v>
      </c>
      <c r="G1896">
        <v>7</v>
      </c>
      <c r="H1896">
        <v>4.5999999999999999E-2</v>
      </c>
      <c r="I1896" s="3">
        <v>1122</v>
      </c>
      <c r="J1896" s="1">
        <v>45607</v>
      </c>
      <c r="K1896" t="s">
        <v>31</v>
      </c>
      <c r="L1896" t="s">
        <v>8</v>
      </c>
      <c r="M1896" t="s">
        <v>39</v>
      </c>
      <c r="N1896" s="1">
        <f t="shared" si="174"/>
        <v>45607</v>
      </c>
      <c r="O1896" s="4">
        <f t="shared" si="175"/>
        <v>2.6655348047538201E-2</v>
      </c>
      <c r="P1896">
        <f t="shared" si="176"/>
        <v>1.4110191082802548</v>
      </c>
      <c r="Q1896" s="2">
        <f t="shared" si="177"/>
        <v>8.2048148148148154</v>
      </c>
      <c r="R1896" s="2">
        <f t="shared" si="178"/>
        <v>31.647142857142857</v>
      </c>
      <c r="S1896" s="2">
        <f t="shared" si="179"/>
        <v>5.0647767796686676</v>
      </c>
    </row>
    <row r="1897" spans="1:19">
      <c r="A1897" t="s">
        <v>1950</v>
      </c>
      <c r="B1897" t="s">
        <v>30</v>
      </c>
      <c r="C1897">
        <v>91</v>
      </c>
      <c r="D1897">
        <v>4010</v>
      </c>
      <c r="E1897" s="2">
        <v>229.84</v>
      </c>
      <c r="F1897">
        <v>11</v>
      </c>
      <c r="G1897">
        <v>6</v>
      </c>
      <c r="H1897">
        <v>4.5999999999999999E-2</v>
      </c>
      <c r="I1897" s="3">
        <v>1634</v>
      </c>
      <c r="J1897" s="1">
        <v>45333</v>
      </c>
      <c r="K1897" t="s">
        <v>31</v>
      </c>
      <c r="L1897" t="s">
        <v>8</v>
      </c>
      <c r="M1897" t="s">
        <v>46</v>
      </c>
      <c r="N1897" s="1">
        <f t="shared" si="174"/>
        <v>45333</v>
      </c>
      <c r="O1897" s="4">
        <f t="shared" si="175"/>
        <v>2.2693266832917707E-2</v>
      </c>
      <c r="P1897">
        <f t="shared" si="176"/>
        <v>2.5257142857142858</v>
      </c>
      <c r="Q1897" s="2">
        <f t="shared" si="177"/>
        <v>20.894545454545455</v>
      </c>
      <c r="R1897" s="2">
        <f t="shared" si="178"/>
        <v>38.306666666666665</v>
      </c>
      <c r="S1897" s="2">
        <f t="shared" si="179"/>
        <v>7.1092934215106158</v>
      </c>
    </row>
    <row r="1898" spans="1:19" hidden="1">
      <c r="A1898" t="s">
        <v>1951</v>
      </c>
      <c r="B1898" t="s">
        <v>30</v>
      </c>
      <c r="C1898">
        <v>91</v>
      </c>
      <c r="D1898">
        <v>4641</v>
      </c>
      <c r="E1898" s="2">
        <v>182.84</v>
      </c>
      <c r="F1898">
        <v>12</v>
      </c>
      <c r="G1898">
        <v>9</v>
      </c>
      <c r="H1898">
        <v>4.5999999999999999E-2</v>
      </c>
      <c r="I1898" s="3">
        <v>1235</v>
      </c>
      <c r="J1898" s="1">
        <v>45621</v>
      </c>
      <c r="K1898" t="s">
        <v>31</v>
      </c>
      <c r="L1898" t="s">
        <v>8</v>
      </c>
      <c r="M1898" t="s">
        <v>37</v>
      </c>
      <c r="N1898" s="1">
        <f t="shared" si="174"/>
        <v>45621</v>
      </c>
      <c r="O1898" s="4">
        <f t="shared" si="175"/>
        <v>1.9607843137254902E-2</v>
      </c>
      <c r="P1898">
        <f t="shared" si="176"/>
        <v>2.0092307692307694</v>
      </c>
      <c r="Q1898" s="2">
        <f t="shared" si="177"/>
        <v>15.236666666666666</v>
      </c>
      <c r="R1898" s="2">
        <f t="shared" si="178"/>
        <v>20.315555555555555</v>
      </c>
      <c r="S1898" s="2">
        <f t="shared" si="179"/>
        <v>6.7545394880770067</v>
      </c>
    </row>
    <row r="1899" spans="1:19" hidden="1">
      <c r="A1899" t="s">
        <v>1952</v>
      </c>
      <c r="B1899" t="s">
        <v>30</v>
      </c>
      <c r="C1899">
        <v>99</v>
      </c>
      <c r="D1899">
        <v>5669</v>
      </c>
      <c r="E1899" s="2">
        <v>202.47</v>
      </c>
      <c r="F1899">
        <v>24</v>
      </c>
      <c r="G1899">
        <v>7</v>
      </c>
      <c r="H1899">
        <v>7.0999999999999994E-2</v>
      </c>
      <c r="I1899" s="3">
        <v>1862</v>
      </c>
      <c r="J1899" s="1">
        <v>45607</v>
      </c>
      <c r="K1899" t="s">
        <v>31</v>
      </c>
      <c r="L1899" t="s">
        <v>7</v>
      </c>
      <c r="M1899" t="s">
        <v>41</v>
      </c>
      <c r="N1899" s="1">
        <f t="shared" si="174"/>
        <v>45607</v>
      </c>
      <c r="O1899" s="4">
        <f t="shared" si="175"/>
        <v>1.7463397424589876E-2</v>
      </c>
      <c r="P1899">
        <f t="shared" si="176"/>
        <v>2.0451515151515149</v>
      </c>
      <c r="Q1899" s="2">
        <f t="shared" si="177"/>
        <v>8.4362499999999994</v>
      </c>
      <c r="R1899" s="2">
        <f t="shared" si="178"/>
        <v>28.924285714285713</v>
      </c>
      <c r="S1899" s="2">
        <f t="shared" si="179"/>
        <v>9.1964241616041882</v>
      </c>
    </row>
    <row r="1900" spans="1:19" hidden="1">
      <c r="A1900" t="s">
        <v>1953</v>
      </c>
      <c r="B1900" t="s">
        <v>30</v>
      </c>
      <c r="C1900">
        <v>160</v>
      </c>
      <c r="D1900">
        <v>3000</v>
      </c>
      <c r="E1900" s="2">
        <v>201.69</v>
      </c>
      <c r="F1900">
        <v>28</v>
      </c>
      <c r="G1900">
        <v>9</v>
      </c>
      <c r="H1900">
        <v>5.6000000000000001E-2</v>
      </c>
      <c r="I1900" s="3">
        <v>1103</v>
      </c>
      <c r="J1900" s="1">
        <v>45612</v>
      </c>
      <c r="K1900" t="s">
        <v>31</v>
      </c>
      <c r="L1900" t="s">
        <v>7</v>
      </c>
      <c r="M1900" t="s">
        <v>37</v>
      </c>
      <c r="N1900" s="1">
        <f t="shared" si="174"/>
        <v>45612</v>
      </c>
      <c r="O1900" s="4">
        <f t="shared" si="175"/>
        <v>5.3333333333333337E-2</v>
      </c>
      <c r="P1900">
        <f t="shared" si="176"/>
        <v>1.2605625</v>
      </c>
      <c r="Q1900" s="2">
        <f t="shared" si="177"/>
        <v>7.203214285714286</v>
      </c>
      <c r="R1900" s="2">
        <f t="shared" si="178"/>
        <v>22.41</v>
      </c>
      <c r="S1900" s="2">
        <f t="shared" si="179"/>
        <v>5.4687887351876645</v>
      </c>
    </row>
    <row r="1901" spans="1:19">
      <c r="A1901" t="s">
        <v>1954</v>
      </c>
      <c r="B1901" t="s">
        <v>30</v>
      </c>
      <c r="C1901">
        <v>139</v>
      </c>
      <c r="D1901">
        <v>3979</v>
      </c>
      <c r="E1901" s="2">
        <v>241.3</v>
      </c>
      <c r="F1901">
        <v>25</v>
      </c>
      <c r="G1901">
        <v>10</v>
      </c>
      <c r="H1901">
        <v>4.5999999999999999E-2</v>
      </c>
      <c r="I1901" s="3">
        <v>1488</v>
      </c>
      <c r="J1901" s="1">
        <v>45576</v>
      </c>
      <c r="K1901" t="s">
        <v>31</v>
      </c>
      <c r="L1901" t="s">
        <v>7</v>
      </c>
      <c r="M1901" t="s">
        <v>35</v>
      </c>
      <c r="N1901" s="1">
        <f t="shared" si="174"/>
        <v>45576</v>
      </c>
      <c r="O1901" s="4">
        <f t="shared" si="175"/>
        <v>3.4933400351847201E-2</v>
      </c>
      <c r="P1901">
        <f t="shared" si="176"/>
        <v>1.7359712230215829</v>
      </c>
      <c r="Q1901" s="2">
        <f t="shared" si="177"/>
        <v>9.652000000000001</v>
      </c>
      <c r="R1901" s="2">
        <f t="shared" si="178"/>
        <v>24.130000000000003</v>
      </c>
      <c r="S1901" s="2">
        <f t="shared" si="179"/>
        <v>6.1665975963530872</v>
      </c>
    </row>
    <row r="1902" spans="1:19" hidden="1">
      <c r="A1902" t="s">
        <v>1955</v>
      </c>
      <c r="B1902" t="s">
        <v>30</v>
      </c>
      <c r="C1902">
        <v>185</v>
      </c>
      <c r="D1902">
        <v>4518.5</v>
      </c>
      <c r="E1902" s="2">
        <v>192.6</v>
      </c>
      <c r="F1902">
        <v>23</v>
      </c>
      <c r="G1902">
        <v>5</v>
      </c>
      <c r="H1902">
        <v>2.7E-2</v>
      </c>
      <c r="I1902" s="3">
        <v>1180</v>
      </c>
      <c r="J1902" s="1">
        <v>45597</v>
      </c>
      <c r="K1902" t="s">
        <v>31</v>
      </c>
      <c r="L1902" t="s">
        <v>7</v>
      </c>
      <c r="M1902" t="s">
        <v>32</v>
      </c>
      <c r="N1902" s="1">
        <f t="shared" si="174"/>
        <v>45597</v>
      </c>
      <c r="O1902" s="4">
        <f t="shared" si="175"/>
        <v>4.0942790749142415E-2</v>
      </c>
      <c r="P1902">
        <f t="shared" si="176"/>
        <v>1.0410810810810811</v>
      </c>
      <c r="Q1902" s="2">
        <f t="shared" si="177"/>
        <v>8.3739130434782609</v>
      </c>
      <c r="R1902" s="2">
        <f t="shared" si="178"/>
        <v>38.519999999999996</v>
      </c>
      <c r="S1902" s="2">
        <f t="shared" si="179"/>
        <v>6.12668743509865</v>
      </c>
    </row>
    <row r="1903" spans="1:19" hidden="1">
      <c r="A1903" t="s">
        <v>1956</v>
      </c>
      <c r="B1903" t="s">
        <v>30</v>
      </c>
      <c r="C1903">
        <v>137</v>
      </c>
      <c r="D1903">
        <v>5049</v>
      </c>
      <c r="E1903" s="2">
        <v>180.58</v>
      </c>
      <c r="F1903">
        <v>26</v>
      </c>
      <c r="G1903">
        <v>3</v>
      </c>
      <c r="H1903">
        <v>2.1999999999999999E-2</v>
      </c>
      <c r="I1903" s="3">
        <v>1808</v>
      </c>
      <c r="J1903" s="1" t="s">
        <v>105</v>
      </c>
      <c r="K1903" t="s">
        <v>31</v>
      </c>
      <c r="L1903" t="s">
        <v>7</v>
      </c>
      <c r="M1903" t="s">
        <v>39</v>
      </c>
      <c r="N1903" s="1">
        <f t="shared" si="174"/>
        <v>45614</v>
      </c>
      <c r="O1903" s="4">
        <f t="shared" si="175"/>
        <v>2.7134085957615368E-2</v>
      </c>
      <c r="P1903">
        <f t="shared" si="176"/>
        <v>1.3181021897810219</v>
      </c>
      <c r="Q1903" s="2">
        <f t="shared" si="177"/>
        <v>6.9453846153846159</v>
      </c>
      <c r="R1903" s="2">
        <f t="shared" si="178"/>
        <v>60.193333333333335</v>
      </c>
      <c r="S1903" s="2">
        <f t="shared" si="179"/>
        <v>10.012182965998448</v>
      </c>
    </row>
    <row r="1904" spans="1:19" hidden="1">
      <c r="A1904" t="s">
        <v>1957</v>
      </c>
      <c r="B1904" t="s">
        <v>30</v>
      </c>
      <c r="C1904">
        <v>159</v>
      </c>
      <c r="D1904">
        <v>3662</v>
      </c>
      <c r="E1904" s="2">
        <v>203.93</v>
      </c>
      <c r="F1904">
        <v>20</v>
      </c>
      <c r="G1904">
        <v>4</v>
      </c>
      <c r="H1904">
        <v>2.5000000000000001E-2</v>
      </c>
      <c r="I1904" s="3">
        <v>1776</v>
      </c>
      <c r="J1904" s="1">
        <v>45606</v>
      </c>
      <c r="K1904" t="s">
        <v>31</v>
      </c>
      <c r="L1904" t="s">
        <v>9</v>
      </c>
      <c r="M1904" t="s">
        <v>35</v>
      </c>
      <c r="N1904" s="1">
        <f t="shared" si="174"/>
        <v>45606</v>
      </c>
      <c r="O1904" s="4">
        <f t="shared" si="175"/>
        <v>4.3418896777717098E-2</v>
      </c>
      <c r="P1904">
        <f t="shared" si="176"/>
        <v>1.2825786163522013</v>
      </c>
      <c r="Q1904" s="2">
        <f t="shared" si="177"/>
        <v>10.1965</v>
      </c>
      <c r="R1904" s="2">
        <f t="shared" si="178"/>
        <v>50.982500000000002</v>
      </c>
      <c r="S1904" s="2">
        <f t="shared" si="179"/>
        <v>8.7088706909233551</v>
      </c>
    </row>
    <row r="1905" spans="1:19">
      <c r="A1905" t="s">
        <v>1958</v>
      </c>
      <c r="B1905" t="s">
        <v>30</v>
      </c>
      <c r="C1905">
        <v>155</v>
      </c>
      <c r="D1905">
        <v>5822</v>
      </c>
      <c r="E1905" s="2">
        <v>227.47</v>
      </c>
      <c r="F1905">
        <v>10</v>
      </c>
      <c r="G1905">
        <v>4</v>
      </c>
      <c r="H1905">
        <v>4.5999999999999999E-2</v>
      </c>
      <c r="I1905" s="3">
        <v>1373</v>
      </c>
      <c r="J1905" s="1">
        <v>45624</v>
      </c>
      <c r="K1905" t="s">
        <v>31</v>
      </c>
      <c r="L1905" t="s">
        <v>8</v>
      </c>
      <c r="M1905" t="s">
        <v>37</v>
      </c>
      <c r="N1905" s="1">
        <f t="shared" si="174"/>
        <v>45624</v>
      </c>
      <c r="O1905" s="4">
        <f t="shared" si="175"/>
        <v>2.6623153555479218E-2</v>
      </c>
      <c r="P1905">
        <f t="shared" si="176"/>
        <v>1.4675483870967743</v>
      </c>
      <c r="Q1905" s="2">
        <f t="shared" si="177"/>
        <v>22.747</v>
      </c>
      <c r="R1905" s="2">
        <f t="shared" si="178"/>
        <v>56.8675</v>
      </c>
      <c r="S1905" s="2">
        <f t="shared" si="179"/>
        <v>6.0359607860377196</v>
      </c>
    </row>
    <row r="1906" spans="1:19">
      <c r="A1906" t="s">
        <v>1959</v>
      </c>
      <c r="B1906" t="s">
        <v>30</v>
      </c>
      <c r="C1906">
        <v>103</v>
      </c>
      <c r="D1906">
        <v>3762</v>
      </c>
      <c r="E1906" s="2">
        <v>187.11</v>
      </c>
      <c r="F1906">
        <v>12</v>
      </c>
      <c r="G1906">
        <v>9</v>
      </c>
      <c r="H1906">
        <v>4.5999999999999999E-2</v>
      </c>
      <c r="I1906" s="3">
        <v>1096</v>
      </c>
      <c r="J1906" s="1">
        <v>45620</v>
      </c>
      <c r="K1906" t="s">
        <v>31</v>
      </c>
      <c r="L1906" t="s">
        <v>8</v>
      </c>
      <c r="M1906" t="s">
        <v>32</v>
      </c>
      <c r="N1906" s="1">
        <f t="shared" si="174"/>
        <v>45620</v>
      </c>
      <c r="O1906" s="4">
        <f t="shared" si="175"/>
        <v>2.737905369484317E-2</v>
      </c>
      <c r="P1906">
        <f t="shared" si="176"/>
        <v>1.8166019417475729</v>
      </c>
      <c r="Q1906" s="2">
        <f t="shared" si="177"/>
        <v>15.592500000000001</v>
      </c>
      <c r="R1906" s="2">
        <f t="shared" si="178"/>
        <v>20.790000000000003</v>
      </c>
      <c r="S1906" s="2">
        <f t="shared" si="179"/>
        <v>5.8575169686280795</v>
      </c>
    </row>
    <row r="1907" spans="1:19" hidden="1">
      <c r="A1907" t="s">
        <v>1960</v>
      </c>
      <c r="B1907" t="s">
        <v>30</v>
      </c>
      <c r="C1907">
        <v>134</v>
      </c>
      <c r="D1907">
        <v>3647</v>
      </c>
      <c r="E1907" s="2">
        <v>209.89</v>
      </c>
      <c r="F1907">
        <v>21</v>
      </c>
      <c r="G1907">
        <v>7</v>
      </c>
      <c r="H1907">
        <v>3.2000000000000001E-2</v>
      </c>
      <c r="I1907" s="3">
        <v>1744</v>
      </c>
      <c r="J1907" s="1">
        <v>45599</v>
      </c>
      <c r="K1907" t="s">
        <v>31</v>
      </c>
      <c r="L1907" t="s">
        <v>7</v>
      </c>
      <c r="M1907" t="s">
        <v>32</v>
      </c>
      <c r="N1907" s="1">
        <f t="shared" si="174"/>
        <v>45599</v>
      </c>
      <c r="O1907" s="4">
        <f t="shared" si="175"/>
        <v>3.6742528105292022E-2</v>
      </c>
      <c r="P1907">
        <f t="shared" si="176"/>
        <v>1.5663432835820894</v>
      </c>
      <c r="Q1907" s="2">
        <f t="shared" si="177"/>
        <v>9.994761904761905</v>
      </c>
      <c r="R1907" s="2">
        <f t="shared" si="178"/>
        <v>29.984285714285711</v>
      </c>
      <c r="S1907" s="2">
        <f t="shared" si="179"/>
        <v>8.3091142979656016</v>
      </c>
    </row>
    <row r="1908" spans="1:19" hidden="1">
      <c r="A1908" t="s">
        <v>1961</v>
      </c>
      <c r="B1908" t="s">
        <v>30</v>
      </c>
      <c r="C1908">
        <v>128</v>
      </c>
      <c r="D1908">
        <v>3448</v>
      </c>
      <c r="E1908" s="2">
        <v>235.69</v>
      </c>
      <c r="F1908">
        <v>27</v>
      </c>
      <c r="G1908">
        <v>8</v>
      </c>
      <c r="H1908">
        <v>6.2E-2</v>
      </c>
      <c r="I1908" s="3">
        <v>1373</v>
      </c>
      <c r="J1908" s="1" t="s">
        <v>132</v>
      </c>
      <c r="K1908" t="s">
        <v>31</v>
      </c>
      <c r="L1908" t="s">
        <v>7</v>
      </c>
      <c r="M1908" t="s">
        <v>35</v>
      </c>
      <c r="N1908" s="1">
        <f t="shared" si="174"/>
        <v>45613</v>
      </c>
      <c r="O1908" s="4">
        <f t="shared" si="175"/>
        <v>3.7122969837587005E-2</v>
      </c>
      <c r="P1908">
        <f t="shared" si="176"/>
        <v>1.841328125</v>
      </c>
      <c r="Q1908" s="2">
        <f t="shared" si="177"/>
        <v>8.7292592592592584</v>
      </c>
      <c r="R1908" s="2">
        <f t="shared" si="178"/>
        <v>29.46125</v>
      </c>
      <c r="S1908" s="2">
        <f t="shared" si="179"/>
        <v>5.8254486825915395</v>
      </c>
    </row>
    <row r="1909" spans="1:19" hidden="1">
      <c r="A1909" t="s">
        <v>1962</v>
      </c>
      <c r="B1909" t="s">
        <v>30</v>
      </c>
      <c r="C1909">
        <v>156</v>
      </c>
      <c r="D1909">
        <v>3776</v>
      </c>
      <c r="E1909" s="2">
        <v>213.3</v>
      </c>
      <c r="F1909">
        <v>30</v>
      </c>
      <c r="G1909">
        <v>4</v>
      </c>
      <c r="H1909">
        <v>2.5999999999999999E-2</v>
      </c>
      <c r="I1909" s="3">
        <v>1013</v>
      </c>
      <c r="J1909" s="1">
        <v>45615</v>
      </c>
      <c r="K1909" t="s">
        <v>31</v>
      </c>
      <c r="L1909" t="s">
        <v>9</v>
      </c>
      <c r="M1909" t="s">
        <v>41</v>
      </c>
      <c r="N1909" s="1">
        <f t="shared" si="174"/>
        <v>45615</v>
      </c>
      <c r="O1909" s="4">
        <f t="shared" si="175"/>
        <v>4.1313559322033899E-2</v>
      </c>
      <c r="P1909">
        <f t="shared" si="176"/>
        <v>1.3673076923076923</v>
      </c>
      <c r="Q1909" s="2">
        <f t="shared" si="177"/>
        <v>7.11</v>
      </c>
      <c r="R1909" s="2">
        <f t="shared" si="178"/>
        <v>53.325000000000003</v>
      </c>
      <c r="S1909" s="2">
        <f t="shared" si="179"/>
        <v>4.7491795593061417</v>
      </c>
    </row>
    <row r="1910" spans="1:19">
      <c r="A1910" t="s">
        <v>1963</v>
      </c>
      <c r="B1910" t="s">
        <v>30</v>
      </c>
      <c r="C1910">
        <v>154</v>
      </c>
      <c r="D1910">
        <v>5763</v>
      </c>
      <c r="E1910" s="2">
        <v>240.35</v>
      </c>
      <c r="F1910">
        <v>20</v>
      </c>
      <c r="G1910">
        <v>10</v>
      </c>
      <c r="H1910">
        <v>4.5999999999999999E-2</v>
      </c>
      <c r="I1910" s="3">
        <v>1816</v>
      </c>
      <c r="J1910" s="1" t="s">
        <v>206</v>
      </c>
      <c r="K1910" t="s">
        <v>31</v>
      </c>
      <c r="L1910" t="s">
        <v>8</v>
      </c>
      <c r="M1910" t="s">
        <v>37</v>
      </c>
      <c r="N1910" s="1">
        <f t="shared" si="174"/>
        <v>45621</v>
      </c>
      <c r="O1910" s="4">
        <f t="shared" si="175"/>
        <v>2.6722193302099601E-2</v>
      </c>
      <c r="P1910">
        <f t="shared" si="176"/>
        <v>1.5607142857142857</v>
      </c>
      <c r="Q1910" s="2">
        <f t="shared" si="177"/>
        <v>12.0175</v>
      </c>
      <c r="R1910" s="2">
        <f t="shared" si="178"/>
        <v>24.035</v>
      </c>
      <c r="S1910" s="2">
        <f t="shared" si="179"/>
        <v>7.5556480133139177</v>
      </c>
    </row>
    <row r="1911" spans="1:19">
      <c r="A1911" t="s">
        <v>1964</v>
      </c>
      <c r="B1911" t="s">
        <v>30</v>
      </c>
      <c r="C1911">
        <v>176</v>
      </c>
      <c r="D1911">
        <v>3835</v>
      </c>
      <c r="E1911" s="2">
        <v>210.11</v>
      </c>
      <c r="F1911">
        <v>10</v>
      </c>
      <c r="G1911">
        <v>3</v>
      </c>
      <c r="H1911">
        <v>4.5999999999999999E-2</v>
      </c>
      <c r="I1911" s="3">
        <v>1025</v>
      </c>
      <c r="J1911" s="1">
        <v>45423</v>
      </c>
      <c r="K1911" t="s">
        <v>31</v>
      </c>
      <c r="L1911" t="s">
        <v>9</v>
      </c>
      <c r="M1911" t="s">
        <v>35</v>
      </c>
      <c r="N1911" s="1">
        <f t="shared" si="174"/>
        <v>45423</v>
      </c>
      <c r="O1911" s="4">
        <f t="shared" si="175"/>
        <v>4.589308996088657E-2</v>
      </c>
      <c r="P1911">
        <f t="shared" si="176"/>
        <v>1.1938068181818182</v>
      </c>
      <c r="Q1911" s="2">
        <f t="shared" si="177"/>
        <v>21.011000000000003</v>
      </c>
      <c r="R1911" s="2">
        <f t="shared" si="178"/>
        <v>70.036666666666676</v>
      </c>
      <c r="S1911" s="2">
        <f t="shared" si="179"/>
        <v>4.8783970301270756</v>
      </c>
    </row>
    <row r="1912" spans="1:19" hidden="1">
      <c r="A1912" t="s">
        <v>1965</v>
      </c>
      <c r="B1912" t="s">
        <v>30</v>
      </c>
      <c r="C1912">
        <v>139</v>
      </c>
      <c r="D1912">
        <v>4079</v>
      </c>
      <c r="E1912" s="2">
        <v>243.8</v>
      </c>
      <c r="F1912">
        <v>23</v>
      </c>
      <c r="G1912">
        <v>6</v>
      </c>
      <c r="H1912">
        <v>4.7E-2</v>
      </c>
      <c r="I1912" s="3">
        <v>1909</v>
      </c>
      <c r="J1912" s="1">
        <v>45625</v>
      </c>
      <c r="K1912" t="s">
        <v>31</v>
      </c>
      <c r="L1912" t="s">
        <v>9</v>
      </c>
      <c r="M1912" t="s">
        <v>32</v>
      </c>
      <c r="N1912" s="1">
        <f t="shared" si="174"/>
        <v>45625</v>
      </c>
      <c r="O1912" s="4">
        <f t="shared" si="175"/>
        <v>3.4076979651875457E-2</v>
      </c>
      <c r="P1912">
        <f t="shared" si="176"/>
        <v>1.7539568345323742</v>
      </c>
      <c r="Q1912" s="2">
        <f t="shared" si="177"/>
        <v>10.6</v>
      </c>
      <c r="R1912" s="2">
        <f t="shared" si="178"/>
        <v>40.633333333333333</v>
      </c>
      <c r="S1912" s="2">
        <f t="shared" si="179"/>
        <v>7.8301886792452828</v>
      </c>
    </row>
    <row r="1913" spans="1:19" hidden="1">
      <c r="A1913" t="s">
        <v>1966</v>
      </c>
      <c r="B1913" t="s">
        <v>30</v>
      </c>
      <c r="C1913">
        <v>182</v>
      </c>
      <c r="D1913">
        <v>4444</v>
      </c>
      <c r="E1913" s="2">
        <v>188.86</v>
      </c>
      <c r="F1913">
        <v>19</v>
      </c>
      <c r="G1913">
        <v>9</v>
      </c>
      <c r="H1913">
        <v>4.4999999999999998E-2</v>
      </c>
      <c r="I1913" s="3">
        <v>1555</v>
      </c>
      <c r="J1913" s="1" t="s">
        <v>206</v>
      </c>
      <c r="K1913" t="s">
        <v>31</v>
      </c>
      <c r="L1913" t="s">
        <v>7</v>
      </c>
      <c r="M1913" t="s">
        <v>35</v>
      </c>
      <c r="N1913" s="1">
        <f t="shared" si="174"/>
        <v>45621</v>
      </c>
      <c r="O1913" s="4">
        <f t="shared" si="175"/>
        <v>4.0954095409540953E-2</v>
      </c>
      <c r="P1913">
        <f t="shared" si="176"/>
        <v>1.0376923076923077</v>
      </c>
      <c r="Q1913" s="2">
        <f t="shared" si="177"/>
        <v>9.9400000000000013</v>
      </c>
      <c r="R1913" s="2">
        <f t="shared" si="178"/>
        <v>20.984444444444446</v>
      </c>
      <c r="S1913" s="2">
        <f t="shared" si="179"/>
        <v>8.2336121995128657</v>
      </c>
    </row>
    <row r="1914" spans="1:19" hidden="1">
      <c r="A1914" t="s">
        <v>1967</v>
      </c>
      <c r="B1914" t="s">
        <v>30</v>
      </c>
      <c r="C1914">
        <v>84</v>
      </c>
      <c r="D1914">
        <v>3859</v>
      </c>
      <c r="E1914" s="2">
        <v>182.85</v>
      </c>
      <c r="F1914">
        <v>17</v>
      </c>
      <c r="G1914">
        <v>8</v>
      </c>
      <c r="H1914">
        <v>9.5000000000000001E-2</v>
      </c>
      <c r="I1914" s="3">
        <v>1145</v>
      </c>
      <c r="J1914" s="1">
        <v>45605</v>
      </c>
      <c r="K1914" t="s">
        <v>31</v>
      </c>
      <c r="L1914" t="s">
        <v>8</v>
      </c>
      <c r="M1914" t="s">
        <v>39</v>
      </c>
      <c r="N1914" s="1">
        <f t="shared" si="174"/>
        <v>45605</v>
      </c>
      <c r="O1914" s="4">
        <f t="shared" si="175"/>
        <v>2.1767297227260948E-2</v>
      </c>
      <c r="P1914">
        <f t="shared" si="176"/>
        <v>2.1767857142857143</v>
      </c>
      <c r="Q1914" s="2">
        <f t="shared" si="177"/>
        <v>10.755882352941176</v>
      </c>
      <c r="R1914" s="2">
        <f t="shared" si="178"/>
        <v>22.856249999999999</v>
      </c>
      <c r="S1914" s="2">
        <f t="shared" si="179"/>
        <v>6.26196335794367</v>
      </c>
    </row>
    <row r="1915" spans="1:19" hidden="1">
      <c r="A1915" t="s">
        <v>1968</v>
      </c>
      <c r="B1915" t="s">
        <v>30</v>
      </c>
      <c r="C1915">
        <v>192</v>
      </c>
      <c r="D1915">
        <v>3752</v>
      </c>
      <c r="E1915" s="2">
        <v>240.61</v>
      </c>
      <c r="F1915">
        <v>23</v>
      </c>
      <c r="G1915">
        <v>8</v>
      </c>
      <c r="H1915">
        <v>4.2000000000000003E-2</v>
      </c>
      <c r="I1915" s="3">
        <v>1504</v>
      </c>
      <c r="J1915" s="1">
        <v>45609</v>
      </c>
      <c r="K1915" t="s">
        <v>31</v>
      </c>
      <c r="L1915" t="s">
        <v>7</v>
      </c>
      <c r="M1915" t="s">
        <v>35</v>
      </c>
      <c r="N1915" s="1">
        <f t="shared" si="174"/>
        <v>45609</v>
      </c>
      <c r="O1915" s="4">
        <f t="shared" si="175"/>
        <v>5.1172707889125799E-2</v>
      </c>
      <c r="P1915">
        <f t="shared" si="176"/>
        <v>1.2531770833333333</v>
      </c>
      <c r="Q1915" s="2">
        <f t="shared" si="177"/>
        <v>10.461304347826088</v>
      </c>
      <c r="R1915" s="2">
        <f t="shared" si="178"/>
        <v>30.076250000000002</v>
      </c>
      <c r="S1915" s="2">
        <f t="shared" si="179"/>
        <v>6.2507792693570501</v>
      </c>
    </row>
    <row r="1916" spans="1:19" hidden="1">
      <c r="A1916" t="s">
        <v>1969</v>
      </c>
      <c r="B1916" t="s">
        <v>30</v>
      </c>
      <c r="C1916">
        <v>133</v>
      </c>
      <c r="D1916">
        <v>5487</v>
      </c>
      <c r="E1916" s="2">
        <v>243.45</v>
      </c>
      <c r="F1916">
        <v>22</v>
      </c>
      <c r="G1916">
        <v>7</v>
      </c>
      <c r="H1916">
        <v>5.2999999999999999E-2</v>
      </c>
      <c r="I1916" s="3">
        <v>1059</v>
      </c>
      <c r="J1916" s="1">
        <v>45614</v>
      </c>
      <c r="K1916" t="s">
        <v>31</v>
      </c>
      <c r="L1916" t="s">
        <v>7</v>
      </c>
      <c r="M1916" t="s">
        <v>37</v>
      </c>
      <c r="N1916" s="1">
        <f t="shared" si="174"/>
        <v>45614</v>
      </c>
      <c r="O1916" s="4">
        <f t="shared" si="175"/>
        <v>2.4239110625113906E-2</v>
      </c>
      <c r="P1916">
        <f t="shared" si="176"/>
        <v>1.8304511278195488</v>
      </c>
      <c r="Q1916" s="2">
        <f t="shared" si="177"/>
        <v>11.06590909090909</v>
      </c>
      <c r="R1916" s="2">
        <f t="shared" si="178"/>
        <v>34.778571428571425</v>
      </c>
      <c r="S1916" s="2">
        <f t="shared" si="179"/>
        <v>4.3499691928527424</v>
      </c>
    </row>
    <row r="1917" spans="1:19" hidden="1">
      <c r="A1917" t="s">
        <v>1970</v>
      </c>
      <c r="B1917" t="s">
        <v>30</v>
      </c>
      <c r="C1917">
        <v>81</v>
      </c>
      <c r="D1917">
        <v>4864</v>
      </c>
      <c r="E1917" s="2">
        <v>238.27</v>
      </c>
      <c r="F1917">
        <v>15</v>
      </c>
      <c r="G1917">
        <v>7</v>
      </c>
      <c r="H1917">
        <v>8.5999999999999993E-2</v>
      </c>
      <c r="I1917" s="3">
        <v>1278</v>
      </c>
      <c r="J1917" s="1">
        <v>45302</v>
      </c>
      <c r="K1917" t="s">
        <v>31</v>
      </c>
      <c r="L1917" t="s">
        <v>7</v>
      </c>
      <c r="M1917" t="s">
        <v>46</v>
      </c>
      <c r="N1917" s="1">
        <f t="shared" si="174"/>
        <v>45302</v>
      </c>
      <c r="O1917" s="4">
        <f t="shared" si="175"/>
        <v>1.6652960526315791E-2</v>
      </c>
      <c r="P1917">
        <f t="shared" si="176"/>
        <v>2.9416049382716052</v>
      </c>
      <c r="Q1917" s="2">
        <f t="shared" si="177"/>
        <v>15.884666666666668</v>
      </c>
      <c r="R1917" s="2">
        <f t="shared" si="178"/>
        <v>34.03857142857143</v>
      </c>
      <c r="S1917" s="2">
        <f t="shared" si="179"/>
        <v>5.3636630713056617</v>
      </c>
    </row>
    <row r="1918" spans="1:19">
      <c r="A1918" t="s">
        <v>1971</v>
      </c>
      <c r="B1918" t="s">
        <v>30</v>
      </c>
      <c r="C1918">
        <v>196</v>
      </c>
      <c r="D1918">
        <v>3834</v>
      </c>
      <c r="E1918" s="2">
        <v>216.22</v>
      </c>
      <c r="F1918">
        <v>10</v>
      </c>
      <c r="G1918">
        <v>3</v>
      </c>
      <c r="H1918">
        <v>4.5999999999999999E-2</v>
      </c>
      <c r="I1918" s="3">
        <v>1727</v>
      </c>
      <c r="J1918" s="1">
        <v>45599</v>
      </c>
      <c r="K1918" t="s">
        <v>31</v>
      </c>
      <c r="L1918" t="s">
        <v>8</v>
      </c>
      <c r="M1918" t="s">
        <v>37</v>
      </c>
      <c r="N1918" s="1">
        <f t="shared" si="174"/>
        <v>45599</v>
      </c>
      <c r="O1918" s="4">
        <f t="shared" si="175"/>
        <v>5.1121544079290558E-2</v>
      </c>
      <c r="P1918">
        <f t="shared" si="176"/>
        <v>1.1031632653061225</v>
      </c>
      <c r="Q1918" s="2">
        <f t="shared" si="177"/>
        <v>21.622</v>
      </c>
      <c r="R1918" s="2">
        <f t="shared" si="178"/>
        <v>72.073333333333338</v>
      </c>
      <c r="S1918" s="2">
        <f t="shared" si="179"/>
        <v>7.9872352233835908</v>
      </c>
    </row>
    <row r="1919" spans="1:19" hidden="1">
      <c r="A1919" t="s">
        <v>1972</v>
      </c>
      <c r="B1919" t="s">
        <v>30</v>
      </c>
      <c r="C1919">
        <v>103</v>
      </c>
      <c r="D1919">
        <v>5859</v>
      </c>
      <c r="E1919" s="2">
        <v>210.86</v>
      </c>
      <c r="F1919">
        <v>15</v>
      </c>
      <c r="G1919">
        <v>7</v>
      </c>
      <c r="H1919">
        <v>6.8000000000000005E-2</v>
      </c>
      <c r="I1919" s="3">
        <v>1079</v>
      </c>
      <c r="J1919" s="1" t="s">
        <v>89</v>
      </c>
      <c r="K1919" t="s">
        <v>31</v>
      </c>
      <c r="L1919" t="s">
        <v>8</v>
      </c>
      <c r="M1919" t="s">
        <v>41</v>
      </c>
      <c r="N1919" s="1">
        <f t="shared" si="174"/>
        <v>45611</v>
      </c>
      <c r="O1919" s="4">
        <f t="shared" si="175"/>
        <v>1.757979177334016E-2</v>
      </c>
      <c r="P1919">
        <f t="shared" si="176"/>
        <v>2.0471844660194174</v>
      </c>
      <c r="Q1919" s="2">
        <f t="shared" si="177"/>
        <v>14.057333333333334</v>
      </c>
      <c r="R1919" s="2">
        <f t="shared" si="178"/>
        <v>30.122857142857146</v>
      </c>
      <c r="S1919" s="2">
        <f t="shared" si="179"/>
        <v>5.1171393341553637</v>
      </c>
    </row>
    <row r="1920" spans="1:19" hidden="1">
      <c r="A1920" t="s">
        <v>1973</v>
      </c>
      <c r="B1920" t="s">
        <v>30</v>
      </c>
      <c r="C1920">
        <v>107</v>
      </c>
      <c r="D1920">
        <v>4428</v>
      </c>
      <c r="E1920" s="2">
        <v>187.08</v>
      </c>
      <c r="F1920">
        <v>28</v>
      </c>
      <c r="G1920">
        <v>8</v>
      </c>
      <c r="H1920">
        <v>7.4999999999999997E-2</v>
      </c>
      <c r="I1920" s="3">
        <v>1764</v>
      </c>
      <c r="J1920" s="1">
        <v>45622</v>
      </c>
      <c r="K1920" t="s">
        <v>31</v>
      </c>
      <c r="L1920" t="s">
        <v>9</v>
      </c>
      <c r="M1920" t="s">
        <v>35</v>
      </c>
      <c r="N1920" s="1">
        <f t="shared" si="174"/>
        <v>45622</v>
      </c>
      <c r="O1920" s="4">
        <f t="shared" si="175"/>
        <v>2.4164408310749775E-2</v>
      </c>
      <c r="P1920">
        <f t="shared" si="176"/>
        <v>1.7484112149532711</v>
      </c>
      <c r="Q1920" s="2">
        <f t="shared" si="177"/>
        <v>6.6814285714285715</v>
      </c>
      <c r="R1920" s="2">
        <f t="shared" si="178"/>
        <v>23.385000000000002</v>
      </c>
      <c r="S1920" s="2">
        <f t="shared" si="179"/>
        <v>9.4291212315586908</v>
      </c>
    </row>
    <row r="1921" spans="1:19" hidden="1">
      <c r="A1921" t="s">
        <v>1974</v>
      </c>
      <c r="B1921" t="s">
        <v>30</v>
      </c>
      <c r="C1921">
        <v>199</v>
      </c>
      <c r="D1921">
        <v>5649</v>
      </c>
      <c r="E1921" s="2">
        <v>223.62</v>
      </c>
      <c r="F1921">
        <v>11</v>
      </c>
      <c r="G1921">
        <v>4</v>
      </c>
      <c r="H1921">
        <v>0.02</v>
      </c>
      <c r="I1921" s="3">
        <v>1075</v>
      </c>
      <c r="J1921" s="1">
        <v>45618</v>
      </c>
      <c r="K1921" t="s">
        <v>31</v>
      </c>
      <c r="L1921" t="s">
        <v>7</v>
      </c>
      <c r="M1921" t="s">
        <v>35</v>
      </c>
      <c r="N1921" s="1">
        <f t="shared" si="174"/>
        <v>45618</v>
      </c>
      <c r="O1921" s="4">
        <f t="shared" si="175"/>
        <v>3.5227473889183923E-2</v>
      </c>
      <c r="P1921">
        <f t="shared" si="176"/>
        <v>1.1237185929648241</v>
      </c>
      <c r="Q1921" s="2">
        <f t="shared" si="177"/>
        <v>20.329090909090908</v>
      </c>
      <c r="R1921" s="2">
        <f t="shared" si="178"/>
        <v>55.905000000000001</v>
      </c>
      <c r="S1921" s="2">
        <f t="shared" si="179"/>
        <v>4.8072623200071547</v>
      </c>
    </row>
    <row r="1922" spans="1:19" hidden="1">
      <c r="A1922" t="s">
        <v>1975</v>
      </c>
      <c r="B1922" t="s">
        <v>30</v>
      </c>
      <c r="C1922">
        <v>133</v>
      </c>
      <c r="D1922">
        <v>4116</v>
      </c>
      <c r="E1922" s="2">
        <v>248.26</v>
      </c>
      <c r="F1922">
        <v>14</v>
      </c>
      <c r="G1922">
        <v>3</v>
      </c>
      <c r="H1922">
        <v>3.3000000000000002E-2</v>
      </c>
      <c r="I1922" s="3">
        <v>1160</v>
      </c>
      <c r="J1922" s="1">
        <v>45616</v>
      </c>
      <c r="K1922" t="s">
        <v>31</v>
      </c>
      <c r="L1922" t="s">
        <v>8</v>
      </c>
      <c r="M1922" t="s">
        <v>35</v>
      </c>
      <c r="N1922" s="1">
        <f t="shared" ref="N1922:N1985" si="180">IF(A1922="","",IF(ISNUMBER(J1922),J1922,IF(MID(J1922,5,1)="-",DATE(LEFT(J1922,4),MID(J1922,6,2),RIGHT(J1922,2)),IF(MID(J1922,5,1)="/",DATE(LEFT(J1922,4),MID(J1922,6,2),RIGHT(J1922,2)),DATE(RIGHT(J1922,4),MID(J1922,4,2),LEFT(J1922,2))))))</f>
        <v>45616</v>
      </c>
      <c r="O1922" s="4">
        <f t="shared" ref="O1922:O1985" si="181">IFERROR(C1922/D1922,0)</f>
        <v>3.2312925170068028E-2</v>
      </c>
      <c r="P1922">
        <f t="shared" ref="P1922:P1985" si="182">IFERROR(E1922/C1922,0)</f>
        <v>1.8666165413533833</v>
      </c>
      <c r="Q1922" s="2">
        <f t="shared" ref="Q1922:Q1985" si="183">IFERROR(E1922/F1922,0)</f>
        <v>17.732857142857142</v>
      </c>
      <c r="R1922" s="2">
        <f t="shared" ref="R1922:R1985" si="184">IFERROR(E1922/G1922,0)</f>
        <v>82.75333333333333</v>
      </c>
      <c r="S1922" s="2">
        <f t="shared" ref="S1922:S1985" si="185">IFERROR(I1922/E1922,0)</f>
        <v>4.6725207443808916</v>
      </c>
    </row>
    <row r="1923" spans="1:19">
      <c r="A1923" t="s">
        <v>1976</v>
      </c>
      <c r="B1923" t="s">
        <v>30</v>
      </c>
      <c r="C1923">
        <v>192</v>
      </c>
      <c r="D1923">
        <v>5026</v>
      </c>
      <c r="E1923" s="2">
        <v>209.89</v>
      </c>
      <c r="F1923">
        <v>25</v>
      </c>
      <c r="G1923">
        <v>9</v>
      </c>
      <c r="H1923">
        <v>4.5999999999999999E-2</v>
      </c>
      <c r="I1923" s="3">
        <v>1981</v>
      </c>
      <c r="J1923" s="1">
        <v>45626</v>
      </c>
      <c r="K1923" t="s">
        <v>31</v>
      </c>
      <c r="L1923" t="s">
        <v>9</v>
      </c>
      <c r="M1923" t="s">
        <v>35</v>
      </c>
      <c r="N1923" s="1">
        <f t="shared" si="180"/>
        <v>45626</v>
      </c>
      <c r="O1923" s="4">
        <f t="shared" si="181"/>
        <v>3.8201352964584163E-2</v>
      </c>
      <c r="P1923">
        <f t="shared" si="182"/>
        <v>1.0931770833333332</v>
      </c>
      <c r="Q1923" s="2">
        <f t="shared" si="183"/>
        <v>8.3956</v>
      </c>
      <c r="R1923" s="2">
        <f t="shared" si="184"/>
        <v>23.321111111111108</v>
      </c>
      <c r="S1923" s="2">
        <f t="shared" si="185"/>
        <v>9.4382771928152849</v>
      </c>
    </row>
    <row r="1924" spans="1:19">
      <c r="A1924" t="s">
        <v>1977</v>
      </c>
      <c r="B1924" t="s">
        <v>30</v>
      </c>
      <c r="C1924">
        <v>189</v>
      </c>
      <c r="D1924">
        <v>4969</v>
      </c>
      <c r="E1924" s="2">
        <v>245.1</v>
      </c>
      <c r="F1924">
        <v>11</v>
      </c>
      <c r="G1924">
        <v>9</v>
      </c>
      <c r="H1924">
        <v>4.5999999999999999E-2</v>
      </c>
      <c r="I1924" s="3">
        <v>1993</v>
      </c>
      <c r="J1924" s="1">
        <v>45423</v>
      </c>
      <c r="K1924" t="s">
        <v>31</v>
      </c>
      <c r="L1924" t="s">
        <v>9</v>
      </c>
      <c r="M1924" t="s">
        <v>41</v>
      </c>
      <c r="N1924" s="1">
        <f t="shared" si="180"/>
        <v>45423</v>
      </c>
      <c r="O1924" s="4">
        <f t="shared" si="181"/>
        <v>3.8035822097001411E-2</v>
      </c>
      <c r="P1924">
        <f t="shared" si="182"/>
        <v>1.2968253968253969</v>
      </c>
      <c r="Q1924" s="2">
        <f t="shared" si="183"/>
        <v>22.281818181818181</v>
      </c>
      <c r="R1924" s="2">
        <f t="shared" si="184"/>
        <v>27.233333333333334</v>
      </c>
      <c r="S1924" s="2">
        <f t="shared" si="185"/>
        <v>8.1313749490004081</v>
      </c>
    </row>
    <row r="1925" spans="1:19" hidden="1">
      <c r="A1925" t="s">
        <v>1978</v>
      </c>
      <c r="B1925" t="s">
        <v>30</v>
      </c>
      <c r="C1925">
        <v>197</v>
      </c>
      <c r="D1925">
        <v>4441</v>
      </c>
      <c r="E1925" s="2">
        <v>220.84</v>
      </c>
      <c r="F1925">
        <v>26</v>
      </c>
      <c r="G1925">
        <v>6</v>
      </c>
      <c r="H1925">
        <v>0.03</v>
      </c>
      <c r="I1925" s="3">
        <v>1505</v>
      </c>
      <c r="J1925" s="1">
        <v>45612</v>
      </c>
      <c r="K1925" t="s">
        <v>31</v>
      </c>
      <c r="L1925" t="s">
        <v>7</v>
      </c>
      <c r="M1925" t="s">
        <v>41</v>
      </c>
      <c r="N1925" s="1">
        <f t="shared" si="180"/>
        <v>45612</v>
      </c>
      <c r="O1925" s="4">
        <f t="shared" si="181"/>
        <v>4.4359378518351721E-2</v>
      </c>
      <c r="P1925">
        <f t="shared" si="182"/>
        <v>1.1210152284263959</v>
      </c>
      <c r="Q1925" s="2">
        <f t="shared" si="183"/>
        <v>8.4938461538461532</v>
      </c>
      <c r="R1925" s="2">
        <f t="shared" si="184"/>
        <v>36.806666666666665</v>
      </c>
      <c r="S1925" s="2">
        <f t="shared" si="185"/>
        <v>6.8148886071363881</v>
      </c>
    </row>
    <row r="1926" spans="1:19" hidden="1">
      <c r="A1926" t="s">
        <v>1979</v>
      </c>
      <c r="B1926" t="s">
        <v>30</v>
      </c>
      <c r="C1926">
        <v>142</v>
      </c>
      <c r="D1926">
        <v>4854</v>
      </c>
      <c r="E1926" s="2">
        <v>220.73</v>
      </c>
      <c r="F1926">
        <v>25</v>
      </c>
      <c r="G1926">
        <v>9</v>
      </c>
      <c r="H1926">
        <v>6.3E-2</v>
      </c>
      <c r="I1926" s="3">
        <v>1891</v>
      </c>
      <c r="J1926" s="1">
        <v>45597</v>
      </c>
      <c r="K1926" t="s">
        <v>31</v>
      </c>
      <c r="L1926" t="s">
        <v>7</v>
      </c>
      <c r="M1926" t="s">
        <v>37</v>
      </c>
      <c r="N1926" s="1">
        <f t="shared" si="180"/>
        <v>45597</v>
      </c>
      <c r="O1926" s="4">
        <f t="shared" si="181"/>
        <v>2.9254223320972394E-2</v>
      </c>
      <c r="P1926">
        <f t="shared" si="182"/>
        <v>1.5544366197183097</v>
      </c>
      <c r="Q1926" s="2">
        <f t="shared" si="183"/>
        <v>8.8292000000000002</v>
      </c>
      <c r="R1926" s="2">
        <f t="shared" si="184"/>
        <v>24.525555555555556</v>
      </c>
      <c r="S1926" s="2">
        <f t="shared" si="185"/>
        <v>8.5670275902686548</v>
      </c>
    </row>
    <row r="1927" spans="1:19">
      <c r="A1927" t="s">
        <v>1980</v>
      </c>
      <c r="B1927" t="s">
        <v>30</v>
      </c>
      <c r="C1927">
        <v>139</v>
      </c>
      <c r="D1927">
        <v>4010</v>
      </c>
      <c r="E1927" s="2">
        <v>238.31</v>
      </c>
      <c r="F1927">
        <v>12</v>
      </c>
      <c r="G1927">
        <v>3</v>
      </c>
      <c r="H1927">
        <v>4.5999999999999999E-2</v>
      </c>
      <c r="I1927" s="3">
        <v>1895</v>
      </c>
      <c r="J1927" s="1">
        <v>45601</v>
      </c>
      <c r="K1927" t="s">
        <v>31</v>
      </c>
      <c r="L1927" t="s">
        <v>9</v>
      </c>
      <c r="M1927" t="s">
        <v>46</v>
      </c>
      <c r="N1927" s="1">
        <f t="shared" si="180"/>
        <v>45601</v>
      </c>
      <c r="O1927" s="4">
        <f t="shared" si="181"/>
        <v>3.466334164588529E-2</v>
      </c>
      <c r="P1927">
        <f t="shared" si="182"/>
        <v>1.7144604316546763</v>
      </c>
      <c r="Q1927" s="2">
        <f t="shared" si="183"/>
        <v>19.859166666666667</v>
      </c>
      <c r="R1927" s="2">
        <f t="shared" si="184"/>
        <v>79.436666666666667</v>
      </c>
      <c r="S1927" s="2">
        <f t="shared" si="185"/>
        <v>7.9518274516386223</v>
      </c>
    </row>
    <row r="1928" spans="1:19" hidden="1">
      <c r="A1928" t="s">
        <v>1981</v>
      </c>
      <c r="B1928" t="s">
        <v>30</v>
      </c>
      <c r="C1928">
        <v>134</v>
      </c>
      <c r="D1928">
        <v>4790</v>
      </c>
      <c r="E1928" s="2">
        <v>182.49</v>
      </c>
      <c r="F1928">
        <v>19</v>
      </c>
      <c r="G1928">
        <v>5</v>
      </c>
      <c r="H1928">
        <v>0.06</v>
      </c>
      <c r="I1928" s="3">
        <v>1082</v>
      </c>
      <c r="J1928" s="1">
        <v>45621</v>
      </c>
      <c r="K1928" t="s">
        <v>31</v>
      </c>
      <c r="L1928" t="s">
        <v>7</v>
      </c>
      <c r="M1928" t="s">
        <v>46</v>
      </c>
      <c r="N1928" s="1">
        <f t="shared" si="180"/>
        <v>45621</v>
      </c>
      <c r="O1928" s="4">
        <f t="shared" si="181"/>
        <v>2.7974947807933193E-2</v>
      </c>
      <c r="P1928">
        <f t="shared" si="182"/>
        <v>1.3618656716417912</v>
      </c>
      <c r="Q1928" s="2">
        <f t="shared" si="183"/>
        <v>9.6047368421052628</v>
      </c>
      <c r="R1928" s="2">
        <f t="shared" si="184"/>
        <v>36.498000000000005</v>
      </c>
      <c r="S1928" s="2">
        <f t="shared" si="185"/>
        <v>5.9290920050413716</v>
      </c>
    </row>
    <row r="1929" spans="1:19">
      <c r="A1929" t="s">
        <v>1982</v>
      </c>
      <c r="B1929" t="s">
        <v>30</v>
      </c>
      <c r="C1929">
        <v>198</v>
      </c>
      <c r="D1929">
        <v>4953</v>
      </c>
      <c r="E1929" s="2">
        <v>201.7</v>
      </c>
      <c r="F1929">
        <v>22</v>
      </c>
      <c r="G1929">
        <v>8</v>
      </c>
      <c r="H1929">
        <v>4.5999999999999999E-2</v>
      </c>
      <c r="I1929" s="3">
        <v>1716</v>
      </c>
      <c r="J1929" s="1">
        <v>45625</v>
      </c>
      <c r="K1929" t="s">
        <v>31</v>
      </c>
      <c r="L1929" t="s">
        <v>8</v>
      </c>
      <c r="M1929" t="s">
        <v>39</v>
      </c>
      <c r="N1929" s="1">
        <f t="shared" si="180"/>
        <v>45625</v>
      </c>
      <c r="O1929" s="4">
        <f t="shared" si="181"/>
        <v>3.9975772259236826E-2</v>
      </c>
      <c r="P1929">
        <f t="shared" si="182"/>
        <v>1.0186868686868686</v>
      </c>
      <c r="Q1929" s="2">
        <f t="shared" si="183"/>
        <v>9.168181818181818</v>
      </c>
      <c r="R1929" s="2">
        <f t="shared" si="184"/>
        <v>25.212499999999999</v>
      </c>
      <c r="S1929" s="2">
        <f t="shared" si="185"/>
        <v>8.5076846802181461</v>
      </c>
    </row>
    <row r="1930" spans="1:19" hidden="1">
      <c r="A1930" t="s">
        <v>1983</v>
      </c>
      <c r="B1930" t="s">
        <v>30</v>
      </c>
      <c r="C1930">
        <v>142</v>
      </c>
      <c r="D1930">
        <v>4818</v>
      </c>
      <c r="E1930" s="2">
        <v>233.74</v>
      </c>
      <c r="F1930">
        <v>24</v>
      </c>
      <c r="G1930">
        <v>5</v>
      </c>
      <c r="H1930">
        <v>4.2999999999999997E-2</v>
      </c>
      <c r="I1930" s="3">
        <v>1575</v>
      </c>
      <c r="J1930" s="1">
        <v>45599</v>
      </c>
      <c r="K1930" t="s">
        <v>31</v>
      </c>
      <c r="L1930" t="s">
        <v>7</v>
      </c>
      <c r="M1930" t="s">
        <v>46</v>
      </c>
      <c r="N1930" s="1">
        <f t="shared" si="180"/>
        <v>45599</v>
      </c>
      <c r="O1930" s="4">
        <f t="shared" si="181"/>
        <v>2.9472810294728102E-2</v>
      </c>
      <c r="P1930">
        <f t="shared" si="182"/>
        <v>1.646056338028169</v>
      </c>
      <c r="Q1930" s="2">
        <f t="shared" si="183"/>
        <v>9.7391666666666676</v>
      </c>
      <c r="R1930" s="2">
        <f t="shared" si="184"/>
        <v>46.748000000000005</v>
      </c>
      <c r="S1930" s="2">
        <f t="shared" si="185"/>
        <v>6.7382561820826554</v>
      </c>
    </row>
    <row r="1931" spans="1:19">
      <c r="A1931" t="s">
        <v>1984</v>
      </c>
      <c r="B1931" t="s">
        <v>30</v>
      </c>
      <c r="C1931">
        <v>91</v>
      </c>
      <c r="D1931">
        <v>4394</v>
      </c>
      <c r="E1931" s="2">
        <v>215.57</v>
      </c>
      <c r="F1931">
        <v>21</v>
      </c>
      <c r="G1931">
        <v>7</v>
      </c>
      <c r="H1931">
        <v>4.5999999999999999E-2</v>
      </c>
      <c r="I1931" s="3">
        <v>1926</v>
      </c>
      <c r="J1931" s="1">
        <v>45611</v>
      </c>
      <c r="K1931" t="s">
        <v>31</v>
      </c>
      <c r="L1931" t="s">
        <v>9</v>
      </c>
      <c r="M1931" t="s">
        <v>41</v>
      </c>
      <c r="N1931" s="1">
        <f t="shared" si="180"/>
        <v>45611</v>
      </c>
      <c r="O1931" s="4">
        <f t="shared" si="181"/>
        <v>2.0710059171597635E-2</v>
      </c>
      <c r="P1931">
        <f t="shared" si="182"/>
        <v>2.368901098901099</v>
      </c>
      <c r="Q1931" s="2">
        <f t="shared" si="183"/>
        <v>10.265238095238095</v>
      </c>
      <c r="R1931" s="2">
        <f t="shared" si="184"/>
        <v>30.795714285714286</v>
      </c>
      <c r="S1931" s="2">
        <f t="shared" si="185"/>
        <v>8.9344528459433139</v>
      </c>
    </row>
    <row r="1932" spans="1:19" hidden="1">
      <c r="A1932" t="s">
        <v>1985</v>
      </c>
      <c r="B1932" t="s">
        <v>30</v>
      </c>
      <c r="C1932">
        <v>81</v>
      </c>
      <c r="D1932">
        <v>3855</v>
      </c>
      <c r="E1932" s="2">
        <v>185.69</v>
      </c>
      <c r="F1932">
        <v>21</v>
      </c>
      <c r="G1932">
        <v>9</v>
      </c>
      <c r="H1932">
        <v>5.0999999999999997E-2</v>
      </c>
      <c r="I1932" s="3">
        <v>1310</v>
      </c>
      <c r="J1932" s="1" t="s">
        <v>50</v>
      </c>
      <c r="K1932" t="s">
        <v>31</v>
      </c>
      <c r="L1932" t="s">
        <v>7</v>
      </c>
      <c r="M1932" t="s">
        <v>32</v>
      </c>
      <c r="N1932" s="1">
        <f t="shared" si="180"/>
        <v>45610</v>
      </c>
      <c r="O1932" s="4">
        <f t="shared" si="181"/>
        <v>2.1011673151750974E-2</v>
      </c>
      <c r="P1932">
        <f t="shared" si="182"/>
        <v>2.2924691358024689</v>
      </c>
      <c r="Q1932" s="2">
        <f t="shared" si="183"/>
        <v>8.8423809523809531</v>
      </c>
      <c r="R1932" s="2">
        <f t="shared" si="184"/>
        <v>20.632222222222222</v>
      </c>
      <c r="S1932" s="2">
        <f t="shared" si="185"/>
        <v>7.0547687005223763</v>
      </c>
    </row>
    <row r="1933" spans="1:19" hidden="1">
      <c r="A1933" t="s">
        <v>1986</v>
      </c>
      <c r="B1933" t="s">
        <v>30</v>
      </c>
      <c r="C1933">
        <v>160</v>
      </c>
      <c r="D1933">
        <v>3781</v>
      </c>
      <c r="E1933" s="2">
        <v>241.99</v>
      </c>
      <c r="F1933">
        <v>23</v>
      </c>
      <c r="G1933">
        <v>3</v>
      </c>
      <c r="H1933">
        <v>1.9E-2</v>
      </c>
      <c r="I1933" s="3">
        <v>1772</v>
      </c>
      <c r="J1933" s="1">
        <v>45601</v>
      </c>
      <c r="K1933" t="s">
        <v>31</v>
      </c>
      <c r="L1933" t="s">
        <v>9</v>
      </c>
      <c r="M1933" t="s">
        <v>37</v>
      </c>
      <c r="N1933" s="1">
        <f t="shared" si="180"/>
        <v>45601</v>
      </c>
      <c r="O1933" s="4">
        <f t="shared" si="181"/>
        <v>4.231684739486908E-2</v>
      </c>
      <c r="P1933">
        <f t="shared" si="182"/>
        <v>1.5124375000000001</v>
      </c>
      <c r="Q1933" s="2">
        <f t="shared" si="183"/>
        <v>10.521304347826087</v>
      </c>
      <c r="R1933" s="2">
        <f t="shared" si="184"/>
        <v>80.663333333333341</v>
      </c>
      <c r="S1933" s="2">
        <f t="shared" si="185"/>
        <v>7.3226166370511176</v>
      </c>
    </row>
    <row r="1934" spans="1:19" hidden="1">
      <c r="A1934" t="s">
        <v>1987</v>
      </c>
      <c r="B1934" t="s">
        <v>30</v>
      </c>
      <c r="C1934">
        <v>106</v>
      </c>
      <c r="D1934">
        <v>3309</v>
      </c>
      <c r="E1934" s="2">
        <v>217.2</v>
      </c>
      <c r="F1934">
        <v>25</v>
      </c>
      <c r="G1934">
        <v>4</v>
      </c>
      <c r="H1934">
        <v>5.7000000000000002E-2</v>
      </c>
      <c r="I1934" s="3">
        <v>1507</v>
      </c>
      <c r="J1934" s="1">
        <v>45599</v>
      </c>
      <c r="K1934" t="s">
        <v>31</v>
      </c>
      <c r="L1934" t="s">
        <v>9</v>
      </c>
      <c r="M1934" t="s">
        <v>35</v>
      </c>
      <c r="N1934" s="1">
        <f t="shared" si="180"/>
        <v>45599</v>
      </c>
      <c r="O1934" s="4">
        <f t="shared" si="181"/>
        <v>3.2033847083711091E-2</v>
      </c>
      <c r="P1934">
        <f t="shared" si="182"/>
        <v>2.0490566037735847</v>
      </c>
      <c r="Q1934" s="2">
        <f t="shared" si="183"/>
        <v>8.6879999999999988</v>
      </c>
      <c r="R1934" s="2">
        <f t="shared" si="184"/>
        <v>54.3</v>
      </c>
      <c r="S1934" s="2">
        <f t="shared" si="185"/>
        <v>6.9383057090239415</v>
      </c>
    </row>
    <row r="1935" spans="1:19" hidden="1">
      <c r="A1935" t="s">
        <v>1988</v>
      </c>
      <c r="B1935" t="s">
        <v>30</v>
      </c>
      <c r="C1935">
        <v>148</v>
      </c>
      <c r="D1935">
        <v>4930</v>
      </c>
      <c r="E1935" s="2">
        <v>211.01</v>
      </c>
      <c r="F1935">
        <v>24</v>
      </c>
      <c r="G1935">
        <v>6</v>
      </c>
      <c r="H1935">
        <v>5.8000000000000003E-2</v>
      </c>
      <c r="I1935" s="3">
        <v>1378</v>
      </c>
      <c r="J1935" s="1">
        <v>45615</v>
      </c>
      <c r="K1935" t="s">
        <v>31</v>
      </c>
      <c r="L1935" t="s">
        <v>8</v>
      </c>
      <c r="M1935" t="s">
        <v>39</v>
      </c>
      <c r="N1935" s="1">
        <f t="shared" si="180"/>
        <v>45615</v>
      </c>
      <c r="O1935" s="4">
        <f t="shared" si="181"/>
        <v>3.0020283975659229E-2</v>
      </c>
      <c r="P1935">
        <f t="shared" si="182"/>
        <v>1.4257432432432431</v>
      </c>
      <c r="Q1935" s="2">
        <f t="shared" si="183"/>
        <v>8.7920833333333324</v>
      </c>
      <c r="R1935" s="2">
        <f t="shared" si="184"/>
        <v>35.168333333333329</v>
      </c>
      <c r="S1935" s="2">
        <f t="shared" si="185"/>
        <v>6.5304961850149281</v>
      </c>
    </row>
    <row r="1936" spans="1:19" hidden="1">
      <c r="A1936" t="s">
        <v>1989</v>
      </c>
      <c r="B1936" t="s">
        <v>30</v>
      </c>
      <c r="C1936">
        <v>83</v>
      </c>
      <c r="D1936">
        <v>4830</v>
      </c>
      <c r="E1936" s="2">
        <v>184.98</v>
      </c>
      <c r="F1936">
        <v>12</v>
      </c>
      <c r="G1936">
        <v>10</v>
      </c>
      <c r="H1936">
        <v>0.12</v>
      </c>
      <c r="I1936" s="3">
        <v>1041</v>
      </c>
      <c r="J1936" s="1">
        <v>45597</v>
      </c>
      <c r="K1936" t="s">
        <v>31</v>
      </c>
      <c r="L1936" t="s">
        <v>7</v>
      </c>
      <c r="M1936" t="s">
        <v>32</v>
      </c>
      <c r="N1936" s="1">
        <f t="shared" si="180"/>
        <v>45597</v>
      </c>
      <c r="O1936" s="4">
        <f t="shared" si="181"/>
        <v>1.7184265010351966E-2</v>
      </c>
      <c r="P1936">
        <f t="shared" si="182"/>
        <v>2.2286746987951807</v>
      </c>
      <c r="Q1936" s="2">
        <f t="shared" si="183"/>
        <v>15.414999999999999</v>
      </c>
      <c r="R1936" s="2">
        <f t="shared" si="184"/>
        <v>18.497999999999998</v>
      </c>
      <c r="S1936" s="2">
        <f t="shared" si="185"/>
        <v>5.6276354200454106</v>
      </c>
    </row>
    <row r="1937" spans="1:19" hidden="1">
      <c r="A1937" t="s">
        <v>1990</v>
      </c>
      <c r="B1937" t="s">
        <v>30</v>
      </c>
      <c r="C1937">
        <v>89</v>
      </c>
      <c r="D1937">
        <v>5422</v>
      </c>
      <c r="E1937" s="2">
        <v>199.91</v>
      </c>
      <c r="F1937">
        <v>12</v>
      </c>
      <c r="G1937">
        <v>6</v>
      </c>
      <c r="H1937">
        <v>6.7000000000000004E-2</v>
      </c>
      <c r="I1937" s="3">
        <v>1903</v>
      </c>
      <c r="J1937" s="1">
        <v>45605</v>
      </c>
      <c r="K1937" t="s">
        <v>31</v>
      </c>
      <c r="L1937" t="s">
        <v>7</v>
      </c>
      <c r="M1937" t="s">
        <v>39</v>
      </c>
      <c r="N1937" s="1">
        <f t="shared" si="180"/>
        <v>45605</v>
      </c>
      <c r="O1937" s="4">
        <f t="shared" si="181"/>
        <v>1.6414607156030984E-2</v>
      </c>
      <c r="P1937">
        <f t="shared" si="182"/>
        <v>2.2461797752808987</v>
      </c>
      <c r="Q1937" s="2">
        <f t="shared" si="183"/>
        <v>16.659166666666668</v>
      </c>
      <c r="R1937" s="2">
        <f t="shared" si="184"/>
        <v>33.318333333333335</v>
      </c>
      <c r="S1937" s="2">
        <f t="shared" si="185"/>
        <v>9.5192836776549452</v>
      </c>
    </row>
    <row r="1938" spans="1:19" hidden="1">
      <c r="A1938" t="s">
        <v>1991</v>
      </c>
      <c r="B1938" t="s">
        <v>30</v>
      </c>
      <c r="C1938">
        <v>123</v>
      </c>
      <c r="D1938">
        <v>4658</v>
      </c>
      <c r="E1938" s="2">
        <v>211.76</v>
      </c>
      <c r="F1938">
        <v>30</v>
      </c>
      <c r="G1938">
        <v>3</v>
      </c>
      <c r="H1938">
        <v>2.4E-2</v>
      </c>
      <c r="I1938" s="3">
        <v>1201</v>
      </c>
      <c r="J1938" s="1">
        <v>45611</v>
      </c>
      <c r="K1938" t="s">
        <v>31</v>
      </c>
      <c r="L1938" t="s">
        <v>7</v>
      </c>
      <c r="M1938" t="s">
        <v>41</v>
      </c>
      <c r="N1938" s="1">
        <f t="shared" si="180"/>
        <v>45611</v>
      </c>
      <c r="O1938" s="4">
        <f t="shared" si="181"/>
        <v>2.6406182911120651E-2</v>
      </c>
      <c r="P1938">
        <f t="shared" si="182"/>
        <v>1.7216260162601624</v>
      </c>
      <c r="Q1938" s="2">
        <f t="shared" si="183"/>
        <v>7.0586666666666664</v>
      </c>
      <c r="R1938" s="2">
        <f t="shared" si="184"/>
        <v>70.586666666666659</v>
      </c>
      <c r="S1938" s="2">
        <f t="shared" si="185"/>
        <v>5.6715149225538344</v>
      </c>
    </row>
    <row r="1939" spans="1:19" hidden="1">
      <c r="A1939" t="s">
        <v>1992</v>
      </c>
      <c r="B1939" t="s">
        <v>30</v>
      </c>
      <c r="C1939">
        <v>103</v>
      </c>
      <c r="D1939">
        <v>3249</v>
      </c>
      <c r="E1939" s="2">
        <v>232.85</v>
      </c>
      <c r="F1939">
        <v>13</v>
      </c>
      <c r="G1939">
        <v>4</v>
      </c>
      <c r="H1939">
        <v>3.9E-2</v>
      </c>
      <c r="I1939" s="3">
        <v>1397</v>
      </c>
      <c r="J1939" s="1">
        <v>45600</v>
      </c>
      <c r="K1939" t="s">
        <v>31</v>
      </c>
      <c r="L1939" t="s">
        <v>7</v>
      </c>
      <c r="M1939" t="s">
        <v>35</v>
      </c>
      <c r="N1939" s="1">
        <f t="shared" si="180"/>
        <v>45600</v>
      </c>
      <c r="O1939" s="4">
        <f t="shared" si="181"/>
        <v>3.1702062172976303E-2</v>
      </c>
      <c r="P1939">
        <f t="shared" si="182"/>
        <v>2.2606796116504855</v>
      </c>
      <c r="Q1939" s="2">
        <f t="shared" si="183"/>
        <v>17.911538461538463</v>
      </c>
      <c r="R1939" s="2">
        <f t="shared" si="184"/>
        <v>58.212499999999999</v>
      </c>
      <c r="S1939" s="2">
        <f t="shared" si="185"/>
        <v>5.9995705389735887</v>
      </c>
    </row>
    <row r="1940" spans="1:19" hidden="1">
      <c r="A1940" t="s">
        <v>1993</v>
      </c>
      <c r="B1940" t="s">
        <v>30</v>
      </c>
      <c r="C1940">
        <v>130</v>
      </c>
      <c r="D1940">
        <v>4393</v>
      </c>
      <c r="E1940" s="2">
        <v>198.66</v>
      </c>
      <c r="F1940">
        <v>19</v>
      </c>
      <c r="G1940">
        <v>7</v>
      </c>
      <c r="H1940">
        <v>5.3999999999999999E-2</v>
      </c>
      <c r="I1940" s="3">
        <v>1236</v>
      </c>
      <c r="J1940" s="1">
        <v>45607</v>
      </c>
      <c r="K1940" t="s">
        <v>31</v>
      </c>
      <c r="L1940" t="s">
        <v>7</v>
      </c>
      <c r="M1940" t="s">
        <v>37</v>
      </c>
      <c r="N1940" s="1">
        <f t="shared" si="180"/>
        <v>45607</v>
      </c>
      <c r="O1940" s="4">
        <f t="shared" si="181"/>
        <v>2.9592533576143866E-2</v>
      </c>
      <c r="P1940">
        <f t="shared" si="182"/>
        <v>1.5281538461538462</v>
      </c>
      <c r="Q1940" s="2">
        <f t="shared" si="183"/>
        <v>10.455789473684211</v>
      </c>
      <c r="R1940" s="2">
        <f t="shared" si="184"/>
        <v>28.38</v>
      </c>
      <c r="S1940" s="2">
        <f t="shared" si="185"/>
        <v>6.2216852914527339</v>
      </c>
    </row>
    <row r="1941" spans="1:19" hidden="1">
      <c r="A1941" t="s">
        <v>1994</v>
      </c>
      <c r="B1941" t="s">
        <v>30</v>
      </c>
      <c r="C1941">
        <v>193</v>
      </c>
      <c r="D1941">
        <v>4953</v>
      </c>
      <c r="E1941" s="2">
        <v>243.75</v>
      </c>
      <c r="F1941">
        <v>14</v>
      </c>
      <c r="G1941">
        <v>3</v>
      </c>
      <c r="H1941">
        <v>1.6E-2</v>
      </c>
      <c r="I1941" s="3">
        <v>1118</v>
      </c>
      <c r="J1941" s="1">
        <v>45600</v>
      </c>
      <c r="K1941" t="s">
        <v>31</v>
      </c>
      <c r="L1941" t="s">
        <v>8</v>
      </c>
      <c r="M1941" t="s">
        <v>46</v>
      </c>
      <c r="N1941" s="1">
        <f t="shared" si="180"/>
        <v>45600</v>
      </c>
      <c r="O1941" s="4">
        <f t="shared" si="181"/>
        <v>3.8966283060771247E-2</v>
      </c>
      <c r="P1941">
        <f t="shared" si="182"/>
        <v>1.2629533678756477</v>
      </c>
      <c r="Q1941" s="2">
        <f t="shared" si="183"/>
        <v>17.410714285714285</v>
      </c>
      <c r="R1941" s="2">
        <f t="shared" si="184"/>
        <v>81.25</v>
      </c>
      <c r="S1941" s="2">
        <f t="shared" si="185"/>
        <v>4.5866666666666669</v>
      </c>
    </row>
    <row r="1942" spans="1:19" hidden="1">
      <c r="A1942" t="s">
        <v>1995</v>
      </c>
      <c r="B1942" t="s">
        <v>30</v>
      </c>
      <c r="C1942">
        <v>185</v>
      </c>
      <c r="D1942">
        <v>5208</v>
      </c>
      <c r="E1942" s="2">
        <v>227.26</v>
      </c>
      <c r="F1942">
        <v>16</v>
      </c>
      <c r="G1942">
        <v>4</v>
      </c>
      <c r="H1942">
        <v>2.1999999999999999E-2</v>
      </c>
      <c r="I1942" s="3">
        <v>1953</v>
      </c>
      <c r="J1942" s="1">
        <v>45604</v>
      </c>
      <c r="K1942" t="s">
        <v>31</v>
      </c>
      <c r="L1942" t="s">
        <v>8</v>
      </c>
      <c r="M1942" t="s">
        <v>39</v>
      </c>
      <c r="N1942" s="1">
        <f t="shared" si="180"/>
        <v>45604</v>
      </c>
      <c r="O1942" s="4">
        <f t="shared" si="181"/>
        <v>3.5522273425499233E-2</v>
      </c>
      <c r="P1942">
        <f t="shared" si="182"/>
        <v>1.2284324324324323</v>
      </c>
      <c r="Q1942" s="2">
        <f t="shared" si="183"/>
        <v>14.203749999999999</v>
      </c>
      <c r="R1942" s="2">
        <f t="shared" si="184"/>
        <v>56.814999999999998</v>
      </c>
      <c r="S1942" s="2">
        <f t="shared" si="185"/>
        <v>8.5936812461497851</v>
      </c>
    </row>
    <row r="1943" spans="1:19" hidden="1">
      <c r="A1943" t="s">
        <v>1996</v>
      </c>
      <c r="B1943" t="s">
        <v>30</v>
      </c>
      <c r="C1943">
        <v>163</v>
      </c>
      <c r="D1943">
        <v>4114</v>
      </c>
      <c r="E1943" s="2">
        <v>224.8</v>
      </c>
      <c r="F1943">
        <v>18</v>
      </c>
      <c r="G1943">
        <v>8</v>
      </c>
      <c r="H1943">
        <v>4.5999999999999999E-2</v>
      </c>
      <c r="I1943" s="3">
        <v>1493</v>
      </c>
      <c r="J1943" s="1">
        <v>45620</v>
      </c>
      <c r="K1943" t="s">
        <v>31</v>
      </c>
      <c r="L1943" t="s">
        <v>7</v>
      </c>
      <c r="M1943" t="s">
        <v>41</v>
      </c>
      <c r="N1943" s="1">
        <f t="shared" si="180"/>
        <v>45620</v>
      </c>
      <c r="O1943" s="4">
        <f t="shared" si="181"/>
        <v>3.9620807000486147E-2</v>
      </c>
      <c r="P1943">
        <f t="shared" si="182"/>
        <v>1.3791411042944786</v>
      </c>
      <c r="Q1943" s="2">
        <f t="shared" si="183"/>
        <v>12.488888888888889</v>
      </c>
      <c r="R1943" s="2">
        <f t="shared" si="184"/>
        <v>28.1</v>
      </c>
      <c r="S1943" s="2">
        <f t="shared" si="185"/>
        <v>6.6414590747330955</v>
      </c>
    </row>
    <row r="1944" spans="1:19" hidden="1">
      <c r="A1944" t="s">
        <v>1997</v>
      </c>
      <c r="B1944" t="s">
        <v>30</v>
      </c>
      <c r="C1944">
        <v>197</v>
      </c>
      <c r="D1944">
        <v>3508</v>
      </c>
      <c r="E1944" s="2">
        <v>181.04</v>
      </c>
      <c r="F1944">
        <v>20</v>
      </c>
      <c r="G1944">
        <v>4</v>
      </c>
      <c r="H1944">
        <v>0.02</v>
      </c>
      <c r="I1944" s="3">
        <v>1824</v>
      </c>
      <c r="J1944" s="1">
        <v>45612</v>
      </c>
      <c r="K1944" t="s">
        <v>31</v>
      </c>
      <c r="L1944" t="s">
        <v>8</v>
      </c>
      <c r="M1944" t="s">
        <v>39</v>
      </c>
      <c r="N1944" s="1">
        <f t="shared" si="180"/>
        <v>45612</v>
      </c>
      <c r="O1944" s="4">
        <f t="shared" si="181"/>
        <v>5.6157354618015964E-2</v>
      </c>
      <c r="P1944">
        <f t="shared" si="182"/>
        <v>0.91898477157360403</v>
      </c>
      <c r="Q1944" s="2">
        <f t="shared" si="183"/>
        <v>9.0519999999999996</v>
      </c>
      <c r="R1944" s="2">
        <f t="shared" si="184"/>
        <v>45.26</v>
      </c>
      <c r="S1944" s="2">
        <f t="shared" si="185"/>
        <v>10.075121520106054</v>
      </c>
    </row>
    <row r="1945" spans="1:19" hidden="1">
      <c r="A1945" t="s">
        <v>1998</v>
      </c>
      <c r="B1945" t="s">
        <v>30</v>
      </c>
      <c r="C1945">
        <v>89</v>
      </c>
      <c r="D1945">
        <v>5733</v>
      </c>
      <c r="E1945" s="2">
        <v>215.33</v>
      </c>
      <c r="F1945">
        <v>22</v>
      </c>
      <c r="G1945">
        <v>9</v>
      </c>
      <c r="H1945">
        <v>0.10100000000000001</v>
      </c>
      <c r="I1945" s="3">
        <v>1323</v>
      </c>
      <c r="J1945" s="1">
        <v>45611</v>
      </c>
      <c r="K1945" t="s">
        <v>31</v>
      </c>
      <c r="L1945" t="s">
        <v>9</v>
      </c>
      <c r="M1945" t="s">
        <v>37</v>
      </c>
      <c r="N1945" s="1">
        <f t="shared" si="180"/>
        <v>45611</v>
      </c>
      <c r="O1945" s="4">
        <f t="shared" si="181"/>
        <v>1.5524158381301239E-2</v>
      </c>
      <c r="P1945">
        <f t="shared" si="182"/>
        <v>2.419438202247191</v>
      </c>
      <c r="Q1945" s="2">
        <f t="shared" si="183"/>
        <v>9.7877272727272739</v>
      </c>
      <c r="R1945" s="2">
        <f t="shared" si="184"/>
        <v>23.925555555555558</v>
      </c>
      <c r="S1945" s="2">
        <f t="shared" si="185"/>
        <v>6.1440579575535219</v>
      </c>
    </row>
    <row r="1946" spans="1:19" hidden="1">
      <c r="A1946" t="s">
        <v>1999</v>
      </c>
      <c r="B1946" t="s">
        <v>30</v>
      </c>
      <c r="C1946">
        <v>99</v>
      </c>
      <c r="D1946">
        <v>3948</v>
      </c>
      <c r="E1946" s="2">
        <v>198.65</v>
      </c>
      <c r="F1946">
        <v>22</v>
      </c>
      <c r="G1946">
        <v>4</v>
      </c>
      <c r="H1946">
        <v>0.04</v>
      </c>
      <c r="I1946" s="3">
        <v>1444</v>
      </c>
      <c r="J1946" s="1">
        <v>45615</v>
      </c>
      <c r="K1946" t="s">
        <v>31</v>
      </c>
      <c r="L1946" t="s">
        <v>8</v>
      </c>
      <c r="M1946" t="s">
        <v>39</v>
      </c>
      <c r="N1946" s="1">
        <f t="shared" si="180"/>
        <v>45615</v>
      </c>
      <c r="O1946" s="4">
        <f t="shared" si="181"/>
        <v>2.5075987841945289E-2</v>
      </c>
      <c r="P1946">
        <f t="shared" si="182"/>
        <v>2.0065656565656567</v>
      </c>
      <c r="Q1946" s="2">
        <f t="shared" si="183"/>
        <v>9.0295454545454543</v>
      </c>
      <c r="R1946" s="2">
        <f t="shared" si="184"/>
        <v>49.662500000000001</v>
      </c>
      <c r="S1946" s="2">
        <f t="shared" si="185"/>
        <v>7.269066196828593</v>
      </c>
    </row>
    <row r="1947" spans="1:19">
      <c r="A1947" t="s">
        <v>2000</v>
      </c>
      <c r="B1947" t="s">
        <v>30</v>
      </c>
      <c r="C1947">
        <v>110</v>
      </c>
      <c r="D1947">
        <v>4488</v>
      </c>
      <c r="E1947" s="2">
        <v>210.69</v>
      </c>
      <c r="F1947">
        <v>27</v>
      </c>
      <c r="G1947">
        <v>10</v>
      </c>
      <c r="H1947">
        <v>4.5999999999999999E-2</v>
      </c>
      <c r="I1947" s="3">
        <v>1872</v>
      </c>
      <c r="J1947" s="1">
        <v>45608</v>
      </c>
      <c r="K1947" t="s">
        <v>31</v>
      </c>
      <c r="L1947" t="s">
        <v>8</v>
      </c>
      <c r="M1947" t="s">
        <v>39</v>
      </c>
      <c r="N1947" s="1">
        <f t="shared" si="180"/>
        <v>45608</v>
      </c>
      <c r="O1947" s="4">
        <f t="shared" si="181"/>
        <v>2.4509803921568627E-2</v>
      </c>
      <c r="P1947">
        <f t="shared" si="182"/>
        <v>1.9153636363636364</v>
      </c>
      <c r="Q1947" s="2">
        <f t="shared" si="183"/>
        <v>7.8033333333333337</v>
      </c>
      <c r="R1947" s="2">
        <f t="shared" si="184"/>
        <v>21.068999999999999</v>
      </c>
      <c r="S1947" s="2">
        <f t="shared" si="185"/>
        <v>8.8850918410935495</v>
      </c>
    </row>
    <row r="1948" spans="1:19" hidden="1">
      <c r="A1948" t="s">
        <v>2001</v>
      </c>
      <c r="B1948" t="s">
        <v>30</v>
      </c>
      <c r="C1948">
        <v>124</v>
      </c>
      <c r="D1948">
        <v>4747</v>
      </c>
      <c r="E1948" s="2">
        <v>234.97</v>
      </c>
      <c r="F1948">
        <v>24</v>
      </c>
      <c r="G1948">
        <v>10</v>
      </c>
      <c r="H1948">
        <v>8.1000000000000003E-2</v>
      </c>
      <c r="I1948" s="3">
        <v>1505</v>
      </c>
      <c r="J1948" s="1">
        <v>45613</v>
      </c>
      <c r="K1948" t="s">
        <v>31</v>
      </c>
      <c r="L1948" t="s">
        <v>7</v>
      </c>
      <c r="M1948" t="s">
        <v>41</v>
      </c>
      <c r="N1948" s="1">
        <f t="shared" si="180"/>
        <v>45613</v>
      </c>
      <c r="O1948" s="4">
        <f t="shared" si="181"/>
        <v>2.6121761112281441E-2</v>
      </c>
      <c r="P1948">
        <f t="shared" si="182"/>
        <v>1.8949193548387098</v>
      </c>
      <c r="Q1948" s="2">
        <f t="shared" si="183"/>
        <v>9.7904166666666672</v>
      </c>
      <c r="R1948" s="2">
        <f t="shared" si="184"/>
        <v>23.497</v>
      </c>
      <c r="S1948" s="2">
        <f t="shared" si="185"/>
        <v>6.4050729880410264</v>
      </c>
    </row>
    <row r="1949" spans="1:19" hidden="1">
      <c r="A1949" t="s">
        <v>2002</v>
      </c>
      <c r="B1949" t="s">
        <v>30</v>
      </c>
      <c r="C1949">
        <v>120</v>
      </c>
      <c r="D1949">
        <v>5363</v>
      </c>
      <c r="E1949" s="2">
        <v>221.17</v>
      </c>
      <c r="F1949">
        <v>17</v>
      </c>
      <c r="G1949">
        <v>4</v>
      </c>
      <c r="H1949">
        <v>3.3000000000000002E-2</v>
      </c>
      <c r="I1949" s="3">
        <v>1345</v>
      </c>
      <c r="J1949" s="1">
        <v>45604</v>
      </c>
      <c r="K1949" t="s">
        <v>31</v>
      </c>
      <c r="L1949" t="s">
        <v>9</v>
      </c>
      <c r="M1949" t="s">
        <v>46</v>
      </c>
      <c r="N1949" s="1">
        <f t="shared" si="180"/>
        <v>45604</v>
      </c>
      <c r="O1949" s="4">
        <f t="shared" si="181"/>
        <v>2.2375536080551931E-2</v>
      </c>
      <c r="P1949">
        <f t="shared" si="182"/>
        <v>1.8430833333333332</v>
      </c>
      <c r="Q1949" s="2">
        <f t="shared" si="183"/>
        <v>13.01</v>
      </c>
      <c r="R1949" s="2">
        <f t="shared" si="184"/>
        <v>55.292499999999997</v>
      </c>
      <c r="S1949" s="2">
        <f t="shared" si="185"/>
        <v>6.0812949315006559</v>
      </c>
    </row>
    <row r="1950" spans="1:19" hidden="1">
      <c r="A1950" t="s">
        <v>2003</v>
      </c>
      <c r="B1950" t="s">
        <v>30</v>
      </c>
      <c r="C1950">
        <v>97</v>
      </c>
      <c r="D1950">
        <v>4518.5</v>
      </c>
      <c r="E1950" s="2">
        <v>184.76</v>
      </c>
      <c r="F1950">
        <v>25</v>
      </c>
      <c r="G1950">
        <v>10</v>
      </c>
      <c r="H1950">
        <v>0.10299999999999999</v>
      </c>
      <c r="I1950" s="3">
        <v>1505</v>
      </c>
      <c r="J1950" s="1" t="s">
        <v>50</v>
      </c>
      <c r="K1950" t="s">
        <v>31</v>
      </c>
      <c r="L1950" t="s">
        <v>9</v>
      </c>
      <c r="M1950" t="s">
        <v>37</v>
      </c>
      <c r="N1950" s="1">
        <f t="shared" si="180"/>
        <v>45610</v>
      </c>
      <c r="O1950" s="4">
        <f t="shared" si="181"/>
        <v>2.1467301095496293E-2</v>
      </c>
      <c r="P1950">
        <f t="shared" si="182"/>
        <v>1.9047422680412369</v>
      </c>
      <c r="Q1950" s="2">
        <f t="shared" si="183"/>
        <v>7.3903999999999996</v>
      </c>
      <c r="R1950" s="2">
        <f t="shared" si="184"/>
        <v>18.475999999999999</v>
      </c>
      <c r="S1950" s="2">
        <f t="shared" si="185"/>
        <v>8.1457025330158039</v>
      </c>
    </row>
    <row r="1951" spans="1:19" hidden="1">
      <c r="A1951" t="s">
        <v>2004</v>
      </c>
      <c r="B1951" t="s">
        <v>30</v>
      </c>
      <c r="C1951">
        <v>108</v>
      </c>
      <c r="D1951">
        <v>5611</v>
      </c>
      <c r="E1951" s="2">
        <v>224.38</v>
      </c>
      <c r="F1951">
        <v>29</v>
      </c>
      <c r="G1951">
        <v>8</v>
      </c>
      <c r="H1951">
        <v>7.3999999999999996E-2</v>
      </c>
      <c r="I1951" s="3">
        <v>1886</v>
      </c>
      <c r="J1951" s="1">
        <v>45607</v>
      </c>
      <c r="K1951" t="s">
        <v>31</v>
      </c>
      <c r="L1951" t="s">
        <v>8</v>
      </c>
      <c r="M1951" t="s">
        <v>46</v>
      </c>
      <c r="N1951" s="1">
        <f t="shared" si="180"/>
        <v>45607</v>
      </c>
      <c r="O1951" s="4">
        <f t="shared" si="181"/>
        <v>1.9247905899126717E-2</v>
      </c>
      <c r="P1951">
        <f t="shared" si="182"/>
        <v>2.0775925925925924</v>
      </c>
      <c r="Q1951" s="2">
        <f t="shared" si="183"/>
        <v>7.7372413793103449</v>
      </c>
      <c r="R1951" s="2">
        <f t="shared" si="184"/>
        <v>28.047499999999999</v>
      </c>
      <c r="S1951" s="2">
        <f t="shared" si="185"/>
        <v>8.4053837240395755</v>
      </c>
    </row>
    <row r="1952" spans="1:19" hidden="1">
      <c r="A1952" t="s">
        <v>2005</v>
      </c>
      <c r="B1952" t="s">
        <v>30</v>
      </c>
      <c r="C1952">
        <v>143</v>
      </c>
      <c r="D1952">
        <v>4788</v>
      </c>
      <c r="E1952" s="2">
        <v>213.2</v>
      </c>
      <c r="F1952">
        <v>24</v>
      </c>
      <c r="G1952">
        <v>7</v>
      </c>
      <c r="H1952">
        <v>4.9000000000000002E-2</v>
      </c>
      <c r="I1952" s="3">
        <v>1359</v>
      </c>
      <c r="J1952" s="1">
        <v>45302</v>
      </c>
      <c r="K1952" t="s">
        <v>31</v>
      </c>
      <c r="L1952" t="s">
        <v>7</v>
      </c>
      <c r="M1952" t="s">
        <v>46</v>
      </c>
      <c r="N1952" s="1">
        <f t="shared" si="180"/>
        <v>45302</v>
      </c>
      <c r="O1952" s="4">
        <f t="shared" si="181"/>
        <v>2.9866332497911444E-2</v>
      </c>
      <c r="P1952">
        <f t="shared" si="182"/>
        <v>1.4909090909090907</v>
      </c>
      <c r="Q1952" s="2">
        <f t="shared" si="183"/>
        <v>8.8833333333333329</v>
      </c>
      <c r="R1952" s="2">
        <f t="shared" si="184"/>
        <v>30.457142857142856</v>
      </c>
      <c r="S1952" s="2">
        <f t="shared" si="185"/>
        <v>6.3742964352720453</v>
      </c>
    </row>
    <row r="1953" spans="1:19">
      <c r="A1953" t="s">
        <v>2006</v>
      </c>
      <c r="B1953" t="s">
        <v>30</v>
      </c>
      <c r="C1953">
        <v>129</v>
      </c>
      <c r="D1953">
        <v>5899</v>
      </c>
      <c r="E1953" s="2">
        <v>216.85</v>
      </c>
      <c r="F1953">
        <v>15</v>
      </c>
      <c r="G1953">
        <v>9</v>
      </c>
      <c r="H1953">
        <v>4.5999999999999999E-2</v>
      </c>
      <c r="I1953" s="3">
        <v>1574</v>
      </c>
      <c r="J1953" s="1">
        <v>45626</v>
      </c>
      <c r="K1953" t="s">
        <v>31</v>
      </c>
      <c r="L1953" t="s">
        <v>7</v>
      </c>
      <c r="M1953" t="s">
        <v>35</v>
      </c>
      <c r="N1953" s="1">
        <f t="shared" si="180"/>
        <v>45626</v>
      </c>
      <c r="O1953" s="4">
        <f t="shared" si="181"/>
        <v>2.1868113239532125E-2</v>
      </c>
      <c r="P1953">
        <f t="shared" si="182"/>
        <v>1.6810077519379845</v>
      </c>
      <c r="Q1953" s="2">
        <f t="shared" si="183"/>
        <v>14.456666666666667</v>
      </c>
      <c r="R1953" s="2">
        <f t="shared" si="184"/>
        <v>24.094444444444445</v>
      </c>
      <c r="S1953" s="2">
        <f t="shared" si="185"/>
        <v>7.258473599262163</v>
      </c>
    </row>
    <row r="1954" spans="1:19" hidden="1">
      <c r="A1954" t="s">
        <v>2007</v>
      </c>
      <c r="B1954" t="s">
        <v>30</v>
      </c>
      <c r="C1954">
        <v>165</v>
      </c>
      <c r="D1954">
        <v>4121</v>
      </c>
      <c r="E1954" s="2">
        <v>224.59</v>
      </c>
      <c r="F1954">
        <v>30</v>
      </c>
      <c r="G1954">
        <v>7</v>
      </c>
      <c r="H1954">
        <v>4.2000000000000003E-2</v>
      </c>
      <c r="I1954" s="3">
        <v>1569</v>
      </c>
      <c r="J1954" s="1">
        <v>45599</v>
      </c>
      <c r="K1954" t="s">
        <v>31</v>
      </c>
      <c r="L1954" t="s">
        <v>8</v>
      </c>
      <c r="M1954" t="s">
        <v>35</v>
      </c>
      <c r="N1954" s="1">
        <f t="shared" si="180"/>
        <v>45599</v>
      </c>
      <c r="O1954" s="4">
        <f t="shared" si="181"/>
        <v>4.0038825527784518E-2</v>
      </c>
      <c r="P1954">
        <f t="shared" si="182"/>
        <v>1.3611515151515152</v>
      </c>
      <c r="Q1954" s="2">
        <f t="shared" si="183"/>
        <v>7.4863333333333335</v>
      </c>
      <c r="R1954" s="2">
        <f t="shared" si="184"/>
        <v>32.084285714285713</v>
      </c>
      <c r="S1954" s="2">
        <f t="shared" si="185"/>
        <v>6.9860634934770021</v>
      </c>
    </row>
    <row r="1955" spans="1:19" hidden="1">
      <c r="A1955" t="s">
        <v>2008</v>
      </c>
      <c r="B1955" t="s">
        <v>30</v>
      </c>
      <c r="C1955">
        <v>155</v>
      </c>
      <c r="D1955">
        <v>5030</v>
      </c>
      <c r="E1955" s="2">
        <v>234.41</v>
      </c>
      <c r="F1955">
        <v>13</v>
      </c>
      <c r="G1955">
        <v>5</v>
      </c>
      <c r="H1955">
        <v>3.2000000000000001E-2</v>
      </c>
      <c r="I1955" s="3">
        <v>1113</v>
      </c>
      <c r="J1955" s="1">
        <v>45515</v>
      </c>
      <c r="K1955" t="s">
        <v>31</v>
      </c>
      <c r="L1955" t="s">
        <v>8</v>
      </c>
      <c r="M1955" t="s">
        <v>41</v>
      </c>
      <c r="N1955" s="1">
        <f t="shared" si="180"/>
        <v>45515</v>
      </c>
      <c r="O1955" s="4">
        <f t="shared" si="181"/>
        <v>3.0815109343936383E-2</v>
      </c>
      <c r="P1955">
        <f t="shared" si="182"/>
        <v>1.5123225806451612</v>
      </c>
      <c r="Q1955" s="2">
        <f t="shared" si="183"/>
        <v>18.03153846153846</v>
      </c>
      <c r="R1955" s="2">
        <f t="shared" si="184"/>
        <v>46.881999999999998</v>
      </c>
      <c r="S1955" s="2">
        <f t="shared" si="185"/>
        <v>4.7480909517512053</v>
      </c>
    </row>
    <row r="1956" spans="1:19" hidden="1">
      <c r="A1956" t="s">
        <v>2009</v>
      </c>
      <c r="B1956" t="s">
        <v>30</v>
      </c>
      <c r="C1956">
        <v>156</v>
      </c>
      <c r="D1956">
        <v>3533</v>
      </c>
      <c r="E1956" s="2">
        <v>211.7</v>
      </c>
      <c r="F1956">
        <v>22</v>
      </c>
      <c r="G1956">
        <v>9</v>
      </c>
      <c r="H1956">
        <v>5.8000000000000003E-2</v>
      </c>
      <c r="I1956" s="3">
        <v>1399</v>
      </c>
      <c r="J1956" s="1">
        <v>45606</v>
      </c>
      <c r="K1956" t="s">
        <v>31</v>
      </c>
      <c r="L1956" t="s">
        <v>8</v>
      </c>
      <c r="M1956" t="s">
        <v>35</v>
      </c>
      <c r="N1956" s="1">
        <f t="shared" si="180"/>
        <v>45606</v>
      </c>
      <c r="O1956" s="4">
        <f t="shared" si="181"/>
        <v>4.4155108972544578E-2</v>
      </c>
      <c r="P1956">
        <f t="shared" si="182"/>
        <v>1.3570512820512819</v>
      </c>
      <c r="Q1956" s="2">
        <f t="shared" si="183"/>
        <v>9.622727272727273</v>
      </c>
      <c r="R1956" s="2">
        <f t="shared" si="184"/>
        <v>23.522222222222222</v>
      </c>
      <c r="S1956" s="2">
        <f t="shared" si="185"/>
        <v>6.6084081247047717</v>
      </c>
    </row>
    <row r="1957" spans="1:19" hidden="1">
      <c r="A1957" t="s">
        <v>2010</v>
      </c>
      <c r="B1957" t="s">
        <v>30</v>
      </c>
      <c r="C1957">
        <v>94</v>
      </c>
      <c r="D1957">
        <v>5751</v>
      </c>
      <c r="E1957" s="2">
        <v>205.37</v>
      </c>
      <c r="F1957">
        <v>10</v>
      </c>
      <c r="G1957">
        <v>9</v>
      </c>
      <c r="H1957">
        <v>9.6000000000000002E-2</v>
      </c>
      <c r="I1957" s="3">
        <v>1155</v>
      </c>
      <c r="J1957" s="1">
        <v>45615</v>
      </c>
      <c r="K1957" t="s">
        <v>31</v>
      </c>
      <c r="L1957" t="s">
        <v>9</v>
      </c>
      <c r="M1957" t="s">
        <v>35</v>
      </c>
      <c r="N1957" s="1">
        <f t="shared" si="180"/>
        <v>45615</v>
      </c>
      <c r="O1957" s="4">
        <f t="shared" si="181"/>
        <v>1.6344983481133717E-2</v>
      </c>
      <c r="P1957">
        <f t="shared" si="182"/>
        <v>2.1847872340425534</v>
      </c>
      <c r="Q1957" s="2">
        <f t="shared" si="183"/>
        <v>20.536999999999999</v>
      </c>
      <c r="R1957" s="2">
        <f t="shared" si="184"/>
        <v>22.818888888888889</v>
      </c>
      <c r="S1957" s="2">
        <f t="shared" si="185"/>
        <v>5.6239957150508832</v>
      </c>
    </row>
    <row r="1958" spans="1:19" hidden="1">
      <c r="A1958" t="s">
        <v>2011</v>
      </c>
      <c r="B1958" t="s">
        <v>30</v>
      </c>
      <c r="C1958">
        <v>170</v>
      </c>
      <c r="D1958">
        <v>5484</v>
      </c>
      <c r="E1958" s="2">
        <v>210.28</v>
      </c>
      <c r="F1958">
        <v>20</v>
      </c>
      <c r="G1958">
        <v>9</v>
      </c>
      <c r="H1958">
        <v>5.2999999999999999E-2</v>
      </c>
      <c r="I1958" s="3">
        <v>1319</v>
      </c>
      <c r="J1958" s="1" t="s">
        <v>111</v>
      </c>
      <c r="K1958" t="s">
        <v>31</v>
      </c>
      <c r="L1958" t="s">
        <v>9</v>
      </c>
      <c r="M1958" t="s">
        <v>39</v>
      </c>
      <c r="N1958" s="1">
        <f t="shared" si="180"/>
        <v>45619</v>
      </c>
      <c r="O1958" s="4">
        <f t="shared" si="181"/>
        <v>3.0999270605397519E-2</v>
      </c>
      <c r="P1958">
        <f t="shared" si="182"/>
        <v>1.2369411764705882</v>
      </c>
      <c r="Q1958" s="2">
        <f t="shared" si="183"/>
        <v>10.513999999999999</v>
      </c>
      <c r="R1958" s="2">
        <f t="shared" si="184"/>
        <v>23.364444444444445</v>
      </c>
      <c r="S1958" s="2">
        <f t="shared" si="185"/>
        <v>6.272588929046985</v>
      </c>
    </row>
    <row r="1959" spans="1:19" hidden="1">
      <c r="A1959" t="s">
        <v>2012</v>
      </c>
      <c r="B1959" t="s">
        <v>30</v>
      </c>
      <c r="C1959">
        <v>90</v>
      </c>
      <c r="D1959">
        <v>5457</v>
      </c>
      <c r="E1959" s="2">
        <v>233.5</v>
      </c>
      <c r="F1959">
        <v>17</v>
      </c>
      <c r="G1959">
        <v>9</v>
      </c>
      <c r="H1959">
        <v>0.1</v>
      </c>
      <c r="I1959" s="3">
        <v>1159</v>
      </c>
      <c r="J1959" s="1" t="s">
        <v>348</v>
      </c>
      <c r="K1959" t="s">
        <v>31</v>
      </c>
      <c r="L1959" t="s">
        <v>7</v>
      </c>
      <c r="M1959" t="s">
        <v>35</v>
      </c>
      <c r="N1959" s="1">
        <f t="shared" si="180"/>
        <v>45615</v>
      </c>
      <c r="O1959" s="4">
        <f t="shared" si="181"/>
        <v>1.6492578339747113E-2</v>
      </c>
      <c r="P1959">
        <f t="shared" si="182"/>
        <v>2.5944444444444446</v>
      </c>
      <c r="Q1959" s="2">
        <f t="shared" si="183"/>
        <v>13.735294117647058</v>
      </c>
      <c r="R1959" s="2">
        <f t="shared" si="184"/>
        <v>25.944444444444443</v>
      </c>
      <c r="S1959" s="2">
        <f t="shared" si="185"/>
        <v>4.9635974304068524</v>
      </c>
    </row>
    <row r="1960" spans="1:19">
      <c r="A1960" t="s">
        <v>2013</v>
      </c>
      <c r="B1960" t="s">
        <v>30</v>
      </c>
      <c r="C1960">
        <v>139</v>
      </c>
      <c r="D1960">
        <v>3314</v>
      </c>
      <c r="E1960" s="2">
        <v>215.57</v>
      </c>
      <c r="F1960">
        <v>26</v>
      </c>
      <c r="G1960">
        <v>10</v>
      </c>
      <c r="H1960">
        <v>4.5999999999999999E-2</v>
      </c>
      <c r="I1960" s="3">
        <v>1731</v>
      </c>
      <c r="J1960" s="1" t="s">
        <v>115</v>
      </c>
      <c r="K1960" t="s">
        <v>31</v>
      </c>
      <c r="L1960" t="s">
        <v>7</v>
      </c>
      <c r="M1960" t="s">
        <v>46</v>
      </c>
      <c r="N1960" s="1">
        <f t="shared" si="180"/>
        <v>45623</v>
      </c>
      <c r="O1960" s="4">
        <f t="shared" si="181"/>
        <v>4.1943270971635485E-2</v>
      </c>
      <c r="P1960">
        <f t="shared" si="182"/>
        <v>1.5508633093525179</v>
      </c>
      <c r="Q1960" s="2">
        <f t="shared" si="183"/>
        <v>8.2911538461538452</v>
      </c>
      <c r="R1960" s="2">
        <f t="shared" si="184"/>
        <v>21.556999999999999</v>
      </c>
      <c r="S1960" s="2">
        <f t="shared" si="185"/>
        <v>8.0298742867745982</v>
      </c>
    </row>
    <row r="1961" spans="1:19" hidden="1">
      <c r="A1961" t="s">
        <v>2014</v>
      </c>
      <c r="B1961" t="s">
        <v>30</v>
      </c>
      <c r="C1961">
        <v>80</v>
      </c>
      <c r="D1961">
        <v>5808</v>
      </c>
      <c r="E1961" s="2">
        <v>240.44</v>
      </c>
      <c r="F1961">
        <v>12</v>
      </c>
      <c r="G1961">
        <v>4</v>
      </c>
      <c r="H1961">
        <v>3.5999999999999997E-2</v>
      </c>
      <c r="I1961" s="3">
        <v>1542</v>
      </c>
      <c r="J1961" s="1">
        <v>45612</v>
      </c>
      <c r="K1961" t="s">
        <v>31</v>
      </c>
      <c r="L1961" t="s">
        <v>7</v>
      </c>
      <c r="M1961" t="s">
        <v>37</v>
      </c>
      <c r="N1961" s="1">
        <f t="shared" si="180"/>
        <v>45612</v>
      </c>
      <c r="O1961" s="4">
        <f t="shared" si="181"/>
        <v>1.3774104683195593E-2</v>
      </c>
      <c r="P1961">
        <f t="shared" si="182"/>
        <v>3.0055000000000001</v>
      </c>
      <c r="Q1961" s="2">
        <f t="shared" si="183"/>
        <v>20.036666666666665</v>
      </c>
      <c r="R1961" s="2">
        <f t="shared" si="184"/>
        <v>60.11</v>
      </c>
      <c r="S1961" s="2">
        <f t="shared" si="185"/>
        <v>6.4132423889535852</v>
      </c>
    </row>
    <row r="1962" spans="1:19" hidden="1">
      <c r="A1962" t="s">
        <v>2015</v>
      </c>
      <c r="B1962" t="s">
        <v>30</v>
      </c>
      <c r="C1962">
        <v>166</v>
      </c>
      <c r="D1962">
        <v>5567</v>
      </c>
      <c r="E1962" s="2">
        <v>199.13</v>
      </c>
      <c r="F1962">
        <v>29</v>
      </c>
      <c r="G1962">
        <v>5</v>
      </c>
      <c r="H1962">
        <v>0.03</v>
      </c>
      <c r="I1962" s="3">
        <v>1474</v>
      </c>
      <c r="J1962" s="1">
        <v>45604</v>
      </c>
      <c r="K1962" t="s">
        <v>31</v>
      </c>
      <c r="L1962" t="s">
        <v>8</v>
      </c>
      <c r="M1962" t="s">
        <v>32</v>
      </c>
      <c r="N1962" s="1">
        <f t="shared" si="180"/>
        <v>45604</v>
      </c>
      <c r="O1962" s="4">
        <f t="shared" si="181"/>
        <v>2.9818573738099517E-2</v>
      </c>
      <c r="P1962">
        <f t="shared" si="182"/>
        <v>1.199578313253012</v>
      </c>
      <c r="Q1962" s="2">
        <f t="shared" si="183"/>
        <v>6.8665517241379312</v>
      </c>
      <c r="R1962" s="2">
        <f t="shared" si="184"/>
        <v>39.826000000000001</v>
      </c>
      <c r="S1962" s="2">
        <f t="shared" si="185"/>
        <v>7.4021995681213282</v>
      </c>
    </row>
    <row r="1963" spans="1:19">
      <c r="A1963" t="s">
        <v>2016</v>
      </c>
      <c r="B1963" t="s">
        <v>30</v>
      </c>
      <c r="C1963">
        <v>149</v>
      </c>
      <c r="D1963">
        <v>5936</v>
      </c>
      <c r="E1963" s="2">
        <v>246.58</v>
      </c>
      <c r="F1963">
        <v>14</v>
      </c>
      <c r="G1963">
        <v>6</v>
      </c>
      <c r="H1963">
        <v>4.5999999999999999E-2</v>
      </c>
      <c r="I1963" s="3">
        <v>1396</v>
      </c>
      <c r="J1963" s="1">
        <v>45597</v>
      </c>
      <c r="K1963" t="s">
        <v>31</v>
      </c>
      <c r="L1963" t="s">
        <v>7</v>
      </c>
      <c r="M1963" t="s">
        <v>32</v>
      </c>
      <c r="N1963" s="1">
        <f t="shared" si="180"/>
        <v>45597</v>
      </c>
      <c r="O1963" s="4">
        <f t="shared" si="181"/>
        <v>2.5101078167115903E-2</v>
      </c>
      <c r="P1963">
        <f t="shared" si="182"/>
        <v>1.6548993288590605</v>
      </c>
      <c r="Q1963" s="2">
        <f t="shared" si="183"/>
        <v>17.612857142857145</v>
      </c>
      <c r="R1963" s="2">
        <f t="shared" si="184"/>
        <v>41.096666666666671</v>
      </c>
      <c r="S1963" s="2">
        <f t="shared" si="185"/>
        <v>5.6614486170816773</v>
      </c>
    </row>
    <row r="1964" spans="1:19">
      <c r="A1964" t="s">
        <v>2017</v>
      </c>
      <c r="B1964" t="s">
        <v>30</v>
      </c>
      <c r="C1964">
        <v>151</v>
      </c>
      <c r="D1964">
        <v>4966</v>
      </c>
      <c r="E1964" s="2">
        <v>223.67</v>
      </c>
      <c r="F1964">
        <v>15</v>
      </c>
      <c r="G1964">
        <v>3</v>
      </c>
      <c r="H1964">
        <v>4.5999999999999999E-2</v>
      </c>
      <c r="I1964" s="3">
        <v>1411</v>
      </c>
      <c r="J1964" s="1">
        <v>45605</v>
      </c>
      <c r="K1964" t="s">
        <v>31</v>
      </c>
      <c r="L1964" t="s">
        <v>9</v>
      </c>
      <c r="M1964" t="s">
        <v>46</v>
      </c>
      <c r="N1964" s="1">
        <f t="shared" si="180"/>
        <v>45605</v>
      </c>
      <c r="O1964" s="4">
        <f t="shared" si="181"/>
        <v>3.0406766008860251E-2</v>
      </c>
      <c r="P1964">
        <f t="shared" si="182"/>
        <v>1.4812582781456953</v>
      </c>
      <c r="Q1964" s="2">
        <f t="shared" si="183"/>
        <v>14.911333333333333</v>
      </c>
      <c r="R1964" s="2">
        <f t="shared" si="184"/>
        <v>74.556666666666658</v>
      </c>
      <c r="S1964" s="2">
        <f t="shared" si="185"/>
        <v>6.3084007689900305</v>
      </c>
    </row>
    <row r="1965" spans="1:19">
      <c r="A1965" t="s">
        <v>2018</v>
      </c>
      <c r="B1965" t="s">
        <v>30</v>
      </c>
      <c r="C1965">
        <v>186</v>
      </c>
      <c r="D1965">
        <v>4790</v>
      </c>
      <c r="E1965" s="2">
        <v>233.42</v>
      </c>
      <c r="F1965">
        <v>10</v>
      </c>
      <c r="G1965">
        <v>3</v>
      </c>
      <c r="H1965">
        <v>4.5999999999999999E-2</v>
      </c>
      <c r="I1965" s="3">
        <v>1201</v>
      </c>
      <c r="J1965" s="1">
        <v>45621</v>
      </c>
      <c r="K1965" t="s">
        <v>31</v>
      </c>
      <c r="L1965" t="s">
        <v>7</v>
      </c>
      <c r="M1965" t="s">
        <v>39</v>
      </c>
      <c r="N1965" s="1">
        <f t="shared" si="180"/>
        <v>45621</v>
      </c>
      <c r="O1965" s="4">
        <f t="shared" si="181"/>
        <v>3.8830897703549062E-2</v>
      </c>
      <c r="P1965">
        <f t="shared" si="182"/>
        <v>1.2549462365591397</v>
      </c>
      <c r="Q1965" s="2">
        <f t="shared" si="183"/>
        <v>23.341999999999999</v>
      </c>
      <c r="R1965" s="2">
        <f t="shared" si="184"/>
        <v>77.806666666666658</v>
      </c>
      <c r="S1965" s="2">
        <f t="shared" si="185"/>
        <v>5.1452317710564648</v>
      </c>
    </row>
    <row r="1966" spans="1:19" hidden="1">
      <c r="A1966" t="s">
        <v>2019</v>
      </c>
      <c r="B1966" t="s">
        <v>30</v>
      </c>
      <c r="C1966">
        <v>143</v>
      </c>
      <c r="D1966">
        <v>4932</v>
      </c>
      <c r="E1966" s="2">
        <v>206.35</v>
      </c>
      <c r="F1966">
        <v>20</v>
      </c>
      <c r="G1966">
        <v>9</v>
      </c>
      <c r="H1966">
        <v>6.3E-2</v>
      </c>
      <c r="I1966" s="3">
        <v>1132</v>
      </c>
      <c r="J1966" s="1" t="s">
        <v>73</v>
      </c>
      <c r="K1966" t="s">
        <v>31</v>
      </c>
      <c r="L1966" t="s">
        <v>7</v>
      </c>
      <c r="M1966" t="s">
        <v>35</v>
      </c>
      <c r="N1966" s="1">
        <f t="shared" si="180"/>
        <v>45618</v>
      </c>
      <c r="O1966" s="4">
        <f t="shared" si="181"/>
        <v>2.8994322789943228E-2</v>
      </c>
      <c r="P1966">
        <f t="shared" si="182"/>
        <v>1.4430069930069929</v>
      </c>
      <c r="Q1966" s="2">
        <f t="shared" si="183"/>
        <v>10.317499999999999</v>
      </c>
      <c r="R1966" s="2">
        <f t="shared" si="184"/>
        <v>22.927777777777777</v>
      </c>
      <c r="S1966" s="2">
        <f t="shared" si="185"/>
        <v>5.4858250545190215</v>
      </c>
    </row>
    <row r="1967" spans="1:19" hidden="1">
      <c r="A1967" t="s">
        <v>2020</v>
      </c>
      <c r="B1967" t="s">
        <v>30</v>
      </c>
      <c r="C1967">
        <v>180</v>
      </c>
      <c r="D1967">
        <v>3991</v>
      </c>
      <c r="E1967" s="2">
        <v>200.43</v>
      </c>
      <c r="F1967">
        <v>10</v>
      </c>
      <c r="G1967">
        <v>10</v>
      </c>
      <c r="H1967">
        <v>5.6000000000000001E-2</v>
      </c>
      <c r="I1967" s="3">
        <v>1427</v>
      </c>
      <c r="J1967" s="1" t="s">
        <v>94</v>
      </c>
      <c r="K1967" t="s">
        <v>31</v>
      </c>
      <c r="L1967" t="s">
        <v>9</v>
      </c>
      <c r="M1967" t="s">
        <v>41</v>
      </c>
      <c r="N1967" s="1">
        <f t="shared" si="180"/>
        <v>45617</v>
      </c>
      <c r="O1967" s="4">
        <f t="shared" si="181"/>
        <v>4.5101478326234026E-2</v>
      </c>
      <c r="P1967">
        <f t="shared" si="182"/>
        <v>1.1134999999999999</v>
      </c>
      <c r="Q1967" s="2">
        <f t="shared" si="183"/>
        <v>20.042999999999999</v>
      </c>
      <c r="R1967" s="2">
        <f t="shared" si="184"/>
        <v>20.042999999999999</v>
      </c>
      <c r="S1967" s="2">
        <f t="shared" si="185"/>
        <v>7.1196926607793243</v>
      </c>
    </row>
    <row r="1968" spans="1:19" hidden="1">
      <c r="A1968" t="s">
        <v>2021</v>
      </c>
      <c r="B1968" t="s">
        <v>30</v>
      </c>
      <c r="C1968">
        <v>141</v>
      </c>
      <c r="D1968">
        <v>3306</v>
      </c>
      <c r="E1968" s="2">
        <v>188.29</v>
      </c>
      <c r="F1968">
        <v>30</v>
      </c>
      <c r="G1968">
        <v>9</v>
      </c>
      <c r="H1968">
        <v>4.1000000000000002E-2</v>
      </c>
      <c r="I1968" s="3">
        <v>1561</v>
      </c>
      <c r="J1968" s="1">
        <v>45614</v>
      </c>
      <c r="K1968" t="s">
        <v>31</v>
      </c>
      <c r="L1968" t="s">
        <v>9</v>
      </c>
      <c r="M1968" t="s">
        <v>46</v>
      </c>
      <c r="N1968" s="1">
        <f t="shared" si="180"/>
        <v>45614</v>
      </c>
      <c r="O1968" s="4">
        <f t="shared" si="181"/>
        <v>4.26497277676951E-2</v>
      </c>
      <c r="P1968">
        <f t="shared" si="182"/>
        <v>1.3353900709219857</v>
      </c>
      <c r="Q1968" s="2">
        <f t="shared" si="183"/>
        <v>6.2763333333333327</v>
      </c>
      <c r="R1968" s="2">
        <f t="shared" si="184"/>
        <v>20.921111111111109</v>
      </c>
      <c r="S1968" s="2">
        <f t="shared" si="185"/>
        <v>8.2904031015985975</v>
      </c>
    </row>
    <row r="1969" spans="1:19" hidden="1">
      <c r="A1969" t="s">
        <v>2022</v>
      </c>
      <c r="B1969" t="s">
        <v>30</v>
      </c>
      <c r="C1969">
        <v>80</v>
      </c>
      <c r="D1969">
        <v>3432</v>
      </c>
      <c r="E1969" s="2">
        <v>226.03</v>
      </c>
      <c r="F1969">
        <v>20</v>
      </c>
      <c r="G1969">
        <v>9</v>
      </c>
      <c r="H1969">
        <v>0.113</v>
      </c>
      <c r="I1969" s="3">
        <v>1254</v>
      </c>
      <c r="J1969" s="1">
        <v>45603</v>
      </c>
      <c r="K1969" t="s">
        <v>31</v>
      </c>
      <c r="L1969" t="s">
        <v>7</v>
      </c>
      <c r="M1969" t="s">
        <v>32</v>
      </c>
      <c r="N1969" s="1">
        <f t="shared" si="180"/>
        <v>45603</v>
      </c>
      <c r="O1969" s="4">
        <f t="shared" si="181"/>
        <v>2.3310023310023312E-2</v>
      </c>
      <c r="P1969">
        <f t="shared" si="182"/>
        <v>2.8253750000000002</v>
      </c>
      <c r="Q1969" s="2">
        <f t="shared" si="183"/>
        <v>11.301500000000001</v>
      </c>
      <c r="R1969" s="2">
        <f t="shared" si="184"/>
        <v>25.114444444444445</v>
      </c>
      <c r="S1969" s="2">
        <f t="shared" si="185"/>
        <v>5.5479361146750428</v>
      </c>
    </row>
    <row r="1970" spans="1:19" hidden="1">
      <c r="A1970" t="s">
        <v>2023</v>
      </c>
      <c r="B1970" t="s">
        <v>30</v>
      </c>
      <c r="C1970">
        <v>152</v>
      </c>
      <c r="D1970">
        <v>4683</v>
      </c>
      <c r="E1970" s="2">
        <v>223.33</v>
      </c>
      <c r="F1970">
        <v>12</v>
      </c>
      <c r="G1970">
        <v>7</v>
      </c>
      <c r="H1970">
        <v>4.5999999999999999E-2</v>
      </c>
      <c r="I1970" s="3">
        <v>1697</v>
      </c>
      <c r="J1970" s="1">
        <v>45614</v>
      </c>
      <c r="K1970" t="s">
        <v>31</v>
      </c>
      <c r="L1970" t="s">
        <v>9</v>
      </c>
      <c r="M1970" t="s">
        <v>35</v>
      </c>
      <c r="N1970" s="1">
        <f t="shared" si="180"/>
        <v>45614</v>
      </c>
      <c r="O1970" s="4">
        <f t="shared" si="181"/>
        <v>3.2457826179799275E-2</v>
      </c>
      <c r="P1970">
        <f t="shared" si="182"/>
        <v>1.4692763157894737</v>
      </c>
      <c r="Q1970" s="2">
        <f t="shared" si="183"/>
        <v>18.610833333333336</v>
      </c>
      <c r="R1970" s="2">
        <f t="shared" si="184"/>
        <v>31.904285714285717</v>
      </c>
      <c r="S1970" s="2">
        <f t="shared" si="185"/>
        <v>7.5986208749384314</v>
      </c>
    </row>
    <row r="1971" spans="1:19" hidden="1">
      <c r="A1971" t="s">
        <v>2024</v>
      </c>
      <c r="B1971" t="s">
        <v>30</v>
      </c>
      <c r="C1971">
        <v>189</v>
      </c>
      <c r="D1971">
        <v>3635</v>
      </c>
      <c r="E1971" s="2">
        <v>229.08</v>
      </c>
      <c r="F1971">
        <v>17</v>
      </c>
      <c r="G1971">
        <v>9</v>
      </c>
      <c r="H1971">
        <v>4.8000000000000001E-2</v>
      </c>
      <c r="I1971" s="3">
        <v>1225</v>
      </c>
      <c r="J1971" s="1" t="s">
        <v>217</v>
      </c>
      <c r="K1971" t="s">
        <v>31</v>
      </c>
      <c r="L1971" t="s">
        <v>9</v>
      </c>
      <c r="M1971" t="s">
        <v>41</v>
      </c>
      <c r="N1971" s="1">
        <f t="shared" si="180"/>
        <v>45609</v>
      </c>
      <c r="O1971" s="4">
        <f t="shared" si="181"/>
        <v>5.1994497936726274E-2</v>
      </c>
      <c r="P1971">
        <f t="shared" si="182"/>
        <v>1.2120634920634921</v>
      </c>
      <c r="Q1971" s="2">
        <f t="shared" si="183"/>
        <v>13.47529411764706</v>
      </c>
      <c r="R1971" s="2">
        <f t="shared" si="184"/>
        <v>25.453333333333333</v>
      </c>
      <c r="S1971" s="2">
        <f t="shared" si="185"/>
        <v>5.3474768639776498</v>
      </c>
    </row>
    <row r="1972" spans="1:19">
      <c r="A1972" t="s">
        <v>2025</v>
      </c>
      <c r="B1972" t="s">
        <v>30</v>
      </c>
      <c r="C1972">
        <v>121</v>
      </c>
      <c r="D1972">
        <v>4638</v>
      </c>
      <c r="E1972" s="2">
        <v>198.88</v>
      </c>
      <c r="F1972">
        <v>14</v>
      </c>
      <c r="G1972">
        <v>6</v>
      </c>
      <c r="H1972">
        <v>4.5999999999999999E-2</v>
      </c>
      <c r="I1972" s="3">
        <v>1964</v>
      </c>
      <c r="J1972" s="1">
        <v>45604</v>
      </c>
      <c r="K1972" t="s">
        <v>31</v>
      </c>
      <c r="L1972" t="s">
        <v>7</v>
      </c>
      <c r="M1972" t="s">
        <v>32</v>
      </c>
      <c r="N1972" s="1">
        <f t="shared" si="180"/>
        <v>45604</v>
      </c>
      <c r="O1972" s="4">
        <f t="shared" si="181"/>
        <v>2.6088831392841742E-2</v>
      </c>
      <c r="P1972">
        <f t="shared" si="182"/>
        <v>1.6436363636363636</v>
      </c>
      <c r="Q1972" s="2">
        <f t="shared" si="183"/>
        <v>14.205714285714285</v>
      </c>
      <c r="R1972" s="2">
        <f t="shared" si="184"/>
        <v>33.146666666666668</v>
      </c>
      <c r="S1972" s="2">
        <f t="shared" si="185"/>
        <v>9.8753016894609811</v>
      </c>
    </row>
    <row r="1973" spans="1:19" hidden="1">
      <c r="A1973" t="s">
        <v>2026</v>
      </c>
      <c r="B1973" t="s">
        <v>30</v>
      </c>
      <c r="C1973">
        <v>140</v>
      </c>
      <c r="D1973">
        <v>5095</v>
      </c>
      <c r="E1973" s="2">
        <v>223.77</v>
      </c>
      <c r="F1973">
        <v>28</v>
      </c>
      <c r="G1973">
        <v>7</v>
      </c>
      <c r="H1973">
        <v>0.05</v>
      </c>
      <c r="I1973" s="3">
        <v>1233</v>
      </c>
      <c r="J1973" s="1" t="s">
        <v>50</v>
      </c>
      <c r="K1973" t="s">
        <v>31</v>
      </c>
      <c r="L1973" t="s">
        <v>9</v>
      </c>
      <c r="M1973" t="s">
        <v>32</v>
      </c>
      <c r="N1973" s="1">
        <f t="shared" si="180"/>
        <v>45610</v>
      </c>
      <c r="O1973" s="4">
        <f t="shared" si="181"/>
        <v>2.747791952894995E-2</v>
      </c>
      <c r="P1973">
        <f t="shared" si="182"/>
        <v>1.598357142857143</v>
      </c>
      <c r="Q1973" s="2">
        <f t="shared" si="183"/>
        <v>7.9917857142857143</v>
      </c>
      <c r="R1973" s="2">
        <f t="shared" si="184"/>
        <v>31.967142857142857</v>
      </c>
      <c r="S1973" s="2">
        <f t="shared" si="185"/>
        <v>5.5101220002681321</v>
      </c>
    </row>
    <row r="1974" spans="1:19">
      <c r="A1974" t="s">
        <v>2027</v>
      </c>
      <c r="B1974" t="s">
        <v>30</v>
      </c>
      <c r="C1974">
        <v>183</v>
      </c>
      <c r="D1974">
        <v>5749</v>
      </c>
      <c r="E1974" s="2">
        <v>213.66</v>
      </c>
      <c r="F1974">
        <v>23</v>
      </c>
      <c r="G1974">
        <v>7</v>
      </c>
      <c r="H1974">
        <v>4.5999999999999999E-2</v>
      </c>
      <c r="I1974" s="3">
        <v>1187</v>
      </c>
      <c r="J1974" s="1">
        <v>45618</v>
      </c>
      <c r="K1974" t="s">
        <v>31</v>
      </c>
      <c r="L1974" t="s">
        <v>8</v>
      </c>
      <c r="M1974" t="s">
        <v>41</v>
      </c>
      <c r="N1974" s="1">
        <f t="shared" si="180"/>
        <v>45618</v>
      </c>
      <c r="O1974" s="4">
        <f t="shared" si="181"/>
        <v>3.1831622890937557E-2</v>
      </c>
      <c r="P1974">
        <f t="shared" si="182"/>
        <v>1.1675409836065573</v>
      </c>
      <c r="Q1974" s="2">
        <f t="shared" si="183"/>
        <v>9.2895652173913046</v>
      </c>
      <c r="R1974" s="2">
        <f t="shared" si="184"/>
        <v>30.522857142857141</v>
      </c>
      <c r="S1974" s="2">
        <f t="shared" si="185"/>
        <v>5.5555555555555554</v>
      </c>
    </row>
    <row r="1975" spans="1:19" hidden="1">
      <c r="A1975" t="s">
        <v>2028</v>
      </c>
      <c r="B1975" t="s">
        <v>30</v>
      </c>
      <c r="C1975">
        <v>156</v>
      </c>
      <c r="D1975">
        <v>3964</v>
      </c>
      <c r="E1975" s="2">
        <v>184.42</v>
      </c>
      <c r="F1975">
        <v>22</v>
      </c>
      <c r="G1975">
        <v>6</v>
      </c>
      <c r="H1975">
        <v>3.7999999999999999E-2</v>
      </c>
      <c r="I1975" s="3">
        <v>1893</v>
      </c>
      <c r="J1975" s="1">
        <v>45626</v>
      </c>
      <c r="K1975" t="s">
        <v>31</v>
      </c>
      <c r="L1975" t="s">
        <v>9</v>
      </c>
      <c r="M1975" t="s">
        <v>41</v>
      </c>
      <c r="N1975" s="1">
        <f t="shared" si="180"/>
        <v>45626</v>
      </c>
      <c r="O1975" s="4">
        <f t="shared" si="181"/>
        <v>3.9354187689202826E-2</v>
      </c>
      <c r="P1975">
        <f t="shared" si="182"/>
        <v>1.1821794871794871</v>
      </c>
      <c r="Q1975" s="2">
        <f t="shared" si="183"/>
        <v>8.3827272727272728</v>
      </c>
      <c r="R1975" s="2">
        <f t="shared" si="184"/>
        <v>30.736666666666665</v>
      </c>
      <c r="S1975" s="2">
        <f t="shared" si="185"/>
        <v>10.264613382496476</v>
      </c>
    </row>
    <row r="1976" spans="1:19" hidden="1">
      <c r="A1976" t="s">
        <v>2029</v>
      </c>
      <c r="B1976" t="s">
        <v>30</v>
      </c>
      <c r="C1976">
        <v>136</v>
      </c>
      <c r="D1976">
        <v>5645</v>
      </c>
      <c r="E1976" s="2">
        <v>195.55</v>
      </c>
      <c r="F1976">
        <v>26</v>
      </c>
      <c r="G1976">
        <v>4</v>
      </c>
      <c r="H1976">
        <v>2.9000000000000001E-2</v>
      </c>
      <c r="I1976" s="3">
        <v>1773</v>
      </c>
      <c r="J1976" s="1">
        <v>45302</v>
      </c>
      <c r="K1976" t="s">
        <v>31</v>
      </c>
      <c r="L1976" t="s">
        <v>9</v>
      </c>
      <c r="M1976" t="s">
        <v>32</v>
      </c>
      <c r="N1976" s="1">
        <f t="shared" si="180"/>
        <v>45302</v>
      </c>
      <c r="O1976" s="4">
        <f t="shared" si="181"/>
        <v>2.4092116917626218E-2</v>
      </c>
      <c r="P1976">
        <f t="shared" si="182"/>
        <v>1.4378676470588236</v>
      </c>
      <c r="Q1976" s="2">
        <f t="shared" si="183"/>
        <v>7.5211538461538465</v>
      </c>
      <c r="R1976" s="2">
        <f t="shared" si="184"/>
        <v>48.887500000000003</v>
      </c>
      <c r="S1976" s="2">
        <f t="shared" si="185"/>
        <v>9.0667348504218861</v>
      </c>
    </row>
    <row r="1977" spans="1:19" hidden="1">
      <c r="A1977" t="s">
        <v>2030</v>
      </c>
      <c r="B1977" t="s">
        <v>30</v>
      </c>
      <c r="C1977">
        <v>107</v>
      </c>
      <c r="D1977">
        <v>5272</v>
      </c>
      <c r="E1977" s="2">
        <v>223.18</v>
      </c>
      <c r="F1977">
        <v>16</v>
      </c>
      <c r="G1977">
        <v>8</v>
      </c>
      <c r="H1977">
        <v>7.4999999999999997E-2</v>
      </c>
      <c r="I1977" s="3">
        <v>1110</v>
      </c>
      <c r="J1977" s="1" t="s">
        <v>357</v>
      </c>
      <c r="K1977" t="s">
        <v>31</v>
      </c>
      <c r="L1977" t="s">
        <v>7</v>
      </c>
      <c r="M1977" t="s">
        <v>32</v>
      </c>
      <c r="N1977" s="1">
        <f t="shared" si="180"/>
        <v>45624</v>
      </c>
      <c r="O1977" s="4">
        <f t="shared" si="181"/>
        <v>2.0295902883156296E-2</v>
      </c>
      <c r="P1977">
        <f t="shared" si="182"/>
        <v>2.0857943925233644</v>
      </c>
      <c r="Q1977" s="2">
        <f t="shared" si="183"/>
        <v>13.94875</v>
      </c>
      <c r="R1977" s="2">
        <f t="shared" si="184"/>
        <v>27.897500000000001</v>
      </c>
      <c r="S1977" s="2">
        <f t="shared" si="185"/>
        <v>4.9735639394210951</v>
      </c>
    </row>
    <row r="1978" spans="1:19">
      <c r="A1978" t="s">
        <v>2031</v>
      </c>
      <c r="B1978" t="s">
        <v>30</v>
      </c>
      <c r="C1978">
        <v>86</v>
      </c>
      <c r="D1978">
        <v>4824</v>
      </c>
      <c r="E1978" s="2">
        <v>231.61</v>
      </c>
      <c r="F1978">
        <v>20</v>
      </c>
      <c r="G1978">
        <v>7</v>
      </c>
      <c r="H1978">
        <v>4.5999999999999999E-2</v>
      </c>
      <c r="I1978" s="3">
        <v>1390</v>
      </c>
      <c r="J1978" s="1">
        <v>45606</v>
      </c>
      <c r="K1978" t="s">
        <v>31</v>
      </c>
      <c r="L1978" t="s">
        <v>9</v>
      </c>
      <c r="M1978" t="s">
        <v>37</v>
      </c>
      <c r="N1978" s="1">
        <f t="shared" si="180"/>
        <v>45606</v>
      </c>
      <c r="O1978" s="4">
        <f t="shared" si="181"/>
        <v>1.7827529021558871E-2</v>
      </c>
      <c r="P1978">
        <f t="shared" si="182"/>
        <v>2.6931395348837213</v>
      </c>
      <c r="Q1978" s="2">
        <f t="shared" si="183"/>
        <v>11.580500000000001</v>
      </c>
      <c r="R1978" s="2">
        <f t="shared" si="184"/>
        <v>33.087142857142858</v>
      </c>
      <c r="S1978" s="2">
        <f t="shared" si="185"/>
        <v>6.0014679849747417</v>
      </c>
    </row>
    <row r="1979" spans="1:19" hidden="1">
      <c r="A1979" t="s">
        <v>2032</v>
      </c>
      <c r="B1979" t="s">
        <v>30</v>
      </c>
      <c r="C1979">
        <v>165</v>
      </c>
      <c r="D1979">
        <v>5455</v>
      </c>
      <c r="E1979" s="2">
        <v>191.75</v>
      </c>
      <c r="F1979">
        <v>30</v>
      </c>
      <c r="G1979">
        <v>5</v>
      </c>
      <c r="H1979">
        <v>0.03</v>
      </c>
      <c r="I1979" s="3">
        <v>1145</v>
      </c>
      <c r="J1979" s="1">
        <v>45598</v>
      </c>
      <c r="K1979" t="s">
        <v>31</v>
      </c>
      <c r="L1979" t="s">
        <v>7</v>
      </c>
      <c r="M1979" t="s">
        <v>39</v>
      </c>
      <c r="N1979" s="1">
        <f t="shared" si="180"/>
        <v>45598</v>
      </c>
      <c r="O1979" s="4">
        <f t="shared" si="181"/>
        <v>3.0247479376718608E-2</v>
      </c>
      <c r="P1979">
        <f t="shared" si="182"/>
        <v>1.1621212121212121</v>
      </c>
      <c r="Q1979" s="2">
        <f t="shared" si="183"/>
        <v>6.3916666666666666</v>
      </c>
      <c r="R1979" s="2">
        <f t="shared" si="184"/>
        <v>38.35</v>
      </c>
      <c r="S1979" s="2">
        <f t="shared" si="185"/>
        <v>5.9713168187744463</v>
      </c>
    </row>
    <row r="1980" spans="1:19">
      <c r="A1980" t="s">
        <v>2033</v>
      </c>
      <c r="B1980" t="s">
        <v>30</v>
      </c>
      <c r="C1980">
        <v>145</v>
      </c>
      <c r="D1980">
        <v>3779</v>
      </c>
      <c r="E1980" s="2">
        <v>182.65</v>
      </c>
      <c r="F1980">
        <v>27</v>
      </c>
      <c r="G1980">
        <v>4</v>
      </c>
      <c r="H1980">
        <v>4.5999999999999999E-2</v>
      </c>
      <c r="I1980" s="3">
        <v>1364</v>
      </c>
      <c r="J1980" s="1">
        <v>45620</v>
      </c>
      <c r="K1980" t="s">
        <v>31</v>
      </c>
      <c r="L1980" t="s">
        <v>9</v>
      </c>
      <c r="M1980" t="s">
        <v>46</v>
      </c>
      <c r="N1980" s="1">
        <f t="shared" si="180"/>
        <v>45620</v>
      </c>
      <c r="O1980" s="4">
        <f t="shared" si="181"/>
        <v>3.8369939137337918E-2</v>
      </c>
      <c r="P1980">
        <f t="shared" si="182"/>
        <v>1.2596551724137932</v>
      </c>
      <c r="Q1980" s="2">
        <f t="shared" si="183"/>
        <v>6.7648148148148151</v>
      </c>
      <c r="R1980" s="2">
        <f t="shared" si="184"/>
        <v>45.662500000000001</v>
      </c>
      <c r="S1980" s="2">
        <f t="shared" si="185"/>
        <v>7.4678346564467555</v>
      </c>
    </row>
    <row r="1981" spans="1:19" hidden="1">
      <c r="A1981" t="s">
        <v>2034</v>
      </c>
      <c r="B1981" t="s">
        <v>30</v>
      </c>
      <c r="C1981">
        <v>99</v>
      </c>
      <c r="D1981">
        <v>5981</v>
      </c>
      <c r="E1981" s="2">
        <v>243.89</v>
      </c>
      <c r="F1981">
        <v>16</v>
      </c>
      <c r="G1981">
        <v>9</v>
      </c>
      <c r="H1981">
        <v>9.0999999999999998E-2</v>
      </c>
      <c r="I1981" s="3">
        <v>1876</v>
      </c>
      <c r="J1981" s="1">
        <v>45607</v>
      </c>
      <c r="K1981" t="s">
        <v>31</v>
      </c>
      <c r="L1981" t="s">
        <v>7</v>
      </c>
      <c r="M1981" t="s">
        <v>37</v>
      </c>
      <c r="N1981" s="1">
        <f t="shared" si="180"/>
        <v>45607</v>
      </c>
      <c r="O1981" s="4">
        <f t="shared" si="181"/>
        <v>1.6552415983949173E-2</v>
      </c>
      <c r="P1981">
        <f t="shared" si="182"/>
        <v>2.4635353535353532</v>
      </c>
      <c r="Q1981" s="2">
        <f t="shared" si="183"/>
        <v>15.243124999999999</v>
      </c>
      <c r="R1981" s="2">
        <f t="shared" si="184"/>
        <v>27.098888888888887</v>
      </c>
      <c r="S1981" s="2">
        <f t="shared" si="185"/>
        <v>7.6919922916068728</v>
      </c>
    </row>
    <row r="1982" spans="1:19">
      <c r="A1982" t="s">
        <v>2035</v>
      </c>
      <c r="B1982" t="s">
        <v>30</v>
      </c>
      <c r="C1982">
        <v>139</v>
      </c>
      <c r="D1982">
        <v>5954</v>
      </c>
      <c r="E1982" s="2">
        <v>216.02</v>
      </c>
      <c r="F1982">
        <v>27</v>
      </c>
      <c r="G1982">
        <v>10</v>
      </c>
      <c r="H1982">
        <v>4.5999999999999999E-2</v>
      </c>
      <c r="I1982" s="3">
        <v>1880</v>
      </c>
      <c r="J1982" s="1">
        <v>45624</v>
      </c>
      <c r="K1982" t="s">
        <v>31</v>
      </c>
      <c r="L1982" t="s">
        <v>7</v>
      </c>
      <c r="M1982" t="s">
        <v>39</v>
      </c>
      <c r="N1982" s="1">
        <f t="shared" si="180"/>
        <v>45624</v>
      </c>
      <c r="O1982" s="4">
        <f t="shared" si="181"/>
        <v>2.3345649983204569E-2</v>
      </c>
      <c r="P1982">
        <f t="shared" si="182"/>
        <v>1.5541007194244605</v>
      </c>
      <c r="Q1982" s="2">
        <f t="shared" si="183"/>
        <v>8.0007407407407403</v>
      </c>
      <c r="R1982" s="2">
        <f t="shared" si="184"/>
        <v>21.602</v>
      </c>
      <c r="S1982" s="2">
        <f t="shared" si="185"/>
        <v>8.702897879825942</v>
      </c>
    </row>
    <row r="1983" spans="1:19" hidden="1">
      <c r="A1983" t="s">
        <v>2036</v>
      </c>
      <c r="B1983" t="s">
        <v>30</v>
      </c>
      <c r="C1983">
        <v>139</v>
      </c>
      <c r="D1983">
        <v>5055</v>
      </c>
      <c r="E1983" s="2">
        <v>215.57</v>
      </c>
      <c r="F1983">
        <v>19</v>
      </c>
      <c r="G1983">
        <v>8</v>
      </c>
      <c r="H1983">
        <v>5.8000000000000003E-2</v>
      </c>
      <c r="I1983" s="3">
        <v>1696</v>
      </c>
      <c r="J1983" s="1" t="s">
        <v>86</v>
      </c>
      <c r="K1983" t="s">
        <v>31</v>
      </c>
      <c r="L1983" t="s">
        <v>9</v>
      </c>
      <c r="M1983" t="s">
        <v>41</v>
      </c>
      <c r="N1983" s="1">
        <f t="shared" si="180"/>
        <v>45625</v>
      </c>
      <c r="O1983" s="4">
        <f t="shared" si="181"/>
        <v>2.7497527200791294E-2</v>
      </c>
      <c r="P1983">
        <f t="shared" si="182"/>
        <v>1.5508633093525179</v>
      </c>
      <c r="Q1983" s="2">
        <f t="shared" si="183"/>
        <v>11.34578947368421</v>
      </c>
      <c r="R1983" s="2">
        <f t="shared" si="184"/>
        <v>26.946249999999999</v>
      </c>
      <c r="S1983" s="2">
        <f t="shared" si="185"/>
        <v>7.8675140325648281</v>
      </c>
    </row>
    <row r="1984" spans="1:19" hidden="1">
      <c r="A1984" t="s">
        <v>2037</v>
      </c>
      <c r="B1984" t="s">
        <v>30</v>
      </c>
      <c r="C1984">
        <v>153</v>
      </c>
      <c r="D1984">
        <v>4524</v>
      </c>
      <c r="E1984" s="2">
        <v>224.15</v>
      </c>
      <c r="F1984">
        <v>20</v>
      </c>
      <c r="G1984">
        <v>4</v>
      </c>
      <c r="H1984">
        <v>2.5999999999999999E-2</v>
      </c>
      <c r="I1984" s="3">
        <v>1083</v>
      </c>
      <c r="J1984" s="1">
        <v>45601</v>
      </c>
      <c r="K1984" t="s">
        <v>31</v>
      </c>
      <c r="L1984" t="s">
        <v>9</v>
      </c>
      <c r="M1984" t="s">
        <v>32</v>
      </c>
      <c r="N1984" s="1">
        <f t="shared" si="180"/>
        <v>45601</v>
      </c>
      <c r="O1984" s="4">
        <f t="shared" si="181"/>
        <v>3.3819628647214856E-2</v>
      </c>
      <c r="P1984">
        <f t="shared" si="182"/>
        <v>1.4650326797385622</v>
      </c>
      <c r="Q1984" s="2">
        <f t="shared" si="183"/>
        <v>11.2075</v>
      </c>
      <c r="R1984" s="2">
        <f t="shared" si="184"/>
        <v>56.037500000000001</v>
      </c>
      <c r="S1984" s="2">
        <f t="shared" si="185"/>
        <v>4.8315859915235331</v>
      </c>
    </row>
    <row r="1985" spans="1:19" hidden="1">
      <c r="A1985" t="s">
        <v>2038</v>
      </c>
      <c r="B1985" t="s">
        <v>30</v>
      </c>
      <c r="C1985">
        <v>184</v>
      </c>
      <c r="D1985">
        <v>5903</v>
      </c>
      <c r="E1985" s="2">
        <v>182.5</v>
      </c>
      <c r="F1985">
        <v>15</v>
      </c>
      <c r="G1985">
        <v>10</v>
      </c>
      <c r="H1985">
        <v>0.05</v>
      </c>
      <c r="I1985" s="3">
        <v>1230</v>
      </c>
      <c r="J1985" s="1">
        <v>45621</v>
      </c>
      <c r="K1985" t="s">
        <v>31</v>
      </c>
      <c r="L1985" t="s">
        <v>8</v>
      </c>
      <c r="M1985" t="s">
        <v>32</v>
      </c>
      <c r="N1985" s="1">
        <f t="shared" si="180"/>
        <v>45621</v>
      </c>
      <c r="O1985" s="4">
        <f t="shared" si="181"/>
        <v>3.117059122480095E-2</v>
      </c>
      <c r="P1985">
        <f t="shared" si="182"/>
        <v>0.99184782608695654</v>
      </c>
      <c r="Q1985" s="2">
        <f t="shared" si="183"/>
        <v>12.166666666666666</v>
      </c>
      <c r="R1985" s="2">
        <f t="shared" si="184"/>
        <v>18.25</v>
      </c>
      <c r="S1985" s="2">
        <f t="shared" si="185"/>
        <v>6.7397260273972606</v>
      </c>
    </row>
    <row r="1986" spans="1:19" hidden="1">
      <c r="A1986" t="s">
        <v>2039</v>
      </c>
      <c r="B1986" t="s">
        <v>30</v>
      </c>
      <c r="C1986">
        <v>119</v>
      </c>
      <c r="D1986">
        <v>5050</v>
      </c>
      <c r="E1986" s="2">
        <v>180.57</v>
      </c>
      <c r="F1986">
        <v>12</v>
      </c>
      <c r="G1986">
        <v>8</v>
      </c>
      <c r="H1986">
        <v>6.7000000000000004E-2</v>
      </c>
      <c r="I1986" s="3">
        <v>1243</v>
      </c>
      <c r="J1986" s="1">
        <v>45600</v>
      </c>
      <c r="K1986" t="s">
        <v>31</v>
      </c>
      <c r="L1986" t="s">
        <v>8</v>
      </c>
      <c r="M1986" t="s">
        <v>46</v>
      </c>
      <c r="N1986" s="1">
        <f t="shared" ref="N1986:N2049" si="186">IF(A1986="","",IF(ISNUMBER(J1986),J1986,IF(MID(J1986,5,1)="-",DATE(LEFT(J1986,4),MID(J1986,6,2),RIGHT(J1986,2)),IF(MID(J1986,5,1)="/",DATE(LEFT(J1986,4),MID(J1986,6,2),RIGHT(J1986,2)),DATE(RIGHT(J1986,4),MID(J1986,4,2),LEFT(J1986,2))))))</f>
        <v>45600</v>
      </c>
      <c r="O1986" s="4">
        <f t="shared" ref="O1986:O2049" si="187">IFERROR(C1986/D1986,0)</f>
        <v>2.3564356435643564E-2</v>
      </c>
      <c r="P1986">
        <f t="shared" ref="P1986:P2049" si="188">IFERROR(E1986/C1986,0)</f>
        <v>1.5173949579831931</v>
      </c>
      <c r="Q1986" s="2">
        <f t="shared" ref="Q1986:Q2049" si="189">IFERROR(E1986/F1986,0)</f>
        <v>15.047499999999999</v>
      </c>
      <c r="R1986" s="2">
        <f t="shared" ref="R1986:R2049" si="190">IFERROR(E1986/G1986,0)</f>
        <v>22.571249999999999</v>
      </c>
      <c r="S1986" s="2">
        <f t="shared" ref="S1986:S2049" si="191">IFERROR(I1986/E1986,0)</f>
        <v>6.8837569917483528</v>
      </c>
    </row>
    <row r="1987" spans="1:19">
      <c r="A1987" t="s">
        <v>2040</v>
      </c>
      <c r="B1987" t="s">
        <v>30</v>
      </c>
      <c r="C1987">
        <v>109</v>
      </c>
      <c r="D1987">
        <v>4816</v>
      </c>
      <c r="E1987" s="2">
        <v>182.9</v>
      </c>
      <c r="F1987">
        <v>27</v>
      </c>
      <c r="G1987">
        <v>8</v>
      </c>
      <c r="H1987">
        <v>4.5999999999999999E-2</v>
      </c>
      <c r="I1987" s="3">
        <v>1123</v>
      </c>
      <c r="J1987" s="1" t="s">
        <v>94</v>
      </c>
      <c r="K1987" t="s">
        <v>31</v>
      </c>
      <c r="L1987" t="s">
        <v>7</v>
      </c>
      <c r="M1987" t="s">
        <v>39</v>
      </c>
      <c r="N1987" s="1">
        <f t="shared" si="186"/>
        <v>45617</v>
      </c>
      <c r="O1987" s="4">
        <f t="shared" si="187"/>
        <v>2.2632890365448504E-2</v>
      </c>
      <c r="P1987">
        <f t="shared" si="188"/>
        <v>1.6779816513761467</v>
      </c>
      <c r="Q1987" s="2">
        <f t="shared" si="189"/>
        <v>6.7740740740740746</v>
      </c>
      <c r="R1987" s="2">
        <f t="shared" si="190"/>
        <v>22.862500000000001</v>
      </c>
      <c r="S1987" s="2">
        <f t="shared" si="191"/>
        <v>6.1399671951886274</v>
      </c>
    </row>
    <row r="1988" spans="1:19" hidden="1">
      <c r="A1988" t="s">
        <v>2041</v>
      </c>
      <c r="B1988" t="s">
        <v>30</v>
      </c>
      <c r="C1988">
        <v>168</v>
      </c>
      <c r="D1988">
        <v>4070</v>
      </c>
      <c r="E1988" s="2">
        <v>222.99</v>
      </c>
      <c r="F1988">
        <v>29</v>
      </c>
      <c r="G1988">
        <v>7</v>
      </c>
      <c r="H1988">
        <v>4.5999999999999999E-2</v>
      </c>
      <c r="I1988" s="3">
        <v>1733</v>
      </c>
      <c r="J1988" s="1">
        <v>45608</v>
      </c>
      <c r="K1988" t="s">
        <v>31</v>
      </c>
      <c r="L1988" t="s">
        <v>8</v>
      </c>
      <c r="M1988" t="s">
        <v>39</v>
      </c>
      <c r="N1988" s="1">
        <f t="shared" si="186"/>
        <v>45608</v>
      </c>
      <c r="O1988" s="4">
        <f t="shared" si="187"/>
        <v>4.1277641277641275E-2</v>
      </c>
      <c r="P1988">
        <f t="shared" si="188"/>
        <v>1.3273214285714285</v>
      </c>
      <c r="Q1988" s="2">
        <f t="shared" si="189"/>
        <v>7.6893103448275868</v>
      </c>
      <c r="R1988" s="2">
        <f t="shared" si="190"/>
        <v>31.855714285714289</v>
      </c>
      <c r="S1988" s="2">
        <f t="shared" si="191"/>
        <v>7.7716489528678414</v>
      </c>
    </row>
    <row r="1989" spans="1:19">
      <c r="A1989" t="s">
        <v>2042</v>
      </c>
      <c r="B1989" t="s">
        <v>30</v>
      </c>
      <c r="C1989">
        <v>139</v>
      </c>
      <c r="D1989">
        <v>5827</v>
      </c>
      <c r="E1989" s="2">
        <v>190.93</v>
      </c>
      <c r="F1989">
        <v>14</v>
      </c>
      <c r="G1989">
        <v>3</v>
      </c>
      <c r="H1989">
        <v>4.5999999999999999E-2</v>
      </c>
      <c r="I1989" s="3">
        <v>1731</v>
      </c>
      <c r="J1989" s="1">
        <v>45626</v>
      </c>
      <c r="K1989" t="s">
        <v>31</v>
      </c>
      <c r="L1989" t="s">
        <v>7</v>
      </c>
      <c r="M1989" t="s">
        <v>35</v>
      </c>
      <c r="N1989" s="1">
        <f t="shared" si="186"/>
        <v>45626</v>
      </c>
      <c r="O1989" s="4">
        <f t="shared" si="187"/>
        <v>2.3854470568045308E-2</v>
      </c>
      <c r="P1989">
        <f t="shared" si="188"/>
        <v>1.3735971223021584</v>
      </c>
      <c r="Q1989" s="2">
        <f t="shared" si="189"/>
        <v>13.637857142857143</v>
      </c>
      <c r="R1989" s="2">
        <f t="shared" si="190"/>
        <v>63.643333333333338</v>
      </c>
      <c r="S1989" s="2">
        <f t="shared" si="191"/>
        <v>9.0661498978683284</v>
      </c>
    </row>
    <row r="1990" spans="1:19" hidden="1">
      <c r="A1990" t="s">
        <v>2043</v>
      </c>
      <c r="B1990" t="s">
        <v>30</v>
      </c>
      <c r="C1990">
        <v>82</v>
      </c>
      <c r="D1990">
        <v>4922</v>
      </c>
      <c r="E1990" s="2">
        <v>234.82</v>
      </c>
      <c r="F1990">
        <v>27</v>
      </c>
      <c r="G1990">
        <v>10</v>
      </c>
      <c r="H1990">
        <v>3.3000000000000002E-2</v>
      </c>
      <c r="I1990" s="3">
        <v>1556</v>
      </c>
      <c r="J1990" s="1">
        <v>45613</v>
      </c>
      <c r="K1990" t="s">
        <v>31</v>
      </c>
      <c r="L1990" t="s">
        <v>7</v>
      </c>
      <c r="M1990" t="s">
        <v>39</v>
      </c>
      <c r="N1990" s="1">
        <f t="shared" si="186"/>
        <v>45613</v>
      </c>
      <c r="O1990" s="4">
        <f t="shared" si="187"/>
        <v>1.6659894351889477E-2</v>
      </c>
      <c r="P1990">
        <f t="shared" si="188"/>
        <v>2.863658536585366</v>
      </c>
      <c r="Q1990" s="2">
        <f t="shared" si="189"/>
        <v>8.6970370370370365</v>
      </c>
      <c r="R1990" s="2">
        <f t="shared" si="190"/>
        <v>23.481999999999999</v>
      </c>
      <c r="S1990" s="2">
        <f t="shared" si="191"/>
        <v>6.626352099480453</v>
      </c>
    </row>
    <row r="1991" spans="1:19">
      <c r="A1991" t="s">
        <v>2044</v>
      </c>
      <c r="B1991" t="s">
        <v>30</v>
      </c>
      <c r="C1991">
        <v>112</v>
      </c>
      <c r="D1991">
        <v>4277</v>
      </c>
      <c r="E1991" s="2">
        <v>249.65</v>
      </c>
      <c r="F1991">
        <v>27</v>
      </c>
      <c r="G1991">
        <v>3</v>
      </c>
      <c r="H1991">
        <v>4.5999999999999999E-2</v>
      </c>
      <c r="I1991" s="3">
        <v>1953</v>
      </c>
      <c r="J1991" s="1">
        <v>45622</v>
      </c>
      <c r="K1991" t="s">
        <v>31</v>
      </c>
      <c r="L1991" t="s">
        <v>9</v>
      </c>
      <c r="M1991" t="s">
        <v>37</v>
      </c>
      <c r="N1991" s="1">
        <f t="shared" si="186"/>
        <v>45622</v>
      </c>
      <c r="O1991" s="4">
        <f t="shared" si="187"/>
        <v>2.6186579378068741E-2</v>
      </c>
      <c r="P1991">
        <f t="shared" si="188"/>
        <v>2.2290178571428574</v>
      </c>
      <c r="Q1991" s="2">
        <f t="shared" si="189"/>
        <v>9.2462962962962969</v>
      </c>
      <c r="R1991" s="2">
        <f t="shared" si="190"/>
        <v>83.216666666666669</v>
      </c>
      <c r="S1991" s="2">
        <f t="shared" si="191"/>
        <v>7.8229521329861802</v>
      </c>
    </row>
    <row r="1992" spans="1:19" hidden="1">
      <c r="A1992" t="s">
        <v>2045</v>
      </c>
      <c r="B1992" t="s">
        <v>30</v>
      </c>
      <c r="C1992">
        <v>99</v>
      </c>
      <c r="D1992">
        <v>3418</v>
      </c>
      <c r="E1992" s="2">
        <v>195.91</v>
      </c>
      <c r="F1992">
        <v>19</v>
      </c>
      <c r="G1992">
        <v>10</v>
      </c>
      <c r="H1992">
        <v>0.10100000000000001</v>
      </c>
      <c r="I1992" s="3">
        <v>1242</v>
      </c>
      <c r="J1992" s="1">
        <v>45393</v>
      </c>
      <c r="K1992" t="s">
        <v>31</v>
      </c>
      <c r="L1992" t="s">
        <v>7</v>
      </c>
      <c r="M1992" t="s">
        <v>39</v>
      </c>
      <c r="N1992" s="1">
        <f t="shared" si="186"/>
        <v>45393</v>
      </c>
      <c r="O1992" s="4">
        <f t="shared" si="187"/>
        <v>2.8964306612053833E-2</v>
      </c>
      <c r="P1992">
        <f t="shared" si="188"/>
        <v>1.9788888888888889</v>
      </c>
      <c r="Q1992" s="2">
        <f t="shared" si="189"/>
        <v>10.311052631578947</v>
      </c>
      <c r="R1992" s="2">
        <f t="shared" si="190"/>
        <v>19.591000000000001</v>
      </c>
      <c r="S1992" s="2">
        <f t="shared" si="191"/>
        <v>6.3396457557041499</v>
      </c>
    </row>
    <row r="1993" spans="1:19">
      <c r="A1993" t="s">
        <v>2046</v>
      </c>
      <c r="B1993" t="s">
        <v>30</v>
      </c>
      <c r="C1993">
        <v>89</v>
      </c>
      <c r="D1993">
        <v>3363</v>
      </c>
      <c r="E1993" s="2">
        <v>220.07</v>
      </c>
      <c r="F1993">
        <v>26</v>
      </c>
      <c r="G1993">
        <v>7</v>
      </c>
      <c r="H1993">
        <v>4.5999999999999999E-2</v>
      </c>
      <c r="I1993" s="3">
        <v>1939</v>
      </c>
      <c r="J1993" s="1">
        <v>45605</v>
      </c>
      <c r="K1993" t="s">
        <v>31</v>
      </c>
      <c r="L1993" t="s">
        <v>7</v>
      </c>
      <c r="M1993" t="s">
        <v>35</v>
      </c>
      <c r="N1993" s="1">
        <f t="shared" si="186"/>
        <v>45605</v>
      </c>
      <c r="O1993" s="4">
        <f t="shared" si="187"/>
        <v>2.6464466250371691E-2</v>
      </c>
      <c r="P1993">
        <f t="shared" si="188"/>
        <v>2.4726966292134831</v>
      </c>
      <c r="Q1993" s="2">
        <f t="shared" si="189"/>
        <v>8.4642307692307686</v>
      </c>
      <c r="R1993" s="2">
        <f t="shared" si="190"/>
        <v>31.438571428571429</v>
      </c>
      <c r="S1993" s="2">
        <f t="shared" si="191"/>
        <v>8.8108329167991997</v>
      </c>
    </row>
    <row r="1994" spans="1:19">
      <c r="A1994" t="s">
        <v>2047</v>
      </c>
      <c r="B1994" t="s">
        <v>30</v>
      </c>
      <c r="C1994">
        <v>154</v>
      </c>
      <c r="D1994">
        <v>4828</v>
      </c>
      <c r="E1994" s="2">
        <v>233.39</v>
      </c>
      <c r="F1994">
        <v>24</v>
      </c>
      <c r="G1994">
        <v>6</v>
      </c>
      <c r="H1994">
        <v>4.5999999999999999E-2</v>
      </c>
      <c r="I1994" s="3">
        <v>1661</v>
      </c>
      <c r="J1994" s="1">
        <v>45333</v>
      </c>
      <c r="K1994" t="s">
        <v>31</v>
      </c>
      <c r="L1994" t="s">
        <v>9</v>
      </c>
      <c r="M1994" t="s">
        <v>32</v>
      </c>
      <c r="N1994" s="1">
        <f t="shared" si="186"/>
        <v>45333</v>
      </c>
      <c r="O1994" s="4">
        <f t="shared" si="187"/>
        <v>3.1897265948632972E-2</v>
      </c>
      <c r="P1994">
        <f t="shared" si="188"/>
        <v>1.5155194805194805</v>
      </c>
      <c r="Q1994" s="2">
        <f t="shared" si="189"/>
        <v>9.7245833333333334</v>
      </c>
      <c r="R1994" s="2">
        <f t="shared" si="190"/>
        <v>38.898333333333333</v>
      </c>
      <c r="S1994" s="2">
        <f t="shared" si="191"/>
        <v>7.1168430524015598</v>
      </c>
    </row>
    <row r="1995" spans="1:19" hidden="1">
      <c r="A1995" t="s">
        <v>2048</v>
      </c>
      <c r="B1995" t="s">
        <v>30</v>
      </c>
      <c r="C1995">
        <v>155</v>
      </c>
      <c r="D1995">
        <v>4135</v>
      </c>
      <c r="E1995" s="2">
        <v>226.66</v>
      </c>
      <c r="F1995">
        <v>26</v>
      </c>
      <c r="G1995">
        <v>7</v>
      </c>
      <c r="H1995">
        <v>5.7000000000000002E-2</v>
      </c>
      <c r="I1995" s="3">
        <v>1442</v>
      </c>
      <c r="J1995" s="1">
        <v>45618</v>
      </c>
      <c r="K1995" t="s">
        <v>31</v>
      </c>
      <c r="L1995" t="s">
        <v>9</v>
      </c>
      <c r="M1995" t="s">
        <v>46</v>
      </c>
      <c r="N1995" s="1">
        <f t="shared" si="186"/>
        <v>45618</v>
      </c>
      <c r="O1995" s="4">
        <f t="shared" si="187"/>
        <v>3.7484885126964934E-2</v>
      </c>
      <c r="P1995">
        <f t="shared" si="188"/>
        <v>1.4623225806451612</v>
      </c>
      <c r="Q1995" s="2">
        <f t="shared" si="189"/>
        <v>8.7176923076923067</v>
      </c>
      <c r="R1995" s="2">
        <f t="shared" si="190"/>
        <v>32.380000000000003</v>
      </c>
      <c r="S1995" s="2">
        <f t="shared" si="191"/>
        <v>6.3619518221124149</v>
      </c>
    </row>
    <row r="1996" spans="1:19" hidden="1">
      <c r="A1996" t="s">
        <v>2049</v>
      </c>
      <c r="B1996" t="s">
        <v>30</v>
      </c>
      <c r="C1996">
        <v>188</v>
      </c>
      <c r="D1996">
        <v>5254</v>
      </c>
      <c r="E1996" s="2">
        <v>190.43</v>
      </c>
      <c r="F1996">
        <v>27</v>
      </c>
      <c r="G1996">
        <v>7</v>
      </c>
      <c r="H1996">
        <v>3.6999999999999998E-2</v>
      </c>
      <c r="I1996" s="3">
        <v>1821</v>
      </c>
      <c r="J1996" s="1" t="s">
        <v>43</v>
      </c>
      <c r="K1996" t="s">
        <v>31</v>
      </c>
      <c r="L1996" t="s">
        <v>7</v>
      </c>
      <c r="M1996" t="s">
        <v>41</v>
      </c>
      <c r="N1996" s="1">
        <f t="shared" si="186"/>
        <v>45612</v>
      </c>
      <c r="O1996" s="4">
        <f t="shared" si="187"/>
        <v>3.5782261134373813E-2</v>
      </c>
      <c r="P1996">
        <f t="shared" si="188"/>
        <v>1.0129255319148938</v>
      </c>
      <c r="Q1996" s="2">
        <f t="shared" si="189"/>
        <v>7.0529629629629635</v>
      </c>
      <c r="R1996" s="2">
        <f t="shared" si="190"/>
        <v>27.204285714285714</v>
      </c>
      <c r="S1996" s="2">
        <f t="shared" si="191"/>
        <v>9.562568922963818</v>
      </c>
    </row>
    <row r="1997" spans="1:19" hidden="1">
      <c r="A1997" t="s">
        <v>2050</v>
      </c>
      <c r="B1997" t="s">
        <v>30</v>
      </c>
      <c r="C1997">
        <v>83</v>
      </c>
      <c r="D1997">
        <v>4439</v>
      </c>
      <c r="E1997" s="2">
        <v>232.13</v>
      </c>
      <c r="F1997">
        <v>28</v>
      </c>
      <c r="G1997">
        <v>7</v>
      </c>
      <c r="H1997">
        <v>8.4000000000000005E-2</v>
      </c>
      <c r="I1997" s="3">
        <v>1570</v>
      </c>
      <c r="J1997" s="1" t="s">
        <v>348</v>
      </c>
      <c r="K1997" t="s">
        <v>31</v>
      </c>
      <c r="L1997" t="s">
        <v>8</v>
      </c>
      <c r="M1997" t="s">
        <v>39</v>
      </c>
      <c r="N1997" s="1">
        <f t="shared" si="186"/>
        <v>45615</v>
      </c>
      <c r="O1997" s="4">
        <f t="shared" si="187"/>
        <v>1.8697904933543591E-2</v>
      </c>
      <c r="P1997">
        <f t="shared" si="188"/>
        <v>2.7967469879518072</v>
      </c>
      <c r="Q1997" s="2">
        <f t="shared" si="189"/>
        <v>8.2903571428571432</v>
      </c>
      <c r="R1997" s="2">
        <f t="shared" si="190"/>
        <v>33.161428571428573</v>
      </c>
      <c r="S1997" s="2">
        <f t="shared" si="191"/>
        <v>6.7634515142377118</v>
      </c>
    </row>
    <row r="1998" spans="1:19" hidden="1">
      <c r="A1998" t="s">
        <v>2051</v>
      </c>
      <c r="B1998" t="s">
        <v>30</v>
      </c>
      <c r="C1998">
        <v>127</v>
      </c>
      <c r="D1998">
        <v>3053</v>
      </c>
      <c r="E1998" s="2">
        <v>183.57</v>
      </c>
      <c r="F1998">
        <v>10</v>
      </c>
      <c r="G1998">
        <v>8</v>
      </c>
      <c r="H1998">
        <v>6.3E-2</v>
      </c>
      <c r="I1998" s="3">
        <v>1669</v>
      </c>
      <c r="J1998" s="1">
        <v>45609</v>
      </c>
      <c r="K1998" t="s">
        <v>31</v>
      </c>
      <c r="L1998" t="s">
        <v>9</v>
      </c>
      <c r="M1998" t="s">
        <v>35</v>
      </c>
      <c r="N1998" s="1">
        <f t="shared" si="186"/>
        <v>45609</v>
      </c>
      <c r="O1998" s="4">
        <f t="shared" si="187"/>
        <v>4.1598427775958076E-2</v>
      </c>
      <c r="P1998">
        <f t="shared" si="188"/>
        <v>1.4454330708661416</v>
      </c>
      <c r="Q1998" s="2">
        <f t="shared" si="189"/>
        <v>18.356999999999999</v>
      </c>
      <c r="R1998" s="2">
        <f t="shared" si="190"/>
        <v>22.946249999999999</v>
      </c>
      <c r="S1998" s="2">
        <f t="shared" si="191"/>
        <v>9.0918995478564035</v>
      </c>
    </row>
    <row r="1999" spans="1:19">
      <c r="A1999" t="s">
        <v>2052</v>
      </c>
      <c r="B1999" t="s">
        <v>30</v>
      </c>
      <c r="C1999">
        <v>141</v>
      </c>
      <c r="D1999">
        <v>5550</v>
      </c>
      <c r="E1999" s="2">
        <v>213.82</v>
      </c>
      <c r="F1999">
        <v>20</v>
      </c>
      <c r="G1999">
        <v>10</v>
      </c>
      <c r="H1999">
        <v>4.5999999999999999E-2</v>
      </c>
      <c r="I1999" s="3">
        <v>1545</v>
      </c>
      <c r="J1999" s="1">
        <v>45611</v>
      </c>
      <c r="K1999" t="s">
        <v>31</v>
      </c>
      <c r="L1999" t="s">
        <v>9</v>
      </c>
      <c r="M1999" t="s">
        <v>37</v>
      </c>
      <c r="N1999" s="1">
        <f t="shared" si="186"/>
        <v>45611</v>
      </c>
      <c r="O1999" s="4">
        <f t="shared" si="187"/>
        <v>2.5405405405405406E-2</v>
      </c>
      <c r="P1999">
        <f t="shared" si="188"/>
        <v>1.5164539007092197</v>
      </c>
      <c r="Q1999" s="2">
        <f t="shared" si="189"/>
        <v>10.690999999999999</v>
      </c>
      <c r="R1999" s="2">
        <f t="shared" si="190"/>
        <v>21.381999999999998</v>
      </c>
      <c r="S1999" s="2">
        <f t="shared" si="191"/>
        <v>7.2257038630623889</v>
      </c>
    </row>
    <row r="2000" spans="1:19">
      <c r="A2000" t="s">
        <v>2053</v>
      </c>
      <c r="B2000" t="s">
        <v>30</v>
      </c>
      <c r="C2000">
        <v>149</v>
      </c>
      <c r="D2000">
        <v>4678</v>
      </c>
      <c r="E2000" s="2">
        <v>241.41</v>
      </c>
      <c r="F2000">
        <v>11</v>
      </c>
      <c r="G2000">
        <v>6</v>
      </c>
      <c r="H2000">
        <v>4.5999999999999999E-2</v>
      </c>
      <c r="I2000" s="3">
        <v>1106</v>
      </c>
      <c r="J2000" s="1">
        <v>45393</v>
      </c>
      <c r="K2000" t="s">
        <v>31</v>
      </c>
      <c r="L2000" t="s">
        <v>7</v>
      </c>
      <c r="M2000" t="s">
        <v>46</v>
      </c>
      <c r="N2000" s="1">
        <f t="shared" si="186"/>
        <v>45393</v>
      </c>
      <c r="O2000" s="4">
        <f t="shared" si="187"/>
        <v>3.1851218469431383E-2</v>
      </c>
      <c r="P2000">
        <f t="shared" si="188"/>
        <v>1.6202013422818791</v>
      </c>
      <c r="Q2000" s="2">
        <f t="shared" si="189"/>
        <v>21.946363636363635</v>
      </c>
      <c r="R2000" s="2">
        <f t="shared" si="190"/>
        <v>40.234999999999999</v>
      </c>
      <c r="S2000" s="2">
        <f t="shared" si="191"/>
        <v>4.5814175054885879</v>
      </c>
    </row>
    <row r="2001" spans="1:19">
      <c r="A2001" t="s">
        <v>2054</v>
      </c>
      <c r="B2001" t="s">
        <v>30</v>
      </c>
      <c r="C2001">
        <v>152</v>
      </c>
      <c r="D2001">
        <v>3036</v>
      </c>
      <c r="E2001" s="2">
        <v>210.78</v>
      </c>
      <c r="F2001">
        <v>12</v>
      </c>
      <c r="G2001">
        <v>6</v>
      </c>
      <c r="H2001">
        <v>4.5999999999999999E-2</v>
      </c>
      <c r="I2001" s="3">
        <v>1074</v>
      </c>
      <c r="J2001" s="1">
        <v>45606</v>
      </c>
      <c r="K2001" t="s">
        <v>31</v>
      </c>
      <c r="L2001" t="s">
        <v>9</v>
      </c>
      <c r="M2001" t="s">
        <v>37</v>
      </c>
      <c r="N2001" s="1">
        <f t="shared" si="186"/>
        <v>45606</v>
      </c>
      <c r="O2001" s="4">
        <f t="shared" si="187"/>
        <v>5.0065876152832672E-2</v>
      </c>
      <c r="P2001">
        <f t="shared" si="188"/>
        <v>1.3867105263157895</v>
      </c>
      <c r="Q2001" s="2">
        <f t="shared" si="189"/>
        <v>17.565000000000001</v>
      </c>
      <c r="R2001" s="2">
        <f t="shared" si="190"/>
        <v>35.130000000000003</v>
      </c>
      <c r="S2001" s="2">
        <f t="shared" si="191"/>
        <v>5.0953600910902361</v>
      </c>
    </row>
    <row r="2002" spans="1:19" hidden="1">
      <c r="A2002" t="s">
        <v>2055</v>
      </c>
      <c r="B2002" t="s">
        <v>30</v>
      </c>
      <c r="C2002">
        <v>123</v>
      </c>
      <c r="D2002">
        <v>5050</v>
      </c>
      <c r="E2002" s="2">
        <v>247.93</v>
      </c>
      <c r="F2002">
        <v>11</v>
      </c>
      <c r="G2002">
        <v>8</v>
      </c>
      <c r="H2002">
        <v>6.5000000000000002E-2</v>
      </c>
      <c r="I2002" s="3">
        <v>1755</v>
      </c>
      <c r="J2002" s="1" t="s">
        <v>86</v>
      </c>
      <c r="K2002" t="s">
        <v>31</v>
      </c>
      <c r="L2002" t="s">
        <v>9</v>
      </c>
      <c r="M2002" t="s">
        <v>46</v>
      </c>
      <c r="N2002" s="1">
        <f t="shared" si="186"/>
        <v>45625</v>
      </c>
      <c r="O2002" s="4">
        <f t="shared" si="187"/>
        <v>2.4356435643564357E-2</v>
      </c>
      <c r="P2002">
        <f t="shared" si="188"/>
        <v>2.015691056910569</v>
      </c>
      <c r="Q2002" s="2">
        <f t="shared" si="189"/>
        <v>22.539090909090909</v>
      </c>
      <c r="R2002" s="2">
        <f t="shared" si="190"/>
        <v>30.991250000000001</v>
      </c>
      <c r="S2002" s="2">
        <f t="shared" si="191"/>
        <v>7.0786108982374056</v>
      </c>
    </row>
    <row r="2003" spans="1:19" hidden="1">
      <c r="A2003" t="s">
        <v>2056</v>
      </c>
      <c r="B2003" t="s">
        <v>30</v>
      </c>
      <c r="C2003">
        <v>137</v>
      </c>
      <c r="D2003">
        <v>5057</v>
      </c>
      <c r="E2003" s="2">
        <v>194.11</v>
      </c>
      <c r="F2003">
        <v>11</v>
      </c>
      <c r="G2003">
        <v>6</v>
      </c>
      <c r="H2003">
        <v>4.3999999999999997E-2</v>
      </c>
      <c r="I2003" s="3">
        <v>1206</v>
      </c>
      <c r="J2003" s="1">
        <v>45605</v>
      </c>
      <c r="K2003" t="s">
        <v>31</v>
      </c>
      <c r="L2003" t="s">
        <v>7</v>
      </c>
      <c r="M2003" t="s">
        <v>35</v>
      </c>
      <c r="N2003" s="1">
        <f t="shared" si="186"/>
        <v>45605</v>
      </c>
      <c r="O2003" s="4">
        <f t="shared" si="187"/>
        <v>2.7091160767253313E-2</v>
      </c>
      <c r="P2003">
        <f t="shared" si="188"/>
        <v>1.4168613138686132</v>
      </c>
      <c r="Q2003" s="2">
        <f t="shared" si="189"/>
        <v>17.646363636363638</v>
      </c>
      <c r="R2003" s="2">
        <f t="shared" si="190"/>
        <v>32.351666666666667</v>
      </c>
      <c r="S2003" s="2">
        <f t="shared" si="191"/>
        <v>6.2129720261707275</v>
      </c>
    </row>
    <row r="2004" spans="1:19" hidden="1">
      <c r="A2004" t="s">
        <v>2057</v>
      </c>
      <c r="B2004" t="s">
        <v>30</v>
      </c>
      <c r="C2004">
        <v>93</v>
      </c>
      <c r="D2004">
        <v>5346</v>
      </c>
      <c r="E2004" s="2">
        <v>197.78</v>
      </c>
      <c r="F2004">
        <v>15</v>
      </c>
      <c r="G2004">
        <v>8</v>
      </c>
      <c r="H2004">
        <v>8.5999999999999993E-2</v>
      </c>
      <c r="I2004" s="3">
        <v>1036</v>
      </c>
      <c r="J2004" s="1">
        <v>45611</v>
      </c>
      <c r="K2004" t="s">
        <v>31</v>
      </c>
      <c r="L2004" t="s">
        <v>9</v>
      </c>
      <c r="M2004" t="s">
        <v>37</v>
      </c>
      <c r="N2004" s="1">
        <f t="shared" si="186"/>
        <v>45611</v>
      </c>
      <c r="O2004" s="4">
        <f t="shared" si="187"/>
        <v>1.739618406285073E-2</v>
      </c>
      <c r="P2004">
        <f t="shared" si="188"/>
        <v>2.1266666666666665</v>
      </c>
      <c r="Q2004" s="2">
        <f t="shared" si="189"/>
        <v>13.185333333333334</v>
      </c>
      <c r="R2004" s="2">
        <f t="shared" si="190"/>
        <v>24.7225</v>
      </c>
      <c r="S2004" s="2">
        <f t="shared" si="191"/>
        <v>5.2381433916472853</v>
      </c>
    </row>
    <row r="2005" spans="1:19" hidden="1">
      <c r="A2005" t="s">
        <v>2058</v>
      </c>
      <c r="B2005" t="s">
        <v>30</v>
      </c>
      <c r="C2005">
        <v>150</v>
      </c>
      <c r="D2005">
        <v>5580</v>
      </c>
      <c r="E2005" s="2">
        <v>204.73</v>
      </c>
      <c r="F2005">
        <v>24</v>
      </c>
      <c r="G2005">
        <v>10</v>
      </c>
      <c r="H2005">
        <v>6.7000000000000004E-2</v>
      </c>
      <c r="I2005" s="3">
        <v>1505</v>
      </c>
      <c r="J2005" s="1" t="s">
        <v>132</v>
      </c>
      <c r="K2005" t="s">
        <v>31</v>
      </c>
      <c r="L2005" t="s">
        <v>9</v>
      </c>
      <c r="M2005" t="s">
        <v>35</v>
      </c>
      <c r="N2005" s="1">
        <f t="shared" si="186"/>
        <v>45613</v>
      </c>
      <c r="O2005" s="4">
        <f t="shared" si="187"/>
        <v>2.6881720430107527E-2</v>
      </c>
      <c r="P2005">
        <f t="shared" si="188"/>
        <v>1.3648666666666667</v>
      </c>
      <c r="Q2005" s="2">
        <f t="shared" si="189"/>
        <v>8.5304166666666656</v>
      </c>
      <c r="R2005" s="2">
        <f t="shared" si="190"/>
        <v>20.472999999999999</v>
      </c>
      <c r="S2005" s="2">
        <f t="shared" si="191"/>
        <v>7.3511454110291607</v>
      </c>
    </row>
    <row r="2006" spans="1:19" hidden="1">
      <c r="A2006" t="s">
        <v>2059</v>
      </c>
      <c r="B2006" t="s">
        <v>30</v>
      </c>
      <c r="C2006">
        <v>122</v>
      </c>
      <c r="D2006">
        <v>3351</v>
      </c>
      <c r="E2006" s="2">
        <v>196.49</v>
      </c>
      <c r="F2006">
        <v>13</v>
      </c>
      <c r="G2006">
        <v>3</v>
      </c>
      <c r="H2006">
        <v>2.5000000000000001E-2</v>
      </c>
      <c r="I2006" s="3">
        <v>1362</v>
      </c>
      <c r="J2006" s="1" t="s">
        <v>64</v>
      </c>
      <c r="K2006" t="s">
        <v>31</v>
      </c>
      <c r="L2006" t="s">
        <v>7</v>
      </c>
      <c r="M2006" t="s">
        <v>35</v>
      </c>
      <c r="N2006" s="1">
        <f t="shared" si="186"/>
        <v>45626</v>
      </c>
      <c r="O2006" s="4">
        <f t="shared" si="187"/>
        <v>3.6407042673828709E-2</v>
      </c>
      <c r="P2006">
        <f t="shared" si="188"/>
        <v>1.6105737704918033</v>
      </c>
      <c r="Q2006" s="2">
        <f t="shared" si="189"/>
        <v>15.114615384615385</v>
      </c>
      <c r="R2006" s="2">
        <f t="shared" si="190"/>
        <v>65.49666666666667</v>
      </c>
      <c r="S2006" s="2">
        <f t="shared" si="191"/>
        <v>6.9316504656725533</v>
      </c>
    </row>
    <row r="2007" spans="1:19">
      <c r="A2007" t="s">
        <v>2060</v>
      </c>
      <c r="B2007" t="s">
        <v>30</v>
      </c>
      <c r="C2007">
        <v>168</v>
      </c>
      <c r="D2007">
        <v>3128</v>
      </c>
      <c r="E2007" s="2">
        <v>184.27</v>
      </c>
      <c r="F2007">
        <v>30</v>
      </c>
      <c r="G2007">
        <v>7</v>
      </c>
      <c r="H2007">
        <v>4.5999999999999999E-2</v>
      </c>
      <c r="I2007" s="3">
        <v>1957</v>
      </c>
      <c r="J2007" s="1">
        <v>45302</v>
      </c>
      <c r="K2007" t="s">
        <v>31</v>
      </c>
      <c r="L2007" t="s">
        <v>9</v>
      </c>
      <c r="M2007" t="s">
        <v>35</v>
      </c>
      <c r="N2007" s="1">
        <f t="shared" si="186"/>
        <v>45302</v>
      </c>
      <c r="O2007" s="4">
        <f t="shared" si="187"/>
        <v>5.3708439897698211E-2</v>
      </c>
      <c r="P2007">
        <f t="shared" si="188"/>
        <v>1.0968452380952383</v>
      </c>
      <c r="Q2007" s="2">
        <f t="shared" si="189"/>
        <v>6.1423333333333341</v>
      </c>
      <c r="R2007" s="2">
        <f t="shared" si="190"/>
        <v>26.324285714285715</v>
      </c>
      <c r="S2007" s="2">
        <f t="shared" si="191"/>
        <v>10.620285450697345</v>
      </c>
    </row>
    <row r="2008" spans="1:19" hidden="1">
      <c r="A2008" t="s">
        <v>2061</v>
      </c>
      <c r="B2008" t="s">
        <v>30</v>
      </c>
      <c r="C2008">
        <v>113</v>
      </c>
      <c r="D2008">
        <v>4518.5</v>
      </c>
      <c r="E2008" s="2">
        <v>215.57</v>
      </c>
      <c r="F2008">
        <v>26</v>
      </c>
      <c r="G2008">
        <v>8</v>
      </c>
      <c r="H2008">
        <v>7.0999999999999994E-2</v>
      </c>
      <c r="I2008" s="3">
        <v>1285</v>
      </c>
      <c r="J2008" s="1">
        <v>45637</v>
      </c>
      <c r="K2008" t="s">
        <v>31</v>
      </c>
      <c r="L2008" t="s">
        <v>8</v>
      </c>
      <c r="M2008" t="s">
        <v>35</v>
      </c>
      <c r="N2008" s="1">
        <f t="shared" si="186"/>
        <v>45637</v>
      </c>
      <c r="O2008" s="4">
        <f t="shared" si="187"/>
        <v>2.5008299214341043E-2</v>
      </c>
      <c r="P2008">
        <f t="shared" si="188"/>
        <v>1.9076991150442477</v>
      </c>
      <c r="Q2008" s="2">
        <f t="shared" si="189"/>
        <v>8.2911538461538452</v>
      </c>
      <c r="R2008" s="2">
        <f t="shared" si="190"/>
        <v>26.946249999999999</v>
      </c>
      <c r="S2008" s="2">
        <f t="shared" si="191"/>
        <v>5.9609407617015355</v>
      </c>
    </row>
    <row r="2009" spans="1:19" hidden="1">
      <c r="A2009" t="s">
        <v>2062</v>
      </c>
      <c r="B2009" t="s">
        <v>30</v>
      </c>
      <c r="C2009">
        <v>124</v>
      </c>
      <c r="D2009">
        <v>5402</v>
      </c>
      <c r="E2009" s="2">
        <v>222.16</v>
      </c>
      <c r="F2009">
        <v>21</v>
      </c>
      <c r="G2009">
        <v>7</v>
      </c>
      <c r="H2009">
        <v>5.8999999999999997E-2</v>
      </c>
      <c r="I2009" s="3">
        <v>1091</v>
      </c>
      <c r="J2009" s="1">
        <v>45623</v>
      </c>
      <c r="K2009" t="s">
        <v>31</v>
      </c>
      <c r="L2009" t="s">
        <v>7</v>
      </c>
      <c r="M2009" t="s">
        <v>39</v>
      </c>
      <c r="N2009" s="1">
        <f t="shared" si="186"/>
        <v>45623</v>
      </c>
      <c r="O2009" s="4">
        <f t="shared" si="187"/>
        <v>2.2954461310625694E-2</v>
      </c>
      <c r="P2009">
        <f t="shared" si="188"/>
        <v>1.7916129032258064</v>
      </c>
      <c r="Q2009" s="2">
        <f t="shared" si="189"/>
        <v>10.579047619047619</v>
      </c>
      <c r="R2009" s="2">
        <f t="shared" si="190"/>
        <v>31.737142857142857</v>
      </c>
      <c r="S2009" s="2">
        <f t="shared" si="191"/>
        <v>4.9108750450126033</v>
      </c>
    </row>
    <row r="2010" spans="1:19" hidden="1">
      <c r="A2010" t="s">
        <v>2063</v>
      </c>
      <c r="B2010" t="s">
        <v>30</v>
      </c>
      <c r="C2010">
        <v>95</v>
      </c>
      <c r="D2010">
        <v>4653</v>
      </c>
      <c r="E2010" s="2">
        <v>193.63</v>
      </c>
      <c r="F2010">
        <v>17</v>
      </c>
      <c r="G2010">
        <v>4</v>
      </c>
      <c r="H2010">
        <v>4.2000000000000003E-2</v>
      </c>
      <c r="I2010" s="3">
        <v>1688</v>
      </c>
      <c r="J2010" s="1" t="s">
        <v>115</v>
      </c>
      <c r="K2010" t="s">
        <v>31</v>
      </c>
      <c r="L2010" t="s">
        <v>7</v>
      </c>
      <c r="M2010" t="s">
        <v>35</v>
      </c>
      <c r="N2010" s="1">
        <f t="shared" si="186"/>
        <v>45623</v>
      </c>
      <c r="O2010" s="4">
        <f t="shared" si="187"/>
        <v>2.0416935310552331E-2</v>
      </c>
      <c r="P2010">
        <f t="shared" si="188"/>
        <v>2.0382105263157895</v>
      </c>
      <c r="Q2010" s="2">
        <f t="shared" si="189"/>
        <v>11.39</v>
      </c>
      <c r="R2010" s="2">
        <f t="shared" si="190"/>
        <v>48.407499999999999</v>
      </c>
      <c r="S2010" s="2">
        <f t="shared" si="191"/>
        <v>8.7176573878014771</v>
      </c>
    </row>
    <row r="2011" spans="1:19" hidden="1">
      <c r="A2011" t="s">
        <v>2064</v>
      </c>
      <c r="B2011" t="s">
        <v>30</v>
      </c>
      <c r="C2011">
        <v>185</v>
      </c>
      <c r="D2011">
        <v>4599</v>
      </c>
      <c r="E2011" s="2">
        <v>248.28</v>
      </c>
      <c r="F2011">
        <v>15</v>
      </c>
      <c r="G2011">
        <v>5</v>
      </c>
      <c r="H2011">
        <v>2.7E-2</v>
      </c>
      <c r="I2011" s="3">
        <v>1673</v>
      </c>
      <c r="J2011" s="1">
        <v>45454</v>
      </c>
      <c r="K2011" t="s">
        <v>31</v>
      </c>
      <c r="L2011" t="s">
        <v>7</v>
      </c>
      <c r="M2011" t="s">
        <v>37</v>
      </c>
      <c r="N2011" s="1">
        <f t="shared" si="186"/>
        <v>45454</v>
      </c>
      <c r="O2011" s="4">
        <f t="shared" si="187"/>
        <v>4.0226136116547073E-2</v>
      </c>
      <c r="P2011">
        <f t="shared" si="188"/>
        <v>1.342054054054054</v>
      </c>
      <c r="Q2011" s="2">
        <f t="shared" si="189"/>
        <v>16.552</v>
      </c>
      <c r="R2011" s="2">
        <f t="shared" si="190"/>
        <v>49.655999999999999</v>
      </c>
      <c r="S2011" s="2">
        <f t="shared" si="191"/>
        <v>6.7383599162236187</v>
      </c>
    </row>
    <row r="2012" spans="1:19">
      <c r="A2012" t="s">
        <v>2065</v>
      </c>
      <c r="B2012" t="s">
        <v>30</v>
      </c>
      <c r="C2012">
        <v>144</v>
      </c>
      <c r="D2012">
        <v>3120</v>
      </c>
      <c r="E2012" s="2">
        <v>221.66</v>
      </c>
      <c r="F2012">
        <v>24</v>
      </c>
      <c r="G2012">
        <v>7</v>
      </c>
      <c r="H2012">
        <v>4.5999999999999999E-2</v>
      </c>
      <c r="I2012" s="3">
        <v>1061</v>
      </c>
      <c r="J2012" s="1">
        <v>45609</v>
      </c>
      <c r="K2012" t="s">
        <v>31</v>
      </c>
      <c r="L2012" t="s">
        <v>8</v>
      </c>
      <c r="M2012" t="s">
        <v>39</v>
      </c>
      <c r="N2012" s="1">
        <f t="shared" si="186"/>
        <v>45609</v>
      </c>
      <c r="O2012" s="4">
        <f t="shared" si="187"/>
        <v>4.6153846153846156E-2</v>
      </c>
      <c r="P2012">
        <f t="shared" si="188"/>
        <v>1.5393055555555555</v>
      </c>
      <c r="Q2012" s="2">
        <f t="shared" si="189"/>
        <v>9.2358333333333338</v>
      </c>
      <c r="R2012" s="2">
        <f t="shared" si="190"/>
        <v>31.665714285714284</v>
      </c>
      <c r="S2012" s="2">
        <f t="shared" si="191"/>
        <v>4.7866101236127401</v>
      </c>
    </row>
    <row r="2013" spans="1:19" hidden="1">
      <c r="A2013" t="s">
        <v>2066</v>
      </c>
      <c r="B2013" t="s">
        <v>30</v>
      </c>
      <c r="C2013">
        <v>175</v>
      </c>
      <c r="D2013">
        <v>3521</v>
      </c>
      <c r="E2013" s="2">
        <v>210.11</v>
      </c>
      <c r="F2013">
        <v>14</v>
      </c>
      <c r="G2013">
        <v>9</v>
      </c>
      <c r="H2013">
        <v>5.0999999999999997E-2</v>
      </c>
      <c r="I2013" s="3">
        <v>1140</v>
      </c>
      <c r="J2013" s="1">
        <v>45624</v>
      </c>
      <c r="K2013" t="s">
        <v>31</v>
      </c>
      <c r="L2013" t="s">
        <v>8</v>
      </c>
      <c r="M2013" t="s">
        <v>46</v>
      </c>
      <c r="N2013" s="1">
        <f t="shared" si="186"/>
        <v>45624</v>
      </c>
      <c r="O2013" s="4">
        <f t="shared" si="187"/>
        <v>4.9701789264413522E-2</v>
      </c>
      <c r="P2013">
        <f t="shared" si="188"/>
        <v>1.2006285714285716</v>
      </c>
      <c r="Q2013" s="2">
        <f t="shared" si="189"/>
        <v>15.007857142857144</v>
      </c>
      <c r="R2013" s="2">
        <f t="shared" si="190"/>
        <v>23.345555555555556</v>
      </c>
      <c r="S2013" s="2">
        <f t="shared" si="191"/>
        <v>5.4257293798486508</v>
      </c>
    </row>
    <row r="2014" spans="1:19" hidden="1">
      <c r="A2014" t="s">
        <v>2067</v>
      </c>
      <c r="B2014" t="s">
        <v>30</v>
      </c>
      <c r="C2014">
        <v>88</v>
      </c>
      <c r="D2014">
        <v>5823</v>
      </c>
      <c r="E2014" s="2">
        <v>246.67</v>
      </c>
      <c r="F2014">
        <v>12</v>
      </c>
      <c r="G2014">
        <v>9</v>
      </c>
      <c r="H2014">
        <v>0.10199999999999999</v>
      </c>
      <c r="I2014" s="3">
        <v>1514</v>
      </c>
      <c r="J2014" s="1">
        <v>45302</v>
      </c>
      <c r="K2014" t="s">
        <v>31</v>
      </c>
      <c r="L2014" t="s">
        <v>8</v>
      </c>
      <c r="M2014" t="s">
        <v>35</v>
      </c>
      <c r="N2014" s="1">
        <f t="shared" si="186"/>
        <v>45302</v>
      </c>
      <c r="O2014" s="4">
        <f t="shared" si="187"/>
        <v>1.5112484973381418E-2</v>
      </c>
      <c r="P2014">
        <f t="shared" si="188"/>
        <v>2.8030681818181815</v>
      </c>
      <c r="Q2014" s="2">
        <f t="shared" si="189"/>
        <v>20.555833333333332</v>
      </c>
      <c r="R2014" s="2">
        <f t="shared" si="190"/>
        <v>27.407777777777778</v>
      </c>
      <c r="S2014" s="2">
        <f t="shared" si="191"/>
        <v>6.137754895204119</v>
      </c>
    </row>
    <row r="2015" spans="1:19" hidden="1">
      <c r="A2015" t="s">
        <v>2068</v>
      </c>
      <c r="B2015" t="s">
        <v>30</v>
      </c>
      <c r="C2015">
        <v>90</v>
      </c>
      <c r="D2015">
        <v>5569</v>
      </c>
      <c r="E2015" s="2">
        <v>196.6</v>
      </c>
      <c r="F2015">
        <v>27</v>
      </c>
      <c r="G2015">
        <v>4</v>
      </c>
      <c r="H2015">
        <v>5.2999999999999999E-2</v>
      </c>
      <c r="I2015" s="3">
        <v>1516</v>
      </c>
      <c r="J2015" s="1" t="s">
        <v>34</v>
      </c>
      <c r="K2015" t="s">
        <v>31</v>
      </c>
      <c r="L2015" t="s">
        <v>7</v>
      </c>
      <c r="M2015" t="s">
        <v>37</v>
      </c>
      <c r="N2015" s="1">
        <f t="shared" si="186"/>
        <v>45616</v>
      </c>
      <c r="O2015" s="4">
        <f t="shared" si="187"/>
        <v>1.6160890644639971E-2</v>
      </c>
      <c r="P2015">
        <f t="shared" si="188"/>
        <v>2.1844444444444444</v>
      </c>
      <c r="Q2015" s="2">
        <f t="shared" si="189"/>
        <v>7.2814814814814817</v>
      </c>
      <c r="R2015" s="2">
        <f t="shared" si="190"/>
        <v>49.15</v>
      </c>
      <c r="S2015" s="2">
        <f t="shared" si="191"/>
        <v>7.7110885045778232</v>
      </c>
    </row>
    <row r="2016" spans="1:19" hidden="1">
      <c r="A2016" t="s">
        <v>2069</v>
      </c>
      <c r="B2016" t="s">
        <v>30</v>
      </c>
      <c r="C2016">
        <v>94</v>
      </c>
      <c r="D2016">
        <v>4255</v>
      </c>
      <c r="E2016" s="2">
        <v>221.06</v>
      </c>
      <c r="F2016">
        <v>13</v>
      </c>
      <c r="G2016">
        <v>5</v>
      </c>
      <c r="H2016">
        <v>5.2999999999999999E-2</v>
      </c>
      <c r="I2016" s="3">
        <v>1623</v>
      </c>
      <c r="J2016" s="1">
        <v>45616</v>
      </c>
      <c r="K2016" t="s">
        <v>31</v>
      </c>
      <c r="L2016" t="s">
        <v>7</v>
      </c>
      <c r="M2016" t="s">
        <v>32</v>
      </c>
      <c r="N2016" s="1">
        <f t="shared" si="186"/>
        <v>45616</v>
      </c>
      <c r="O2016" s="4">
        <f t="shared" si="187"/>
        <v>2.2091656874265571E-2</v>
      </c>
      <c r="P2016">
        <f t="shared" si="188"/>
        <v>2.3517021276595744</v>
      </c>
      <c r="Q2016" s="2">
        <f t="shared" si="189"/>
        <v>17.004615384615384</v>
      </c>
      <c r="R2016" s="2">
        <f t="shared" si="190"/>
        <v>44.212000000000003</v>
      </c>
      <c r="S2016" s="2">
        <f t="shared" si="191"/>
        <v>7.3418981272052832</v>
      </c>
    </row>
    <row r="2017" spans="1:19" hidden="1">
      <c r="A2017" t="s">
        <v>2070</v>
      </c>
      <c r="B2017" t="s">
        <v>30</v>
      </c>
      <c r="C2017">
        <v>191</v>
      </c>
      <c r="D2017">
        <v>4910</v>
      </c>
      <c r="E2017" s="2">
        <v>232.7</v>
      </c>
      <c r="F2017">
        <v>14</v>
      </c>
      <c r="G2017">
        <v>10</v>
      </c>
      <c r="H2017">
        <v>5.1999999999999998E-2</v>
      </c>
      <c r="I2017" s="3">
        <v>1080</v>
      </c>
      <c r="J2017" s="1">
        <v>45599</v>
      </c>
      <c r="K2017" t="s">
        <v>31</v>
      </c>
      <c r="L2017" t="s">
        <v>9</v>
      </c>
      <c r="M2017" t="s">
        <v>46</v>
      </c>
      <c r="N2017" s="1">
        <f t="shared" si="186"/>
        <v>45599</v>
      </c>
      <c r="O2017" s="4">
        <f t="shared" si="187"/>
        <v>3.890020366598778E-2</v>
      </c>
      <c r="P2017">
        <f t="shared" si="188"/>
        <v>1.2183246073298428</v>
      </c>
      <c r="Q2017" s="2">
        <f t="shared" si="189"/>
        <v>16.62142857142857</v>
      </c>
      <c r="R2017" s="2">
        <f t="shared" si="190"/>
        <v>23.27</v>
      </c>
      <c r="S2017" s="2">
        <f t="shared" si="191"/>
        <v>4.6411688869789431</v>
      </c>
    </row>
    <row r="2018" spans="1:19" hidden="1">
      <c r="A2018" t="s">
        <v>2071</v>
      </c>
      <c r="B2018" t="s">
        <v>30</v>
      </c>
      <c r="C2018">
        <v>167</v>
      </c>
      <c r="D2018">
        <v>5675</v>
      </c>
      <c r="E2018" s="2">
        <v>222.56</v>
      </c>
      <c r="F2018">
        <v>15</v>
      </c>
      <c r="G2018">
        <v>4</v>
      </c>
      <c r="H2018">
        <v>2.4E-2</v>
      </c>
      <c r="I2018" s="3">
        <v>1862</v>
      </c>
      <c r="J2018" s="1">
        <v>45613</v>
      </c>
      <c r="K2018" t="s">
        <v>31</v>
      </c>
      <c r="L2018" t="s">
        <v>9</v>
      </c>
      <c r="M2018" t="s">
        <v>46</v>
      </c>
      <c r="N2018" s="1">
        <f t="shared" si="186"/>
        <v>45613</v>
      </c>
      <c r="O2018" s="4">
        <f t="shared" si="187"/>
        <v>2.9427312775330398E-2</v>
      </c>
      <c r="P2018">
        <f t="shared" si="188"/>
        <v>1.3326946107784432</v>
      </c>
      <c r="Q2018" s="2">
        <f t="shared" si="189"/>
        <v>14.837333333333333</v>
      </c>
      <c r="R2018" s="2">
        <f t="shared" si="190"/>
        <v>55.64</v>
      </c>
      <c r="S2018" s="2">
        <f t="shared" si="191"/>
        <v>8.3662832494608192</v>
      </c>
    </row>
    <row r="2019" spans="1:19" hidden="1">
      <c r="A2019" t="s">
        <v>2072</v>
      </c>
      <c r="B2019" t="s">
        <v>30</v>
      </c>
      <c r="C2019">
        <v>136</v>
      </c>
      <c r="D2019">
        <v>3777</v>
      </c>
      <c r="E2019" s="2">
        <v>186.5</v>
      </c>
      <c r="F2019">
        <v>11</v>
      </c>
      <c r="G2019">
        <v>4</v>
      </c>
      <c r="H2019">
        <v>2.9000000000000001E-2</v>
      </c>
      <c r="I2019" s="3">
        <v>1027</v>
      </c>
      <c r="J2019" s="1">
        <v>45601</v>
      </c>
      <c r="K2019" t="s">
        <v>31</v>
      </c>
      <c r="L2019" t="s">
        <v>8</v>
      </c>
      <c r="M2019" t="s">
        <v>32</v>
      </c>
      <c r="N2019" s="1">
        <f t="shared" si="186"/>
        <v>45601</v>
      </c>
      <c r="O2019" s="4">
        <f t="shared" si="187"/>
        <v>3.6007413290971672E-2</v>
      </c>
      <c r="P2019">
        <f t="shared" si="188"/>
        <v>1.3713235294117647</v>
      </c>
      <c r="Q2019" s="2">
        <f t="shared" si="189"/>
        <v>16.954545454545453</v>
      </c>
      <c r="R2019" s="2">
        <f t="shared" si="190"/>
        <v>46.625</v>
      </c>
      <c r="S2019" s="2">
        <f t="shared" si="191"/>
        <v>5.5067024128686324</v>
      </c>
    </row>
    <row r="2020" spans="1:19">
      <c r="A2020" t="s">
        <v>2073</v>
      </c>
      <c r="B2020" t="s">
        <v>30</v>
      </c>
      <c r="C2020">
        <v>110</v>
      </c>
      <c r="D2020">
        <v>5790</v>
      </c>
      <c r="E2020" s="2">
        <v>215.57</v>
      </c>
      <c r="F2020">
        <v>23</v>
      </c>
      <c r="G2020">
        <v>9</v>
      </c>
      <c r="H2020">
        <v>4.5999999999999999E-2</v>
      </c>
      <c r="I2020" s="3">
        <v>1463</v>
      </c>
      <c r="J2020" s="1">
        <v>45515</v>
      </c>
      <c r="K2020" t="s">
        <v>31</v>
      </c>
      <c r="L2020" t="s">
        <v>9</v>
      </c>
      <c r="M2020" t="s">
        <v>37</v>
      </c>
      <c r="N2020" s="1">
        <f t="shared" si="186"/>
        <v>45515</v>
      </c>
      <c r="O2020" s="4">
        <f t="shared" si="187"/>
        <v>1.8998272884283247E-2</v>
      </c>
      <c r="P2020">
        <f t="shared" si="188"/>
        <v>1.9597272727272728</v>
      </c>
      <c r="Q2020" s="2">
        <f t="shared" si="189"/>
        <v>9.3726086956521737</v>
      </c>
      <c r="R2020" s="2">
        <f t="shared" si="190"/>
        <v>23.952222222222222</v>
      </c>
      <c r="S2020" s="2">
        <f t="shared" si="191"/>
        <v>6.7866586259683634</v>
      </c>
    </row>
    <row r="2021" spans="1:19" hidden="1">
      <c r="A2021" t="s">
        <v>2074</v>
      </c>
      <c r="B2021" t="s">
        <v>30</v>
      </c>
      <c r="C2021">
        <v>171</v>
      </c>
      <c r="D2021">
        <v>3055</v>
      </c>
      <c r="E2021" s="2">
        <v>215.57</v>
      </c>
      <c r="F2021">
        <v>26</v>
      </c>
      <c r="G2021">
        <v>5</v>
      </c>
      <c r="H2021">
        <v>2.9000000000000001E-2</v>
      </c>
      <c r="I2021" s="3">
        <v>1701</v>
      </c>
      <c r="J2021" s="1">
        <v>45614</v>
      </c>
      <c r="K2021" t="s">
        <v>31</v>
      </c>
      <c r="L2021" t="s">
        <v>8</v>
      </c>
      <c r="M2021" t="s">
        <v>39</v>
      </c>
      <c r="N2021" s="1">
        <f t="shared" si="186"/>
        <v>45614</v>
      </c>
      <c r="O2021" s="4">
        <f t="shared" si="187"/>
        <v>5.597381342062193E-2</v>
      </c>
      <c r="P2021">
        <f t="shared" si="188"/>
        <v>1.2606432748538012</v>
      </c>
      <c r="Q2021" s="2">
        <f t="shared" si="189"/>
        <v>8.2911538461538452</v>
      </c>
      <c r="R2021" s="2">
        <f t="shared" si="190"/>
        <v>43.113999999999997</v>
      </c>
      <c r="S2021" s="2">
        <f t="shared" si="191"/>
        <v>7.8907083545947954</v>
      </c>
    </row>
    <row r="2022" spans="1:19" hidden="1">
      <c r="A2022" t="s">
        <v>2075</v>
      </c>
      <c r="B2022" t="s">
        <v>30</v>
      </c>
      <c r="C2022">
        <v>134</v>
      </c>
      <c r="D2022">
        <v>5620</v>
      </c>
      <c r="E2022" s="2">
        <v>231.4</v>
      </c>
      <c r="F2022">
        <v>28</v>
      </c>
      <c r="G2022">
        <v>7</v>
      </c>
      <c r="H2022">
        <v>5.1999999999999998E-2</v>
      </c>
      <c r="I2022" s="3">
        <v>1499</v>
      </c>
      <c r="J2022" s="1">
        <v>45625</v>
      </c>
      <c r="K2022" t="s">
        <v>31</v>
      </c>
      <c r="L2022" t="s">
        <v>7</v>
      </c>
      <c r="M2022" t="s">
        <v>39</v>
      </c>
      <c r="N2022" s="1">
        <f t="shared" si="186"/>
        <v>45625</v>
      </c>
      <c r="O2022" s="4">
        <f t="shared" si="187"/>
        <v>2.384341637010676E-2</v>
      </c>
      <c r="P2022">
        <f t="shared" si="188"/>
        <v>1.7268656716417912</v>
      </c>
      <c r="Q2022" s="2">
        <f t="shared" si="189"/>
        <v>8.2642857142857142</v>
      </c>
      <c r="R2022" s="2">
        <f t="shared" si="190"/>
        <v>33.057142857142857</v>
      </c>
      <c r="S2022" s="2">
        <f t="shared" si="191"/>
        <v>6.4779602420051861</v>
      </c>
    </row>
    <row r="2023" spans="1:19" hidden="1">
      <c r="A2023" t="s">
        <v>2076</v>
      </c>
      <c r="B2023" t="s">
        <v>30</v>
      </c>
      <c r="C2023">
        <v>170</v>
      </c>
      <c r="D2023">
        <v>4594</v>
      </c>
      <c r="E2023" s="2">
        <v>193.2</v>
      </c>
      <c r="F2023">
        <v>27</v>
      </c>
      <c r="G2023">
        <v>9</v>
      </c>
      <c r="H2023">
        <v>5.2999999999999999E-2</v>
      </c>
      <c r="I2023" s="3">
        <v>1319</v>
      </c>
      <c r="J2023" s="1" t="s">
        <v>115</v>
      </c>
      <c r="K2023" t="s">
        <v>31</v>
      </c>
      <c r="L2023" t="s">
        <v>8</v>
      </c>
      <c r="M2023" t="s">
        <v>46</v>
      </c>
      <c r="N2023" s="1">
        <f t="shared" si="186"/>
        <v>45623</v>
      </c>
      <c r="O2023" s="4">
        <f t="shared" si="187"/>
        <v>3.7004788855028295E-2</v>
      </c>
      <c r="P2023">
        <f t="shared" si="188"/>
        <v>1.1364705882352941</v>
      </c>
      <c r="Q2023" s="2">
        <f t="shared" si="189"/>
        <v>7.155555555555555</v>
      </c>
      <c r="R2023" s="2">
        <f t="shared" si="190"/>
        <v>21.466666666666665</v>
      </c>
      <c r="S2023" s="2">
        <f t="shared" si="191"/>
        <v>6.8271221532091104</v>
      </c>
    </row>
    <row r="2024" spans="1:19" hidden="1">
      <c r="A2024" t="s">
        <v>2077</v>
      </c>
      <c r="B2024" t="s">
        <v>30</v>
      </c>
      <c r="C2024">
        <v>151</v>
      </c>
      <c r="D2024">
        <v>4907</v>
      </c>
      <c r="E2024" s="2">
        <v>248.32</v>
      </c>
      <c r="F2024">
        <v>10</v>
      </c>
      <c r="G2024">
        <v>4</v>
      </c>
      <c r="H2024">
        <v>2.5999999999999999E-2</v>
      </c>
      <c r="I2024" s="3">
        <v>1948</v>
      </c>
      <c r="J2024" s="1" t="s">
        <v>111</v>
      </c>
      <c r="K2024" t="s">
        <v>31</v>
      </c>
      <c r="L2024" t="s">
        <v>7</v>
      </c>
      <c r="M2024" t="s">
        <v>35</v>
      </c>
      <c r="N2024" s="1">
        <f t="shared" si="186"/>
        <v>45619</v>
      </c>
      <c r="O2024" s="4">
        <f t="shared" si="187"/>
        <v>3.077236600774404E-2</v>
      </c>
      <c r="P2024">
        <f t="shared" si="188"/>
        <v>1.6445033112582781</v>
      </c>
      <c r="Q2024" s="2">
        <f t="shared" si="189"/>
        <v>24.832000000000001</v>
      </c>
      <c r="R2024" s="2">
        <f t="shared" si="190"/>
        <v>62.08</v>
      </c>
      <c r="S2024" s="2">
        <f t="shared" si="191"/>
        <v>7.8447164948453612</v>
      </c>
    </row>
    <row r="2025" spans="1:19">
      <c r="A2025" t="s">
        <v>2078</v>
      </c>
      <c r="B2025" t="s">
        <v>30</v>
      </c>
      <c r="C2025">
        <v>124</v>
      </c>
      <c r="D2025">
        <v>5437</v>
      </c>
      <c r="E2025" s="2">
        <v>180.54</v>
      </c>
      <c r="F2025">
        <v>29</v>
      </c>
      <c r="G2025">
        <v>7</v>
      </c>
      <c r="H2025">
        <v>4.5999999999999999E-2</v>
      </c>
      <c r="I2025" s="3">
        <v>1564</v>
      </c>
      <c r="J2025" s="1">
        <v>45546</v>
      </c>
      <c r="K2025" t="s">
        <v>31</v>
      </c>
      <c r="L2025" t="s">
        <v>7</v>
      </c>
      <c r="M2025" t="s">
        <v>46</v>
      </c>
      <c r="N2025" s="1">
        <f t="shared" si="186"/>
        <v>45546</v>
      </c>
      <c r="O2025" s="4">
        <f t="shared" si="187"/>
        <v>2.2806694868493654E-2</v>
      </c>
      <c r="P2025">
        <f t="shared" si="188"/>
        <v>1.4559677419354837</v>
      </c>
      <c r="Q2025" s="2">
        <f t="shared" si="189"/>
        <v>6.2255172413793103</v>
      </c>
      <c r="R2025" s="2">
        <f t="shared" si="190"/>
        <v>25.791428571428572</v>
      </c>
      <c r="S2025" s="2">
        <f t="shared" si="191"/>
        <v>8.662900188323917</v>
      </c>
    </row>
    <row r="2026" spans="1:19" hidden="1">
      <c r="A2026" t="s">
        <v>2079</v>
      </c>
      <c r="B2026" t="s">
        <v>30</v>
      </c>
      <c r="C2026">
        <v>88</v>
      </c>
      <c r="D2026">
        <v>4794</v>
      </c>
      <c r="E2026" s="2">
        <v>242.28</v>
      </c>
      <c r="F2026">
        <v>11</v>
      </c>
      <c r="G2026">
        <v>3</v>
      </c>
      <c r="H2026">
        <v>3.4000000000000002E-2</v>
      </c>
      <c r="I2026" s="3">
        <v>1210</v>
      </c>
      <c r="J2026" s="1">
        <v>45603</v>
      </c>
      <c r="K2026" t="s">
        <v>31</v>
      </c>
      <c r="L2026" t="s">
        <v>8</v>
      </c>
      <c r="M2026" t="s">
        <v>39</v>
      </c>
      <c r="N2026" s="1">
        <f t="shared" si="186"/>
        <v>45603</v>
      </c>
      <c r="O2026" s="4">
        <f t="shared" si="187"/>
        <v>1.8356278681685441E-2</v>
      </c>
      <c r="P2026">
        <f t="shared" si="188"/>
        <v>2.7531818181818184</v>
      </c>
      <c r="Q2026" s="2">
        <f t="shared" si="189"/>
        <v>22.025454545454547</v>
      </c>
      <c r="R2026" s="2">
        <f t="shared" si="190"/>
        <v>80.760000000000005</v>
      </c>
      <c r="S2026" s="2">
        <f t="shared" si="191"/>
        <v>4.9942215618292884</v>
      </c>
    </row>
    <row r="2027" spans="1:19" hidden="1">
      <c r="A2027" t="s">
        <v>2080</v>
      </c>
      <c r="B2027" t="s">
        <v>30</v>
      </c>
      <c r="C2027">
        <v>118</v>
      </c>
      <c r="D2027">
        <v>5326</v>
      </c>
      <c r="E2027" s="2">
        <v>199.76</v>
      </c>
      <c r="F2027">
        <v>19</v>
      </c>
      <c r="G2027">
        <v>8</v>
      </c>
      <c r="H2027">
        <v>6.8000000000000005E-2</v>
      </c>
      <c r="I2027" s="3">
        <v>1195</v>
      </c>
      <c r="J2027" s="1">
        <v>45620</v>
      </c>
      <c r="K2027" t="s">
        <v>31</v>
      </c>
      <c r="L2027" t="s">
        <v>9</v>
      </c>
      <c r="M2027" t="s">
        <v>46</v>
      </c>
      <c r="N2027" s="1">
        <f t="shared" si="186"/>
        <v>45620</v>
      </c>
      <c r="O2027" s="4">
        <f t="shared" si="187"/>
        <v>2.2155463762673678E-2</v>
      </c>
      <c r="P2027">
        <f t="shared" si="188"/>
        <v>1.6928813559322033</v>
      </c>
      <c r="Q2027" s="2">
        <f t="shared" si="189"/>
        <v>10.513684210526316</v>
      </c>
      <c r="R2027" s="2">
        <f t="shared" si="190"/>
        <v>24.97</v>
      </c>
      <c r="S2027" s="2">
        <f t="shared" si="191"/>
        <v>5.9821786143372053</v>
      </c>
    </row>
    <row r="2028" spans="1:19">
      <c r="A2028" t="s">
        <v>2081</v>
      </c>
      <c r="B2028" t="s">
        <v>30</v>
      </c>
      <c r="C2028">
        <v>160</v>
      </c>
      <c r="D2028">
        <v>5642</v>
      </c>
      <c r="E2028" s="2">
        <v>200.82</v>
      </c>
      <c r="F2028">
        <v>25</v>
      </c>
      <c r="G2028">
        <v>7</v>
      </c>
      <c r="H2028">
        <v>4.5999999999999999E-2</v>
      </c>
      <c r="I2028" s="3">
        <v>1505</v>
      </c>
      <c r="J2028" s="1" t="s">
        <v>86</v>
      </c>
      <c r="K2028" t="s">
        <v>31</v>
      </c>
      <c r="L2028" t="s">
        <v>8</v>
      </c>
      <c r="M2028" t="s">
        <v>32</v>
      </c>
      <c r="N2028" s="1">
        <f t="shared" si="186"/>
        <v>45625</v>
      </c>
      <c r="O2028" s="4">
        <f t="shared" si="187"/>
        <v>2.8358738036157391E-2</v>
      </c>
      <c r="P2028">
        <f t="shared" si="188"/>
        <v>1.255125</v>
      </c>
      <c r="Q2028" s="2">
        <f t="shared" si="189"/>
        <v>8.0327999999999999</v>
      </c>
      <c r="R2028" s="2">
        <f t="shared" si="190"/>
        <v>28.688571428571429</v>
      </c>
      <c r="S2028" s="2">
        <f t="shared" si="191"/>
        <v>7.4942734787371776</v>
      </c>
    </row>
    <row r="2029" spans="1:19" hidden="1">
      <c r="A2029" t="s">
        <v>2082</v>
      </c>
      <c r="B2029" t="s">
        <v>30</v>
      </c>
      <c r="C2029">
        <v>112</v>
      </c>
      <c r="D2029">
        <v>4594</v>
      </c>
      <c r="E2029" s="2">
        <v>236.12</v>
      </c>
      <c r="F2029">
        <v>29</v>
      </c>
      <c r="G2029">
        <v>8</v>
      </c>
      <c r="H2029">
        <v>7.0999999999999994E-2</v>
      </c>
      <c r="I2029" s="3">
        <v>1569</v>
      </c>
      <c r="J2029" s="1" t="s">
        <v>111</v>
      </c>
      <c r="K2029" t="s">
        <v>31</v>
      </c>
      <c r="L2029" t="s">
        <v>8</v>
      </c>
      <c r="M2029" t="s">
        <v>39</v>
      </c>
      <c r="N2029" s="1">
        <f t="shared" si="186"/>
        <v>45619</v>
      </c>
      <c r="O2029" s="4">
        <f t="shared" si="187"/>
        <v>2.4379625598606878E-2</v>
      </c>
      <c r="P2029">
        <f t="shared" si="188"/>
        <v>2.1082142857142858</v>
      </c>
      <c r="Q2029" s="2">
        <f t="shared" si="189"/>
        <v>8.1420689655172414</v>
      </c>
      <c r="R2029" s="2">
        <f t="shared" si="190"/>
        <v>29.515000000000001</v>
      </c>
      <c r="S2029" s="2">
        <f t="shared" si="191"/>
        <v>6.6449263086566148</v>
      </c>
    </row>
    <row r="2030" spans="1:19" hidden="1">
      <c r="A2030" t="s">
        <v>2083</v>
      </c>
      <c r="B2030" t="s">
        <v>30</v>
      </c>
      <c r="C2030">
        <v>186</v>
      </c>
      <c r="D2030">
        <v>4352</v>
      </c>
      <c r="E2030" s="2">
        <v>223.95</v>
      </c>
      <c r="F2030">
        <v>29</v>
      </c>
      <c r="G2030">
        <v>3</v>
      </c>
      <c r="H2030">
        <v>1.6E-2</v>
      </c>
      <c r="I2030" s="3">
        <v>1290</v>
      </c>
      <c r="J2030" s="1">
        <v>45454</v>
      </c>
      <c r="K2030" t="s">
        <v>31</v>
      </c>
      <c r="L2030" t="s">
        <v>8</v>
      </c>
      <c r="M2030" t="s">
        <v>39</v>
      </c>
      <c r="N2030" s="1">
        <f t="shared" si="186"/>
        <v>45454</v>
      </c>
      <c r="O2030" s="4">
        <f t="shared" si="187"/>
        <v>4.2738970588235295E-2</v>
      </c>
      <c r="P2030">
        <f t="shared" si="188"/>
        <v>1.204032258064516</v>
      </c>
      <c r="Q2030" s="2">
        <f t="shared" si="189"/>
        <v>7.7224137931034482</v>
      </c>
      <c r="R2030" s="2">
        <f t="shared" si="190"/>
        <v>74.649999999999991</v>
      </c>
      <c r="S2030" s="2">
        <f t="shared" si="191"/>
        <v>5.7602143335565978</v>
      </c>
    </row>
    <row r="2031" spans="1:19" hidden="1">
      <c r="A2031" t="s">
        <v>2084</v>
      </c>
      <c r="B2031" t="s">
        <v>30</v>
      </c>
      <c r="C2031">
        <v>139</v>
      </c>
      <c r="D2031">
        <v>4220</v>
      </c>
      <c r="E2031" s="2">
        <v>206.02</v>
      </c>
      <c r="F2031">
        <v>21</v>
      </c>
      <c r="G2031">
        <v>5</v>
      </c>
      <c r="H2031">
        <v>3.5999999999999997E-2</v>
      </c>
      <c r="I2031" s="3">
        <v>1671</v>
      </c>
      <c r="J2031" s="1">
        <v>45617</v>
      </c>
      <c r="K2031" t="s">
        <v>31</v>
      </c>
      <c r="L2031" t="s">
        <v>7</v>
      </c>
      <c r="M2031" t="s">
        <v>32</v>
      </c>
      <c r="N2031" s="1">
        <f t="shared" si="186"/>
        <v>45617</v>
      </c>
      <c r="O2031" s="4">
        <f t="shared" si="187"/>
        <v>3.2938388625592417E-2</v>
      </c>
      <c r="P2031">
        <f t="shared" si="188"/>
        <v>1.482158273381295</v>
      </c>
      <c r="Q2031" s="2">
        <f t="shared" si="189"/>
        <v>9.8104761904761908</v>
      </c>
      <c r="R2031" s="2">
        <f t="shared" si="190"/>
        <v>41.204000000000001</v>
      </c>
      <c r="S2031" s="2">
        <f t="shared" si="191"/>
        <v>8.1108630230074752</v>
      </c>
    </row>
    <row r="2032" spans="1:19" hidden="1">
      <c r="A2032" t="s">
        <v>2085</v>
      </c>
      <c r="B2032" t="s">
        <v>30</v>
      </c>
      <c r="C2032">
        <v>164</v>
      </c>
      <c r="D2032">
        <v>4909</v>
      </c>
      <c r="E2032" s="2">
        <v>245.06</v>
      </c>
      <c r="F2032">
        <v>13</v>
      </c>
      <c r="G2032">
        <v>3</v>
      </c>
      <c r="H2032">
        <v>4.4999999999999998E-2</v>
      </c>
      <c r="I2032" s="3">
        <v>1601</v>
      </c>
      <c r="J2032" s="1">
        <v>45393</v>
      </c>
      <c r="K2032" t="s">
        <v>31</v>
      </c>
      <c r="L2032" t="s">
        <v>8</v>
      </c>
      <c r="M2032" t="s">
        <v>32</v>
      </c>
      <c r="N2032" s="1">
        <f t="shared" si="186"/>
        <v>45393</v>
      </c>
      <c r="O2032" s="4">
        <f t="shared" si="187"/>
        <v>3.3408026074556937E-2</v>
      </c>
      <c r="P2032">
        <f t="shared" si="188"/>
        <v>1.4942682926829269</v>
      </c>
      <c r="Q2032" s="2">
        <f t="shared" si="189"/>
        <v>18.850769230769231</v>
      </c>
      <c r="R2032" s="2">
        <f t="shared" si="190"/>
        <v>81.686666666666667</v>
      </c>
      <c r="S2032" s="2">
        <f t="shared" si="191"/>
        <v>6.5330939361788953</v>
      </c>
    </row>
    <row r="2033" spans="1:19" hidden="1">
      <c r="A2033" t="s">
        <v>2086</v>
      </c>
      <c r="B2033" t="s">
        <v>30</v>
      </c>
      <c r="C2033">
        <v>89</v>
      </c>
      <c r="D2033">
        <v>3148</v>
      </c>
      <c r="E2033" s="2">
        <v>219.25</v>
      </c>
      <c r="F2033">
        <v>13</v>
      </c>
      <c r="G2033">
        <v>4</v>
      </c>
      <c r="H2033">
        <v>4.4999999999999998E-2</v>
      </c>
      <c r="I2033" s="3">
        <v>1533</v>
      </c>
      <c r="J2033" s="1">
        <v>45602</v>
      </c>
      <c r="K2033" t="s">
        <v>31</v>
      </c>
      <c r="L2033" t="s">
        <v>7</v>
      </c>
      <c r="M2033" t="s">
        <v>37</v>
      </c>
      <c r="N2033" s="1">
        <f t="shared" si="186"/>
        <v>45602</v>
      </c>
      <c r="O2033" s="4">
        <f t="shared" si="187"/>
        <v>2.8271918678526048E-2</v>
      </c>
      <c r="P2033">
        <f t="shared" si="188"/>
        <v>2.4634831460674156</v>
      </c>
      <c r="Q2033" s="2">
        <f t="shared" si="189"/>
        <v>16.865384615384617</v>
      </c>
      <c r="R2033" s="2">
        <f t="shared" si="190"/>
        <v>54.8125</v>
      </c>
      <c r="S2033" s="2">
        <f t="shared" si="191"/>
        <v>6.9920182440136829</v>
      </c>
    </row>
    <row r="2034" spans="1:19" hidden="1">
      <c r="A2034" t="s">
        <v>2087</v>
      </c>
      <c r="B2034" t="s">
        <v>30</v>
      </c>
      <c r="C2034">
        <v>107</v>
      </c>
      <c r="D2034">
        <v>3105</v>
      </c>
      <c r="E2034" s="2">
        <v>195.46</v>
      </c>
      <c r="F2034">
        <v>20</v>
      </c>
      <c r="G2034">
        <v>10</v>
      </c>
      <c r="H2034">
        <v>3.6999999999999998E-2</v>
      </c>
      <c r="I2034" s="3">
        <v>1455</v>
      </c>
      <c r="J2034" s="1">
        <v>45615</v>
      </c>
      <c r="K2034" t="s">
        <v>31</v>
      </c>
      <c r="L2034" t="s">
        <v>8</v>
      </c>
      <c r="M2034" t="s">
        <v>37</v>
      </c>
      <c r="N2034" s="1">
        <f t="shared" si="186"/>
        <v>45615</v>
      </c>
      <c r="O2034" s="4">
        <f t="shared" si="187"/>
        <v>3.4460547504025767E-2</v>
      </c>
      <c r="P2034">
        <f t="shared" si="188"/>
        <v>1.826728971962617</v>
      </c>
      <c r="Q2034" s="2">
        <f t="shared" si="189"/>
        <v>9.7729999999999997</v>
      </c>
      <c r="R2034" s="2">
        <f t="shared" si="190"/>
        <v>19.545999999999999</v>
      </c>
      <c r="S2034" s="2">
        <f t="shared" si="191"/>
        <v>7.443978307582114</v>
      </c>
    </row>
    <row r="2035" spans="1:19" hidden="1">
      <c r="A2035" t="s">
        <v>2088</v>
      </c>
      <c r="B2035" t="s">
        <v>30</v>
      </c>
      <c r="C2035">
        <v>179</v>
      </c>
      <c r="D2035">
        <v>5062</v>
      </c>
      <c r="E2035" s="2">
        <v>214.66</v>
      </c>
      <c r="F2035">
        <v>18</v>
      </c>
      <c r="G2035">
        <v>4</v>
      </c>
      <c r="H2035">
        <v>0.05</v>
      </c>
      <c r="I2035" s="3">
        <v>1815</v>
      </c>
      <c r="J2035" s="1" t="s">
        <v>167</v>
      </c>
      <c r="K2035" t="s">
        <v>31</v>
      </c>
      <c r="L2035" t="s">
        <v>8</v>
      </c>
      <c r="M2035" t="s">
        <v>35</v>
      </c>
      <c r="N2035" s="1">
        <f t="shared" si="186"/>
        <v>45620</v>
      </c>
      <c r="O2035" s="4">
        <f t="shared" si="187"/>
        <v>3.5361517186882657E-2</v>
      </c>
      <c r="P2035">
        <f t="shared" si="188"/>
        <v>1.199217877094972</v>
      </c>
      <c r="Q2035" s="2">
        <f t="shared" si="189"/>
        <v>11.925555555555555</v>
      </c>
      <c r="R2035" s="2">
        <f t="shared" si="190"/>
        <v>53.664999999999999</v>
      </c>
      <c r="S2035" s="2">
        <f t="shared" si="191"/>
        <v>8.4552315289294704</v>
      </c>
    </row>
    <row r="2036" spans="1:19" hidden="1">
      <c r="A2036" t="s">
        <v>2089</v>
      </c>
      <c r="B2036" t="s">
        <v>30</v>
      </c>
      <c r="C2036">
        <v>136</v>
      </c>
      <c r="D2036">
        <v>4096</v>
      </c>
      <c r="E2036" s="2">
        <v>228.79</v>
      </c>
      <c r="F2036">
        <v>19</v>
      </c>
      <c r="G2036">
        <v>10</v>
      </c>
      <c r="H2036">
        <v>3.9E-2</v>
      </c>
      <c r="I2036" s="3">
        <v>1054</v>
      </c>
      <c r="J2036" s="1">
        <v>45622</v>
      </c>
      <c r="K2036" t="s">
        <v>31</v>
      </c>
      <c r="L2036" t="s">
        <v>7</v>
      </c>
      <c r="M2036" t="s">
        <v>39</v>
      </c>
      <c r="N2036" s="1">
        <f t="shared" si="186"/>
        <v>45622</v>
      </c>
      <c r="O2036" s="4">
        <f t="shared" si="187"/>
        <v>3.3203125E-2</v>
      </c>
      <c r="P2036">
        <f t="shared" si="188"/>
        <v>1.6822794117647057</v>
      </c>
      <c r="Q2036" s="2">
        <f t="shared" si="189"/>
        <v>12.041578947368421</v>
      </c>
      <c r="R2036" s="2">
        <f t="shared" si="190"/>
        <v>22.878999999999998</v>
      </c>
      <c r="S2036" s="2">
        <f t="shared" si="191"/>
        <v>4.6068447047510821</v>
      </c>
    </row>
    <row r="2037" spans="1:19">
      <c r="A2037" t="s">
        <v>2090</v>
      </c>
      <c r="B2037" t="s">
        <v>30</v>
      </c>
      <c r="C2037">
        <v>140</v>
      </c>
      <c r="D2037">
        <v>4283</v>
      </c>
      <c r="E2037" s="2">
        <v>205.02</v>
      </c>
      <c r="F2037">
        <v>22</v>
      </c>
      <c r="G2037">
        <v>7</v>
      </c>
      <c r="H2037">
        <v>4.5999999999999999E-2</v>
      </c>
      <c r="I2037" s="3">
        <v>1674</v>
      </c>
      <c r="J2037" s="1">
        <v>45607</v>
      </c>
      <c r="K2037" t="s">
        <v>31</v>
      </c>
      <c r="L2037" t="s">
        <v>8</v>
      </c>
      <c r="M2037" t="s">
        <v>35</v>
      </c>
      <c r="N2037" s="1">
        <f t="shared" si="186"/>
        <v>45607</v>
      </c>
      <c r="O2037" s="4">
        <f t="shared" si="187"/>
        <v>3.2687368666822321E-2</v>
      </c>
      <c r="P2037">
        <f t="shared" si="188"/>
        <v>1.4644285714285714</v>
      </c>
      <c r="Q2037" s="2">
        <f t="shared" si="189"/>
        <v>9.3190909090909102</v>
      </c>
      <c r="R2037" s="2">
        <f t="shared" si="190"/>
        <v>29.28857142857143</v>
      </c>
      <c r="S2037" s="2">
        <f t="shared" si="191"/>
        <v>8.1650570676031595</v>
      </c>
    </row>
    <row r="2038" spans="1:19">
      <c r="A2038" t="s">
        <v>2091</v>
      </c>
      <c r="B2038" t="s">
        <v>30</v>
      </c>
      <c r="C2038">
        <v>137</v>
      </c>
      <c r="D2038">
        <v>4189</v>
      </c>
      <c r="E2038" s="2">
        <v>208.84</v>
      </c>
      <c r="F2038">
        <v>17</v>
      </c>
      <c r="G2038">
        <v>7</v>
      </c>
      <c r="H2038">
        <v>4.5999999999999999E-2</v>
      </c>
      <c r="I2038" s="3">
        <v>1211</v>
      </c>
      <c r="J2038" s="1">
        <v>45605</v>
      </c>
      <c r="K2038" t="s">
        <v>31</v>
      </c>
      <c r="L2038" t="s">
        <v>8</v>
      </c>
      <c r="M2038" t="s">
        <v>41</v>
      </c>
      <c r="N2038" s="1">
        <f t="shared" si="186"/>
        <v>45605</v>
      </c>
      <c r="O2038" s="4">
        <f t="shared" si="187"/>
        <v>3.270470279302936E-2</v>
      </c>
      <c r="P2038">
        <f t="shared" si="188"/>
        <v>1.5243795620437957</v>
      </c>
      <c r="Q2038" s="2">
        <f t="shared" si="189"/>
        <v>12.284705882352942</v>
      </c>
      <c r="R2038" s="2">
        <f t="shared" si="190"/>
        <v>29.834285714285716</v>
      </c>
      <c r="S2038" s="2">
        <f t="shared" si="191"/>
        <v>5.7986975675158012</v>
      </c>
    </row>
    <row r="2039" spans="1:19" hidden="1">
      <c r="A2039" t="s">
        <v>2092</v>
      </c>
      <c r="B2039" t="s">
        <v>30</v>
      </c>
      <c r="C2039">
        <v>199</v>
      </c>
      <c r="D2039">
        <v>4818</v>
      </c>
      <c r="E2039" s="2">
        <v>230.19</v>
      </c>
      <c r="F2039">
        <v>11</v>
      </c>
      <c r="G2039">
        <v>7</v>
      </c>
      <c r="H2039">
        <v>3.7999999999999999E-2</v>
      </c>
      <c r="I2039" s="3">
        <v>1714</v>
      </c>
      <c r="J2039" s="1">
        <v>45604</v>
      </c>
      <c r="K2039" t="s">
        <v>31</v>
      </c>
      <c r="L2039" t="s">
        <v>7</v>
      </c>
      <c r="M2039" t="s">
        <v>41</v>
      </c>
      <c r="N2039" s="1">
        <f t="shared" si="186"/>
        <v>45604</v>
      </c>
      <c r="O2039" s="4">
        <f t="shared" si="187"/>
        <v>4.1303445413034455E-2</v>
      </c>
      <c r="P2039">
        <f t="shared" si="188"/>
        <v>1.1567336683417084</v>
      </c>
      <c r="Q2039" s="2">
        <f t="shared" si="189"/>
        <v>20.926363636363636</v>
      </c>
      <c r="R2039" s="2">
        <f t="shared" si="190"/>
        <v>32.884285714285717</v>
      </c>
      <c r="S2039" s="2">
        <f t="shared" si="191"/>
        <v>7.4460228506885615</v>
      </c>
    </row>
    <row r="2040" spans="1:19" hidden="1">
      <c r="A2040" t="s">
        <v>2093</v>
      </c>
      <c r="B2040" t="s">
        <v>30</v>
      </c>
      <c r="C2040">
        <v>95</v>
      </c>
      <c r="D2040">
        <v>5256</v>
      </c>
      <c r="E2040" s="2">
        <v>235.84</v>
      </c>
      <c r="F2040">
        <v>12</v>
      </c>
      <c r="G2040">
        <v>8</v>
      </c>
      <c r="H2040">
        <v>5.1999999999999998E-2</v>
      </c>
      <c r="I2040" s="3">
        <v>1324</v>
      </c>
      <c r="J2040" s="1">
        <v>45620</v>
      </c>
      <c r="K2040" t="s">
        <v>31</v>
      </c>
      <c r="L2040" t="s">
        <v>8</v>
      </c>
      <c r="M2040" t="s">
        <v>39</v>
      </c>
      <c r="N2040" s="1">
        <f t="shared" si="186"/>
        <v>45620</v>
      </c>
      <c r="O2040" s="4">
        <f t="shared" si="187"/>
        <v>1.8074581430745813E-2</v>
      </c>
      <c r="P2040">
        <f t="shared" si="188"/>
        <v>2.4825263157894737</v>
      </c>
      <c r="Q2040" s="2">
        <f t="shared" si="189"/>
        <v>19.653333333333332</v>
      </c>
      <c r="R2040" s="2">
        <f t="shared" si="190"/>
        <v>29.48</v>
      </c>
      <c r="S2040" s="2">
        <f t="shared" si="191"/>
        <v>5.6139755766621438</v>
      </c>
    </row>
    <row r="2041" spans="1:19" hidden="1">
      <c r="A2041" t="s">
        <v>2094</v>
      </c>
      <c r="B2041" t="s">
        <v>30</v>
      </c>
      <c r="C2041">
        <v>182</v>
      </c>
      <c r="D2041">
        <v>3980</v>
      </c>
      <c r="E2041" s="2">
        <v>191.75</v>
      </c>
      <c r="F2041">
        <v>16</v>
      </c>
      <c r="G2041">
        <v>5</v>
      </c>
      <c r="H2041">
        <v>2.7E-2</v>
      </c>
      <c r="I2041" s="3">
        <v>1050</v>
      </c>
      <c r="J2041" s="1">
        <v>45604</v>
      </c>
      <c r="K2041" t="s">
        <v>31</v>
      </c>
      <c r="L2041" t="s">
        <v>9</v>
      </c>
      <c r="M2041" t="s">
        <v>41</v>
      </c>
      <c r="N2041" s="1">
        <f t="shared" si="186"/>
        <v>45604</v>
      </c>
      <c r="O2041" s="4">
        <f t="shared" si="187"/>
        <v>4.5728643216080403E-2</v>
      </c>
      <c r="P2041">
        <f t="shared" si="188"/>
        <v>1.0535714285714286</v>
      </c>
      <c r="Q2041" s="2">
        <f t="shared" si="189"/>
        <v>11.984375</v>
      </c>
      <c r="R2041" s="2">
        <f t="shared" si="190"/>
        <v>38.35</v>
      </c>
      <c r="S2041" s="2">
        <f t="shared" si="191"/>
        <v>5.475880052151239</v>
      </c>
    </row>
    <row r="2042" spans="1:19">
      <c r="A2042" t="s">
        <v>2095</v>
      </c>
      <c r="B2042" t="s">
        <v>30</v>
      </c>
      <c r="C2042">
        <v>132</v>
      </c>
      <c r="D2042">
        <v>4359</v>
      </c>
      <c r="E2042" s="2">
        <v>237.12</v>
      </c>
      <c r="F2042">
        <v>29</v>
      </c>
      <c r="G2042">
        <v>3</v>
      </c>
      <c r="H2042">
        <v>4.5999999999999999E-2</v>
      </c>
      <c r="I2042" s="3">
        <v>1872</v>
      </c>
      <c r="J2042" s="1">
        <v>45302</v>
      </c>
      <c r="K2042" t="s">
        <v>31</v>
      </c>
      <c r="L2042" t="s">
        <v>8</v>
      </c>
      <c r="M2042" t="s">
        <v>41</v>
      </c>
      <c r="N2042" s="1">
        <f t="shared" si="186"/>
        <v>45302</v>
      </c>
      <c r="O2042" s="4">
        <f t="shared" si="187"/>
        <v>3.0282174810736407E-2</v>
      </c>
      <c r="P2042">
        <f t="shared" si="188"/>
        <v>1.7963636363636364</v>
      </c>
      <c r="Q2042" s="2">
        <f t="shared" si="189"/>
        <v>8.1765517241379317</v>
      </c>
      <c r="R2042" s="2">
        <f t="shared" si="190"/>
        <v>79.040000000000006</v>
      </c>
      <c r="S2042" s="2">
        <f t="shared" si="191"/>
        <v>7.8947368421052628</v>
      </c>
    </row>
    <row r="2043" spans="1:19" hidden="1">
      <c r="A2043" t="s">
        <v>2096</v>
      </c>
      <c r="B2043" t="s">
        <v>30</v>
      </c>
      <c r="C2043">
        <v>139</v>
      </c>
      <c r="D2043">
        <v>5326</v>
      </c>
      <c r="E2043" s="2">
        <v>241.7</v>
      </c>
      <c r="F2043">
        <v>29</v>
      </c>
      <c r="G2043">
        <v>5</v>
      </c>
      <c r="H2043">
        <v>3.5999999999999997E-2</v>
      </c>
      <c r="I2043" s="3">
        <v>1423</v>
      </c>
      <c r="J2043" s="1">
        <v>45515</v>
      </c>
      <c r="K2043" t="s">
        <v>31</v>
      </c>
      <c r="L2043" t="s">
        <v>8</v>
      </c>
      <c r="M2043" t="s">
        <v>46</v>
      </c>
      <c r="N2043" s="1">
        <f t="shared" si="186"/>
        <v>45515</v>
      </c>
      <c r="O2043" s="4">
        <f t="shared" si="187"/>
        <v>2.6098385279759669E-2</v>
      </c>
      <c r="P2043">
        <f t="shared" si="188"/>
        <v>1.7388489208633093</v>
      </c>
      <c r="Q2043" s="2">
        <f t="shared" si="189"/>
        <v>8.3344827586206893</v>
      </c>
      <c r="R2043" s="2">
        <f t="shared" si="190"/>
        <v>48.339999999999996</v>
      </c>
      <c r="S2043" s="2">
        <f t="shared" si="191"/>
        <v>5.8874637980968147</v>
      </c>
    </row>
    <row r="2044" spans="1:19" hidden="1">
      <c r="A2044" t="s">
        <v>2097</v>
      </c>
      <c r="B2044" t="s">
        <v>30</v>
      </c>
      <c r="C2044">
        <v>134</v>
      </c>
      <c r="D2044">
        <v>5614</v>
      </c>
      <c r="E2044" s="2">
        <v>220.52</v>
      </c>
      <c r="F2044">
        <v>14</v>
      </c>
      <c r="G2044">
        <v>6</v>
      </c>
      <c r="H2044">
        <v>3.5999999999999997E-2</v>
      </c>
      <c r="I2044" s="3">
        <v>1505</v>
      </c>
      <c r="J2044" s="1" t="s">
        <v>89</v>
      </c>
      <c r="K2044" t="s">
        <v>31</v>
      </c>
      <c r="L2044" t="s">
        <v>7</v>
      </c>
      <c r="M2044" t="s">
        <v>37</v>
      </c>
      <c r="N2044" s="1">
        <f t="shared" si="186"/>
        <v>45611</v>
      </c>
      <c r="O2044" s="4">
        <f t="shared" si="187"/>
        <v>2.3868899180619879E-2</v>
      </c>
      <c r="P2044">
        <f t="shared" si="188"/>
        <v>1.6456716417910449</v>
      </c>
      <c r="Q2044" s="2">
        <f t="shared" si="189"/>
        <v>15.751428571428573</v>
      </c>
      <c r="R2044" s="2">
        <f t="shared" si="190"/>
        <v>36.753333333333337</v>
      </c>
      <c r="S2044" s="2">
        <f t="shared" si="191"/>
        <v>6.8247777979321604</v>
      </c>
    </row>
    <row r="2045" spans="1:19" hidden="1">
      <c r="A2045" t="s">
        <v>2098</v>
      </c>
      <c r="B2045" t="s">
        <v>30</v>
      </c>
      <c r="C2045">
        <v>166</v>
      </c>
      <c r="D2045">
        <v>3746</v>
      </c>
      <c r="E2045" s="2">
        <v>213.81</v>
      </c>
      <c r="F2045">
        <v>16</v>
      </c>
      <c r="G2045">
        <v>5</v>
      </c>
      <c r="H2045">
        <v>0.03</v>
      </c>
      <c r="I2045" s="3">
        <v>1750</v>
      </c>
      <c r="J2045" s="1">
        <v>45604</v>
      </c>
      <c r="K2045" t="s">
        <v>31</v>
      </c>
      <c r="L2045" t="s">
        <v>8</v>
      </c>
      <c r="M2045" t="s">
        <v>37</v>
      </c>
      <c r="N2045" s="1">
        <f t="shared" si="186"/>
        <v>45604</v>
      </c>
      <c r="O2045" s="4">
        <f t="shared" si="187"/>
        <v>4.4313934863854779E-2</v>
      </c>
      <c r="P2045">
        <f t="shared" si="188"/>
        <v>1.288012048192771</v>
      </c>
      <c r="Q2045" s="2">
        <f t="shared" si="189"/>
        <v>13.363125</v>
      </c>
      <c r="R2045" s="2">
        <f t="shared" si="190"/>
        <v>42.762</v>
      </c>
      <c r="S2045" s="2">
        <f t="shared" si="191"/>
        <v>8.1848370048173607</v>
      </c>
    </row>
    <row r="2046" spans="1:19" hidden="1">
      <c r="A2046" t="s">
        <v>2099</v>
      </c>
      <c r="B2046" t="s">
        <v>30</v>
      </c>
      <c r="C2046">
        <v>121</v>
      </c>
      <c r="D2046">
        <v>5608</v>
      </c>
      <c r="E2046" s="2">
        <v>219.92</v>
      </c>
      <c r="F2046">
        <v>19</v>
      </c>
      <c r="G2046">
        <v>4</v>
      </c>
      <c r="H2046">
        <v>4.9000000000000002E-2</v>
      </c>
      <c r="I2046" s="3">
        <v>1209</v>
      </c>
      <c r="J2046" s="1">
        <v>45610</v>
      </c>
      <c r="K2046" t="s">
        <v>31</v>
      </c>
      <c r="L2046" t="s">
        <v>9</v>
      </c>
      <c r="M2046" t="s">
        <v>39</v>
      </c>
      <c r="N2046" s="1">
        <f t="shared" si="186"/>
        <v>45610</v>
      </c>
      <c r="O2046" s="4">
        <f t="shared" si="187"/>
        <v>2.1576319543509272E-2</v>
      </c>
      <c r="P2046">
        <f t="shared" si="188"/>
        <v>1.8175206611570247</v>
      </c>
      <c r="Q2046" s="2">
        <f t="shared" si="189"/>
        <v>11.574736842105262</v>
      </c>
      <c r="R2046" s="2">
        <f t="shared" si="190"/>
        <v>54.98</v>
      </c>
      <c r="S2046" s="2">
        <f t="shared" si="191"/>
        <v>5.4974536194979997</v>
      </c>
    </row>
    <row r="2047" spans="1:19" hidden="1">
      <c r="A2047" t="s">
        <v>2100</v>
      </c>
      <c r="B2047" t="s">
        <v>30</v>
      </c>
      <c r="C2047">
        <v>173</v>
      </c>
      <c r="D2047">
        <v>4582</v>
      </c>
      <c r="E2047" s="2">
        <v>204.99</v>
      </c>
      <c r="F2047">
        <v>17</v>
      </c>
      <c r="G2047">
        <v>5</v>
      </c>
      <c r="H2047">
        <v>2.9000000000000001E-2</v>
      </c>
      <c r="I2047" s="3">
        <v>1703</v>
      </c>
      <c r="J2047" s="1">
        <v>45617</v>
      </c>
      <c r="K2047" t="s">
        <v>31</v>
      </c>
      <c r="L2047" t="s">
        <v>7</v>
      </c>
      <c r="M2047" t="s">
        <v>39</v>
      </c>
      <c r="N2047" s="1">
        <f t="shared" si="186"/>
        <v>45617</v>
      </c>
      <c r="O2047" s="4">
        <f t="shared" si="187"/>
        <v>3.7756438236577913E-2</v>
      </c>
      <c r="P2047">
        <f t="shared" si="188"/>
        <v>1.1849132947976879</v>
      </c>
      <c r="Q2047" s="2">
        <f t="shared" si="189"/>
        <v>12.058235294117647</v>
      </c>
      <c r="R2047" s="2">
        <f t="shared" si="190"/>
        <v>40.998000000000005</v>
      </c>
      <c r="S2047" s="2">
        <f t="shared" si="191"/>
        <v>8.3077223279184338</v>
      </c>
    </row>
    <row r="2048" spans="1:19">
      <c r="A2048" t="s">
        <v>2101</v>
      </c>
      <c r="B2048" t="s">
        <v>30</v>
      </c>
      <c r="C2048">
        <v>132</v>
      </c>
      <c r="D2048">
        <v>4438</v>
      </c>
      <c r="E2048" s="2">
        <v>232.68</v>
      </c>
      <c r="F2048">
        <v>24</v>
      </c>
      <c r="G2048">
        <v>7</v>
      </c>
      <c r="H2048">
        <v>4.5999999999999999E-2</v>
      </c>
      <c r="I2048" s="3">
        <v>1959</v>
      </c>
      <c r="J2048" s="1">
        <v>45605</v>
      </c>
      <c r="K2048" t="s">
        <v>31</v>
      </c>
      <c r="L2048" t="s">
        <v>7</v>
      </c>
      <c r="M2048" t="s">
        <v>46</v>
      </c>
      <c r="N2048" s="1">
        <f t="shared" si="186"/>
        <v>45605</v>
      </c>
      <c r="O2048" s="4">
        <f t="shared" si="187"/>
        <v>2.9743127534925643E-2</v>
      </c>
      <c r="P2048">
        <f t="shared" si="188"/>
        <v>1.7627272727272727</v>
      </c>
      <c r="Q2048" s="2">
        <f t="shared" si="189"/>
        <v>9.6950000000000003</v>
      </c>
      <c r="R2048" s="2">
        <f t="shared" si="190"/>
        <v>33.24</v>
      </c>
      <c r="S2048" s="2">
        <f t="shared" si="191"/>
        <v>8.4192882929345014</v>
      </c>
    </row>
    <row r="2049" spans="1:19" hidden="1">
      <c r="A2049" t="s">
        <v>2102</v>
      </c>
      <c r="B2049" t="s">
        <v>30</v>
      </c>
      <c r="C2049">
        <v>136</v>
      </c>
      <c r="D2049">
        <v>5011</v>
      </c>
      <c r="E2049" s="2">
        <v>236.62</v>
      </c>
      <c r="F2049">
        <v>25</v>
      </c>
      <c r="G2049">
        <v>5</v>
      </c>
      <c r="H2049">
        <v>3.6999999999999998E-2</v>
      </c>
      <c r="I2049" s="3">
        <v>1582</v>
      </c>
      <c r="J2049" s="1">
        <v>45599</v>
      </c>
      <c r="K2049" t="s">
        <v>31</v>
      </c>
      <c r="L2049" t="s">
        <v>8</v>
      </c>
      <c r="M2049" t="s">
        <v>35</v>
      </c>
      <c r="N2049" s="1">
        <f t="shared" si="186"/>
        <v>45599</v>
      </c>
      <c r="O2049" s="4">
        <f t="shared" si="187"/>
        <v>2.7140291359010176E-2</v>
      </c>
      <c r="P2049">
        <f t="shared" si="188"/>
        <v>1.7398529411764707</v>
      </c>
      <c r="Q2049" s="2">
        <f t="shared" si="189"/>
        <v>9.4648000000000003</v>
      </c>
      <c r="R2049" s="2">
        <f t="shared" si="190"/>
        <v>47.323999999999998</v>
      </c>
      <c r="S2049" s="2">
        <f t="shared" si="191"/>
        <v>6.6858253740174121</v>
      </c>
    </row>
    <row r="2050" spans="1:19" hidden="1">
      <c r="A2050" t="s">
        <v>2103</v>
      </c>
      <c r="B2050" t="s">
        <v>30</v>
      </c>
      <c r="C2050">
        <v>174</v>
      </c>
      <c r="D2050">
        <v>5864</v>
      </c>
      <c r="E2050" s="2">
        <v>190.45</v>
      </c>
      <c r="F2050">
        <v>26</v>
      </c>
      <c r="G2050">
        <v>5</v>
      </c>
      <c r="H2050">
        <v>4.4999999999999998E-2</v>
      </c>
      <c r="I2050" s="3">
        <v>1508</v>
      </c>
      <c r="J2050" s="1">
        <v>45623</v>
      </c>
      <c r="K2050" t="s">
        <v>31</v>
      </c>
      <c r="L2050" t="s">
        <v>8</v>
      </c>
      <c r="M2050" t="s">
        <v>39</v>
      </c>
      <c r="N2050" s="1">
        <f t="shared" ref="N2050:N2113" si="192">IF(A2050="","",IF(ISNUMBER(J2050),J2050,IF(MID(J2050,5,1)="-",DATE(LEFT(J2050,4),MID(J2050,6,2),RIGHT(J2050,2)),IF(MID(J2050,5,1)="/",DATE(LEFT(J2050,4),MID(J2050,6,2),RIGHT(J2050,2)),DATE(RIGHT(J2050,4),MID(J2050,4,2),LEFT(J2050,2))))))</f>
        <v>45623</v>
      </c>
      <c r="O2050" s="4">
        <f t="shared" ref="O2050:O2113" si="193">IFERROR(C2050/D2050,0)</f>
        <v>2.9672578444747612E-2</v>
      </c>
      <c r="P2050">
        <f t="shared" ref="P2050:P2113" si="194">IFERROR(E2050/C2050,0)</f>
        <v>1.0945402298850575</v>
      </c>
      <c r="Q2050" s="2">
        <f t="shared" ref="Q2050:Q2113" si="195">IFERROR(E2050/F2050,0)</f>
        <v>7.3249999999999993</v>
      </c>
      <c r="R2050" s="2">
        <f t="shared" ref="R2050:R2113" si="196">IFERROR(E2050/G2050,0)</f>
        <v>38.089999999999996</v>
      </c>
      <c r="S2050" s="2">
        <f t="shared" ref="S2050:S2113" si="197">IFERROR(I2050/E2050,0)</f>
        <v>7.9180887372013657</v>
      </c>
    </row>
    <row r="2051" spans="1:19" hidden="1">
      <c r="A2051" t="s">
        <v>2104</v>
      </c>
      <c r="B2051" t="s">
        <v>30</v>
      </c>
      <c r="C2051">
        <v>168</v>
      </c>
      <c r="D2051">
        <v>5114</v>
      </c>
      <c r="E2051" s="2">
        <v>186.75</v>
      </c>
      <c r="F2051">
        <v>10</v>
      </c>
      <c r="G2051">
        <v>3</v>
      </c>
      <c r="H2051">
        <v>1.7999999999999999E-2</v>
      </c>
      <c r="I2051" s="3">
        <v>1530</v>
      </c>
      <c r="J2051" s="1">
        <v>45614</v>
      </c>
      <c r="K2051" t="s">
        <v>31</v>
      </c>
      <c r="L2051" t="s">
        <v>7</v>
      </c>
      <c r="M2051" t="s">
        <v>41</v>
      </c>
      <c r="N2051" s="1">
        <f t="shared" si="192"/>
        <v>45614</v>
      </c>
      <c r="O2051" s="4">
        <f t="shared" si="193"/>
        <v>3.2850997262416894E-2</v>
      </c>
      <c r="P2051">
        <f t="shared" si="194"/>
        <v>1.1116071428571428</v>
      </c>
      <c r="Q2051" s="2">
        <f t="shared" si="195"/>
        <v>18.675000000000001</v>
      </c>
      <c r="R2051" s="2">
        <f t="shared" si="196"/>
        <v>62.25</v>
      </c>
      <c r="S2051" s="2">
        <f t="shared" si="197"/>
        <v>8.19277108433735</v>
      </c>
    </row>
    <row r="2052" spans="1:19" hidden="1">
      <c r="A2052" t="s">
        <v>2105</v>
      </c>
      <c r="B2052" t="s">
        <v>30</v>
      </c>
      <c r="C2052">
        <v>117</v>
      </c>
      <c r="D2052">
        <v>5658</v>
      </c>
      <c r="E2052" s="2">
        <v>191.48</v>
      </c>
      <c r="F2052">
        <v>13</v>
      </c>
      <c r="G2052">
        <v>3</v>
      </c>
      <c r="H2052">
        <v>3.2000000000000001E-2</v>
      </c>
      <c r="I2052" s="3">
        <v>1779</v>
      </c>
      <c r="J2052" s="1">
        <v>45621</v>
      </c>
      <c r="K2052" t="s">
        <v>31</v>
      </c>
      <c r="L2052" t="s">
        <v>8</v>
      </c>
      <c r="M2052" t="s">
        <v>32</v>
      </c>
      <c r="N2052" s="1">
        <f t="shared" si="192"/>
        <v>45621</v>
      </c>
      <c r="O2052" s="4">
        <f t="shared" si="193"/>
        <v>2.0678685047720042E-2</v>
      </c>
      <c r="P2052">
        <f t="shared" si="194"/>
        <v>1.6365811965811965</v>
      </c>
      <c r="Q2052" s="2">
        <f t="shared" si="195"/>
        <v>14.729230769230769</v>
      </c>
      <c r="R2052" s="2">
        <f t="shared" si="196"/>
        <v>63.826666666666661</v>
      </c>
      <c r="S2052" s="2">
        <f t="shared" si="197"/>
        <v>9.2907875496135368</v>
      </c>
    </row>
    <row r="2053" spans="1:19" hidden="1">
      <c r="A2053" t="s">
        <v>2106</v>
      </c>
      <c r="B2053" t="s">
        <v>30</v>
      </c>
      <c r="C2053">
        <v>187</v>
      </c>
      <c r="D2053">
        <v>4876</v>
      </c>
      <c r="E2053" s="2">
        <v>192.2</v>
      </c>
      <c r="F2053">
        <v>16</v>
      </c>
      <c r="G2053">
        <v>5</v>
      </c>
      <c r="H2053">
        <v>2.7E-2</v>
      </c>
      <c r="I2053" s="3">
        <v>1396</v>
      </c>
      <c r="J2053" s="1">
        <v>45605</v>
      </c>
      <c r="K2053" t="s">
        <v>31</v>
      </c>
      <c r="L2053" t="s">
        <v>9</v>
      </c>
      <c r="M2053" t="s">
        <v>46</v>
      </c>
      <c r="N2053" s="1">
        <f t="shared" si="192"/>
        <v>45605</v>
      </c>
      <c r="O2053" s="4">
        <f t="shared" si="193"/>
        <v>3.8351107465135356E-2</v>
      </c>
      <c r="P2053">
        <f t="shared" si="194"/>
        <v>1.0278074866310161</v>
      </c>
      <c r="Q2053" s="2">
        <f t="shared" si="195"/>
        <v>12.012499999999999</v>
      </c>
      <c r="R2053" s="2">
        <f t="shared" si="196"/>
        <v>38.44</v>
      </c>
      <c r="S2053" s="2">
        <f t="shared" si="197"/>
        <v>7.2632674297606661</v>
      </c>
    </row>
    <row r="2054" spans="1:19">
      <c r="A2054" t="s">
        <v>2107</v>
      </c>
      <c r="B2054" t="s">
        <v>30</v>
      </c>
      <c r="C2054">
        <v>139</v>
      </c>
      <c r="D2054">
        <v>5139</v>
      </c>
      <c r="E2054" s="2">
        <v>212.2</v>
      </c>
      <c r="F2054">
        <v>20</v>
      </c>
      <c r="G2054">
        <v>10</v>
      </c>
      <c r="H2054">
        <v>4.5999999999999999E-2</v>
      </c>
      <c r="I2054" s="3">
        <v>1613</v>
      </c>
      <c r="J2054" s="1">
        <v>45614</v>
      </c>
      <c r="K2054" t="s">
        <v>31</v>
      </c>
      <c r="L2054" t="s">
        <v>9</v>
      </c>
      <c r="M2054" t="s">
        <v>41</v>
      </c>
      <c r="N2054" s="1">
        <f t="shared" si="192"/>
        <v>45614</v>
      </c>
      <c r="O2054" s="4">
        <f t="shared" si="193"/>
        <v>2.7048063825647013E-2</v>
      </c>
      <c r="P2054">
        <f t="shared" si="194"/>
        <v>1.5266187050359712</v>
      </c>
      <c r="Q2054" s="2">
        <f t="shared" si="195"/>
        <v>10.61</v>
      </c>
      <c r="R2054" s="2">
        <f t="shared" si="196"/>
        <v>21.22</v>
      </c>
      <c r="S2054" s="2">
        <f t="shared" si="197"/>
        <v>7.6013195098963244</v>
      </c>
    </row>
    <row r="2055" spans="1:19">
      <c r="A2055" t="s">
        <v>2108</v>
      </c>
      <c r="B2055" t="s">
        <v>30</v>
      </c>
      <c r="C2055">
        <v>139</v>
      </c>
      <c r="D2055">
        <v>5470</v>
      </c>
      <c r="E2055" s="2">
        <v>210.97</v>
      </c>
      <c r="F2055">
        <v>20</v>
      </c>
      <c r="G2055">
        <v>7</v>
      </c>
      <c r="H2055">
        <v>4.5999999999999999E-2</v>
      </c>
      <c r="I2055" s="3">
        <v>1928</v>
      </c>
      <c r="J2055" s="1">
        <v>45617</v>
      </c>
      <c r="K2055" t="s">
        <v>31</v>
      </c>
      <c r="L2055" t="s">
        <v>7</v>
      </c>
      <c r="M2055" t="s">
        <v>37</v>
      </c>
      <c r="N2055" s="1">
        <f t="shared" si="192"/>
        <v>45617</v>
      </c>
      <c r="O2055" s="4">
        <f t="shared" si="193"/>
        <v>2.5411334552102375E-2</v>
      </c>
      <c r="P2055">
        <f t="shared" si="194"/>
        <v>1.5177697841726618</v>
      </c>
      <c r="Q2055" s="2">
        <f t="shared" si="195"/>
        <v>10.548500000000001</v>
      </c>
      <c r="R2055" s="2">
        <f t="shared" si="196"/>
        <v>30.138571428571428</v>
      </c>
      <c r="S2055" s="2">
        <f t="shared" si="197"/>
        <v>9.1387401052282318</v>
      </c>
    </row>
    <row r="2056" spans="1:19" hidden="1">
      <c r="A2056" t="s">
        <v>2109</v>
      </c>
      <c r="B2056" t="s">
        <v>30</v>
      </c>
      <c r="C2056">
        <v>112</v>
      </c>
      <c r="D2056">
        <v>5143</v>
      </c>
      <c r="E2056" s="2">
        <v>242.96</v>
      </c>
      <c r="F2056">
        <v>18</v>
      </c>
      <c r="G2056">
        <v>3</v>
      </c>
      <c r="H2056">
        <v>2.7E-2</v>
      </c>
      <c r="I2056" s="3">
        <v>1029</v>
      </c>
      <c r="J2056" s="1">
        <v>45484</v>
      </c>
      <c r="K2056" t="s">
        <v>31</v>
      </c>
      <c r="L2056" t="s">
        <v>8</v>
      </c>
      <c r="M2056" t="s">
        <v>39</v>
      </c>
      <c r="N2056" s="1">
        <f t="shared" si="192"/>
        <v>45484</v>
      </c>
      <c r="O2056" s="4">
        <f t="shared" si="193"/>
        <v>2.1777172856309548E-2</v>
      </c>
      <c r="P2056">
        <f t="shared" si="194"/>
        <v>2.1692857142857145</v>
      </c>
      <c r="Q2056" s="2">
        <f t="shared" si="195"/>
        <v>13.497777777777777</v>
      </c>
      <c r="R2056" s="2">
        <f t="shared" si="196"/>
        <v>80.986666666666665</v>
      </c>
      <c r="S2056" s="2">
        <f t="shared" si="197"/>
        <v>4.2352650642081002</v>
      </c>
    </row>
    <row r="2057" spans="1:19" hidden="1">
      <c r="A2057" t="s">
        <v>2110</v>
      </c>
      <c r="B2057" t="s">
        <v>30</v>
      </c>
      <c r="C2057">
        <v>124</v>
      </c>
      <c r="D2057">
        <v>4518.5</v>
      </c>
      <c r="E2057" s="2">
        <v>209.92</v>
      </c>
      <c r="F2057">
        <v>15</v>
      </c>
      <c r="G2057">
        <v>4</v>
      </c>
      <c r="H2057">
        <v>3.2000000000000001E-2</v>
      </c>
      <c r="I2057" s="3">
        <v>1505</v>
      </c>
      <c r="J2057" s="1">
        <v>45621</v>
      </c>
      <c r="K2057" t="s">
        <v>31</v>
      </c>
      <c r="L2057" t="s">
        <v>7</v>
      </c>
      <c r="M2057" t="s">
        <v>37</v>
      </c>
      <c r="N2057" s="1">
        <f t="shared" si="192"/>
        <v>45621</v>
      </c>
      <c r="O2057" s="4">
        <f t="shared" si="193"/>
        <v>2.7442735421046808E-2</v>
      </c>
      <c r="P2057">
        <f t="shared" si="194"/>
        <v>1.6929032258064516</v>
      </c>
      <c r="Q2057" s="2">
        <f t="shared" si="195"/>
        <v>13.994666666666665</v>
      </c>
      <c r="R2057" s="2">
        <f t="shared" si="196"/>
        <v>52.48</v>
      </c>
      <c r="S2057" s="2">
        <f t="shared" si="197"/>
        <v>7.169397865853659</v>
      </c>
    </row>
    <row r="2058" spans="1:19" hidden="1">
      <c r="A2058" t="s">
        <v>2111</v>
      </c>
      <c r="B2058" t="s">
        <v>30</v>
      </c>
      <c r="C2058">
        <v>132</v>
      </c>
      <c r="D2058">
        <v>4769</v>
      </c>
      <c r="E2058" s="2">
        <v>236.41</v>
      </c>
      <c r="F2058">
        <v>15</v>
      </c>
      <c r="G2058">
        <v>4</v>
      </c>
      <c r="H2058">
        <v>0.03</v>
      </c>
      <c r="I2058" s="3">
        <v>1505</v>
      </c>
      <c r="J2058" s="1" t="s">
        <v>100</v>
      </c>
      <c r="K2058" t="s">
        <v>31</v>
      </c>
      <c r="L2058" t="s">
        <v>9</v>
      </c>
      <c r="M2058" t="s">
        <v>46</v>
      </c>
      <c r="N2058" s="1">
        <f t="shared" si="192"/>
        <v>45622</v>
      </c>
      <c r="O2058" s="4">
        <f t="shared" si="193"/>
        <v>2.7678758649612077E-2</v>
      </c>
      <c r="P2058">
        <f t="shared" si="194"/>
        <v>1.7909848484848485</v>
      </c>
      <c r="Q2058" s="2">
        <f t="shared" si="195"/>
        <v>15.760666666666667</v>
      </c>
      <c r="R2058" s="2">
        <f t="shared" si="196"/>
        <v>59.102499999999999</v>
      </c>
      <c r="S2058" s="2">
        <f t="shared" si="197"/>
        <v>6.3660589653567952</v>
      </c>
    </row>
    <row r="2059" spans="1:19" hidden="1">
      <c r="A2059" t="s">
        <v>2112</v>
      </c>
      <c r="B2059" t="s">
        <v>30</v>
      </c>
      <c r="C2059">
        <v>167</v>
      </c>
      <c r="D2059">
        <v>3366</v>
      </c>
      <c r="E2059" s="2">
        <v>213.02</v>
      </c>
      <c r="F2059">
        <v>28</v>
      </c>
      <c r="G2059">
        <v>4</v>
      </c>
      <c r="H2059">
        <v>5.8999999999999997E-2</v>
      </c>
      <c r="I2059" s="3">
        <v>1159</v>
      </c>
      <c r="J2059" s="1">
        <v>45610</v>
      </c>
      <c r="K2059" t="s">
        <v>31</v>
      </c>
      <c r="L2059" t="s">
        <v>8</v>
      </c>
      <c r="M2059" t="s">
        <v>35</v>
      </c>
      <c r="N2059" s="1">
        <f t="shared" si="192"/>
        <v>45610</v>
      </c>
      <c r="O2059" s="4">
        <f t="shared" si="193"/>
        <v>4.9613784907902553E-2</v>
      </c>
      <c r="P2059">
        <f t="shared" si="194"/>
        <v>1.2755688622754491</v>
      </c>
      <c r="Q2059" s="2">
        <f t="shared" si="195"/>
        <v>7.6078571428571431</v>
      </c>
      <c r="R2059" s="2">
        <f t="shared" si="196"/>
        <v>53.255000000000003</v>
      </c>
      <c r="S2059" s="2">
        <f t="shared" si="197"/>
        <v>5.4408036804055957</v>
      </c>
    </row>
    <row r="2060" spans="1:19" hidden="1">
      <c r="A2060" t="s">
        <v>2113</v>
      </c>
      <c r="B2060" t="s">
        <v>30</v>
      </c>
      <c r="C2060">
        <v>165</v>
      </c>
      <c r="D2060">
        <v>5228</v>
      </c>
      <c r="E2060" s="2">
        <v>199.73</v>
      </c>
      <c r="F2060">
        <v>27</v>
      </c>
      <c r="G2060">
        <v>3</v>
      </c>
      <c r="H2060">
        <v>0.04</v>
      </c>
      <c r="I2060" s="3">
        <v>1829</v>
      </c>
      <c r="J2060" s="1">
        <v>45423</v>
      </c>
      <c r="K2060" t="s">
        <v>31</v>
      </c>
      <c r="L2060" t="s">
        <v>8</v>
      </c>
      <c r="M2060" t="s">
        <v>46</v>
      </c>
      <c r="N2060" s="1">
        <f t="shared" si="192"/>
        <v>45423</v>
      </c>
      <c r="O2060" s="4">
        <f t="shared" si="193"/>
        <v>3.1560826319816375E-2</v>
      </c>
      <c r="P2060">
        <f t="shared" si="194"/>
        <v>1.2104848484848485</v>
      </c>
      <c r="Q2060" s="2">
        <f t="shared" si="195"/>
        <v>7.3974074074074068</v>
      </c>
      <c r="R2060" s="2">
        <f t="shared" si="196"/>
        <v>66.576666666666668</v>
      </c>
      <c r="S2060" s="2">
        <f t="shared" si="197"/>
        <v>9.1573624392930455</v>
      </c>
    </row>
    <row r="2061" spans="1:19">
      <c r="A2061" t="s">
        <v>2114</v>
      </c>
      <c r="B2061" t="s">
        <v>30</v>
      </c>
      <c r="C2061">
        <v>108</v>
      </c>
      <c r="D2061">
        <v>4266</v>
      </c>
      <c r="E2061" s="2">
        <v>220.02</v>
      </c>
      <c r="F2061">
        <v>24</v>
      </c>
      <c r="G2061">
        <v>5</v>
      </c>
      <c r="H2061">
        <v>4.5999999999999999E-2</v>
      </c>
      <c r="I2061" s="3">
        <v>1282</v>
      </c>
      <c r="J2061" s="1" t="s">
        <v>111</v>
      </c>
      <c r="K2061" t="s">
        <v>31</v>
      </c>
      <c r="L2061" t="s">
        <v>8</v>
      </c>
      <c r="M2061" t="s">
        <v>39</v>
      </c>
      <c r="N2061" s="1">
        <f t="shared" si="192"/>
        <v>45619</v>
      </c>
      <c r="O2061" s="4">
        <f t="shared" si="193"/>
        <v>2.5316455696202531E-2</v>
      </c>
      <c r="P2061">
        <f t="shared" si="194"/>
        <v>2.0372222222222223</v>
      </c>
      <c r="Q2061" s="2">
        <f t="shared" si="195"/>
        <v>9.1675000000000004</v>
      </c>
      <c r="R2061" s="2">
        <f t="shared" si="196"/>
        <v>44.004000000000005</v>
      </c>
      <c r="S2061" s="2">
        <f t="shared" si="197"/>
        <v>5.8267430233615123</v>
      </c>
    </row>
    <row r="2062" spans="1:19" hidden="1">
      <c r="A2062" t="s">
        <v>2115</v>
      </c>
      <c r="B2062" t="s">
        <v>30</v>
      </c>
      <c r="C2062">
        <v>182</v>
      </c>
      <c r="D2062">
        <v>5102</v>
      </c>
      <c r="E2062" s="2">
        <v>226.22</v>
      </c>
      <c r="F2062">
        <v>16</v>
      </c>
      <c r="G2062">
        <v>10</v>
      </c>
      <c r="H2062">
        <v>0.06</v>
      </c>
      <c r="I2062" s="3">
        <v>1600</v>
      </c>
      <c r="J2062" s="1">
        <v>45603</v>
      </c>
      <c r="K2062" t="s">
        <v>31</v>
      </c>
      <c r="L2062" t="s">
        <v>8</v>
      </c>
      <c r="M2062" t="s">
        <v>35</v>
      </c>
      <c r="N2062" s="1">
        <f t="shared" si="192"/>
        <v>45603</v>
      </c>
      <c r="O2062" s="4">
        <f t="shared" si="193"/>
        <v>3.5672285378283028E-2</v>
      </c>
      <c r="P2062">
        <f t="shared" si="194"/>
        <v>1.242967032967033</v>
      </c>
      <c r="Q2062" s="2">
        <f t="shared" si="195"/>
        <v>14.13875</v>
      </c>
      <c r="R2062" s="2">
        <f t="shared" si="196"/>
        <v>22.622</v>
      </c>
      <c r="S2062" s="2">
        <f t="shared" si="197"/>
        <v>7.0727610290867302</v>
      </c>
    </row>
    <row r="2063" spans="1:19" hidden="1">
      <c r="A2063" t="s">
        <v>2116</v>
      </c>
      <c r="B2063" t="s">
        <v>30</v>
      </c>
      <c r="C2063">
        <v>91</v>
      </c>
      <c r="D2063">
        <v>3787</v>
      </c>
      <c r="E2063" s="2">
        <v>226.17</v>
      </c>
      <c r="F2063">
        <v>26</v>
      </c>
      <c r="G2063">
        <v>8</v>
      </c>
      <c r="H2063">
        <v>8.7999999999999995E-2</v>
      </c>
      <c r="I2063" s="3">
        <v>1493</v>
      </c>
      <c r="J2063" s="1">
        <v>45576</v>
      </c>
      <c r="K2063" t="s">
        <v>31</v>
      </c>
      <c r="L2063" t="s">
        <v>9</v>
      </c>
      <c r="M2063" t="s">
        <v>35</v>
      </c>
      <c r="N2063" s="1">
        <f t="shared" si="192"/>
        <v>45576</v>
      </c>
      <c r="O2063" s="4">
        <f t="shared" si="193"/>
        <v>2.4029574861367836E-2</v>
      </c>
      <c r="P2063">
        <f t="shared" si="194"/>
        <v>2.4853846153846151</v>
      </c>
      <c r="Q2063" s="2">
        <f t="shared" si="195"/>
        <v>8.6988461538461532</v>
      </c>
      <c r="R2063" s="2">
        <f t="shared" si="196"/>
        <v>28.271249999999998</v>
      </c>
      <c r="S2063" s="2">
        <f t="shared" si="197"/>
        <v>6.601229163903259</v>
      </c>
    </row>
    <row r="2064" spans="1:19">
      <c r="A2064" t="s">
        <v>2117</v>
      </c>
      <c r="B2064" t="s">
        <v>30</v>
      </c>
      <c r="C2064">
        <v>194</v>
      </c>
      <c r="D2064">
        <v>4598</v>
      </c>
      <c r="E2064" s="2">
        <v>233.86</v>
      </c>
      <c r="F2064">
        <v>25</v>
      </c>
      <c r="G2064">
        <v>4</v>
      </c>
      <c r="H2064">
        <v>4.5999999999999999E-2</v>
      </c>
      <c r="I2064" s="3">
        <v>1565</v>
      </c>
      <c r="J2064" s="1">
        <v>45423</v>
      </c>
      <c r="K2064" t="s">
        <v>31</v>
      </c>
      <c r="L2064" t="s">
        <v>9</v>
      </c>
      <c r="M2064" t="s">
        <v>37</v>
      </c>
      <c r="N2064" s="1">
        <f t="shared" si="192"/>
        <v>45423</v>
      </c>
      <c r="O2064" s="4">
        <f t="shared" si="193"/>
        <v>4.219225750326229E-2</v>
      </c>
      <c r="P2064">
        <f t="shared" si="194"/>
        <v>1.2054639175257733</v>
      </c>
      <c r="Q2064" s="2">
        <f t="shared" si="195"/>
        <v>9.3544</v>
      </c>
      <c r="R2064" s="2">
        <f t="shared" si="196"/>
        <v>58.465000000000003</v>
      </c>
      <c r="S2064" s="2">
        <f t="shared" si="197"/>
        <v>6.6920379714359015</v>
      </c>
    </row>
    <row r="2065" spans="1:19" hidden="1">
      <c r="A2065" t="s">
        <v>2118</v>
      </c>
      <c r="B2065" t="s">
        <v>30</v>
      </c>
      <c r="C2065">
        <v>189</v>
      </c>
      <c r="D2065">
        <v>5404</v>
      </c>
      <c r="E2065" s="2">
        <v>218.41</v>
      </c>
      <c r="F2065">
        <v>17</v>
      </c>
      <c r="G2065">
        <v>10</v>
      </c>
      <c r="H2065">
        <v>5.2999999999999999E-2</v>
      </c>
      <c r="I2065" s="3">
        <v>1418</v>
      </c>
      <c r="J2065" s="1">
        <v>45620</v>
      </c>
      <c r="K2065" t="s">
        <v>31</v>
      </c>
      <c r="L2065" t="s">
        <v>8</v>
      </c>
      <c r="M2065" t="s">
        <v>32</v>
      </c>
      <c r="N2065" s="1">
        <f t="shared" si="192"/>
        <v>45620</v>
      </c>
      <c r="O2065" s="4">
        <f t="shared" si="193"/>
        <v>3.4974093264248704E-2</v>
      </c>
      <c r="P2065">
        <f t="shared" si="194"/>
        <v>1.1556084656084655</v>
      </c>
      <c r="Q2065" s="2">
        <f t="shared" si="195"/>
        <v>12.847647058823529</v>
      </c>
      <c r="R2065" s="2">
        <f t="shared" si="196"/>
        <v>21.841000000000001</v>
      </c>
      <c r="S2065" s="2">
        <f t="shared" si="197"/>
        <v>6.4923767226775331</v>
      </c>
    </row>
    <row r="2066" spans="1:19" hidden="1">
      <c r="A2066" t="s">
        <v>2119</v>
      </c>
      <c r="B2066" t="s">
        <v>30</v>
      </c>
      <c r="C2066">
        <v>85</v>
      </c>
      <c r="D2066">
        <v>4432</v>
      </c>
      <c r="E2066" s="2">
        <v>214.79</v>
      </c>
      <c r="F2066">
        <v>22</v>
      </c>
      <c r="G2066">
        <v>7</v>
      </c>
      <c r="H2066">
        <v>8.2000000000000003E-2</v>
      </c>
      <c r="I2066" s="3">
        <v>1262</v>
      </c>
      <c r="J2066" s="1" t="s">
        <v>111</v>
      </c>
      <c r="K2066" t="s">
        <v>31</v>
      </c>
      <c r="L2066" t="s">
        <v>9</v>
      </c>
      <c r="M2066" t="s">
        <v>37</v>
      </c>
      <c r="N2066" s="1">
        <f t="shared" si="192"/>
        <v>45619</v>
      </c>
      <c r="O2066" s="4">
        <f t="shared" si="193"/>
        <v>1.9178700361010829E-2</v>
      </c>
      <c r="P2066">
        <f t="shared" si="194"/>
        <v>2.5269411764705882</v>
      </c>
      <c r="Q2066" s="2">
        <f t="shared" si="195"/>
        <v>9.7631818181818186</v>
      </c>
      <c r="R2066" s="2">
        <f t="shared" si="196"/>
        <v>30.684285714285714</v>
      </c>
      <c r="S2066" s="2">
        <f t="shared" si="197"/>
        <v>5.8755063084873598</v>
      </c>
    </row>
    <row r="2067" spans="1:19" hidden="1">
      <c r="A2067" t="s">
        <v>2120</v>
      </c>
      <c r="B2067" t="s">
        <v>30</v>
      </c>
      <c r="C2067">
        <v>162</v>
      </c>
      <c r="D2067">
        <v>4016</v>
      </c>
      <c r="E2067" s="2">
        <v>224.48</v>
      </c>
      <c r="F2067">
        <v>28</v>
      </c>
      <c r="G2067">
        <v>10</v>
      </c>
      <c r="H2067">
        <v>4.1000000000000002E-2</v>
      </c>
      <c r="I2067" s="3">
        <v>1060</v>
      </c>
      <c r="J2067" s="1">
        <v>45615</v>
      </c>
      <c r="K2067" t="s">
        <v>31</v>
      </c>
      <c r="L2067" t="s">
        <v>8</v>
      </c>
      <c r="M2067" t="s">
        <v>39</v>
      </c>
      <c r="N2067" s="1">
        <f t="shared" si="192"/>
        <v>45615</v>
      </c>
      <c r="O2067" s="4">
        <f t="shared" si="193"/>
        <v>4.0338645418326692E-2</v>
      </c>
      <c r="P2067">
        <f t="shared" si="194"/>
        <v>1.385679012345679</v>
      </c>
      <c r="Q2067" s="2">
        <f t="shared" si="195"/>
        <v>8.017142857142856</v>
      </c>
      <c r="R2067" s="2">
        <f t="shared" si="196"/>
        <v>22.448</v>
      </c>
      <c r="S2067" s="2">
        <f t="shared" si="197"/>
        <v>4.7220242337847473</v>
      </c>
    </row>
    <row r="2068" spans="1:19">
      <c r="A2068" t="s">
        <v>2121</v>
      </c>
      <c r="B2068" t="s">
        <v>30</v>
      </c>
      <c r="C2068">
        <v>139</v>
      </c>
      <c r="D2068">
        <v>5379</v>
      </c>
      <c r="E2068" s="2">
        <v>248.46</v>
      </c>
      <c r="F2068">
        <v>28</v>
      </c>
      <c r="G2068">
        <v>5</v>
      </c>
      <c r="H2068">
        <v>4.5999999999999999E-2</v>
      </c>
      <c r="I2068" s="3">
        <v>1881</v>
      </c>
      <c r="J2068" s="1" t="s">
        <v>115</v>
      </c>
      <c r="K2068" t="s">
        <v>31</v>
      </c>
      <c r="L2068" t="s">
        <v>7</v>
      </c>
      <c r="M2068" t="s">
        <v>41</v>
      </c>
      <c r="N2068" s="1">
        <f t="shared" si="192"/>
        <v>45623</v>
      </c>
      <c r="O2068" s="4">
        <f t="shared" si="193"/>
        <v>2.5841234430191484E-2</v>
      </c>
      <c r="P2068">
        <f t="shared" si="194"/>
        <v>1.7874820143884893</v>
      </c>
      <c r="Q2068" s="2">
        <f t="shared" si="195"/>
        <v>8.8735714285714291</v>
      </c>
      <c r="R2068" s="2">
        <f t="shared" si="196"/>
        <v>49.692</v>
      </c>
      <c r="S2068" s="2">
        <f t="shared" si="197"/>
        <v>7.5706351122917166</v>
      </c>
    </row>
    <row r="2069" spans="1:19" hidden="1">
      <c r="A2069" t="s">
        <v>2122</v>
      </c>
      <c r="B2069" t="s">
        <v>30</v>
      </c>
      <c r="C2069">
        <v>88</v>
      </c>
      <c r="D2069">
        <v>5093</v>
      </c>
      <c r="E2069" s="2">
        <v>222.28</v>
      </c>
      <c r="F2069">
        <v>13</v>
      </c>
      <c r="G2069">
        <v>9</v>
      </c>
      <c r="H2069">
        <v>0.05</v>
      </c>
      <c r="I2069" s="3">
        <v>1185</v>
      </c>
      <c r="J2069" s="1">
        <v>45546</v>
      </c>
      <c r="K2069" t="s">
        <v>31</v>
      </c>
      <c r="L2069" t="s">
        <v>7</v>
      </c>
      <c r="M2069" t="s">
        <v>41</v>
      </c>
      <c r="N2069" s="1">
        <f t="shared" si="192"/>
        <v>45546</v>
      </c>
      <c r="O2069" s="4">
        <f t="shared" si="193"/>
        <v>1.7278617710583154E-2</v>
      </c>
      <c r="P2069">
        <f t="shared" si="194"/>
        <v>2.5259090909090909</v>
      </c>
      <c r="Q2069" s="2">
        <f t="shared" si="195"/>
        <v>17.098461538461539</v>
      </c>
      <c r="R2069" s="2">
        <f t="shared" si="196"/>
        <v>24.697777777777777</v>
      </c>
      <c r="S2069" s="2">
        <f t="shared" si="197"/>
        <v>5.3311139103833005</v>
      </c>
    </row>
    <row r="2070" spans="1:19" hidden="1">
      <c r="A2070" t="s">
        <v>2123</v>
      </c>
      <c r="B2070" t="s">
        <v>30</v>
      </c>
      <c r="C2070">
        <v>121</v>
      </c>
      <c r="D2070">
        <v>5092</v>
      </c>
      <c r="E2070" s="2">
        <v>219.15</v>
      </c>
      <c r="F2070">
        <v>21</v>
      </c>
      <c r="G2070">
        <v>6</v>
      </c>
      <c r="H2070">
        <v>0.05</v>
      </c>
      <c r="I2070" s="3">
        <v>1864</v>
      </c>
      <c r="J2070" s="1">
        <v>45600</v>
      </c>
      <c r="K2070" t="s">
        <v>31</v>
      </c>
      <c r="L2070" t="s">
        <v>7</v>
      </c>
      <c r="M2070" t="s">
        <v>46</v>
      </c>
      <c r="N2070" s="1">
        <f t="shared" si="192"/>
        <v>45600</v>
      </c>
      <c r="O2070" s="4">
        <f t="shared" si="193"/>
        <v>2.3762765121759621E-2</v>
      </c>
      <c r="P2070">
        <f t="shared" si="194"/>
        <v>1.8111570247933886</v>
      </c>
      <c r="Q2070" s="2">
        <f t="shared" si="195"/>
        <v>10.435714285714287</v>
      </c>
      <c r="R2070" s="2">
        <f t="shared" si="196"/>
        <v>36.524999999999999</v>
      </c>
      <c r="S2070" s="2">
        <f t="shared" si="197"/>
        <v>8.5055897786903945</v>
      </c>
    </row>
    <row r="2071" spans="1:19" hidden="1">
      <c r="A2071" t="s">
        <v>2124</v>
      </c>
      <c r="B2071" t="s">
        <v>30</v>
      </c>
      <c r="C2071">
        <v>81</v>
      </c>
      <c r="D2071">
        <v>3015</v>
      </c>
      <c r="E2071" s="2">
        <v>218.69</v>
      </c>
      <c r="F2071">
        <v>10</v>
      </c>
      <c r="G2071">
        <v>7</v>
      </c>
      <c r="H2071">
        <v>8.5999999999999993E-2</v>
      </c>
      <c r="I2071" s="3">
        <v>1550</v>
      </c>
      <c r="J2071" s="1">
        <v>45623</v>
      </c>
      <c r="K2071" t="s">
        <v>31</v>
      </c>
      <c r="L2071" t="s">
        <v>7</v>
      </c>
      <c r="M2071" t="s">
        <v>32</v>
      </c>
      <c r="N2071" s="1">
        <f t="shared" si="192"/>
        <v>45623</v>
      </c>
      <c r="O2071" s="4">
        <f t="shared" si="193"/>
        <v>2.6865671641791045E-2</v>
      </c>
      <c r="P2071">
        <f t="shared" si="194"/>
        <v>2.6998765432098764</v>
      </c>
      <c r="Q2071" s="2">
        <f t="shared" si="195"/>
        <v>21.869</v>
      </c>
      <c r="R2071" s="2">
        <f t="shared" si="196"/>
        <v>31.241428571428571</v>
      </c>
      <c r="S2071" s="2">
        <f t="shared" si="197"/>
        <v>7.0876583291417079</v>
      </c>
    </row>
    <row r="2072" spans="1:19" hidden="1">
      <c r="A2072" t="s">
        <v>2125</v>
      </c>
      <c r="B2072" t="s">
        <v>30</v>
      </c>
      <c r="C2072">
        <v>125</v>
      </c>
      <c r="D2072">
        <v>3745</v>
      </c>
      <c r="E2072" s="2">
        <v>206.93</v>
      </c>
      <c r="F2072">
        <v>24</v>
      </c>
      <c r="G2072">
        <v>3</v>
      </c>
      <c r="H2072">
        <v>2.4E-2</v>
      </c>
      <c r="I2072" s="3">
        <v>1619</v>
      </c>
      <c r="J2072" s="1">
        <v>45604</v>
      </c>
      <c r="K2072" t="s">
        <v>31</v>
      </c>
      <c r="L2072" t="s">
        <v>9</v>
      </c>
      <c r="M2072" t="s">
        <v>35</v>
      </c>
      <c r="N2072" s="1">
        <f t="shared" si="192"/>
        <v>45604</v>
      </c>
      <c r="O2072" s="4">
        <f t="shared" si="193"/>
        <v>3.3377837116154871E-2</v>
      </c>
      <c r="P2072">
        <f t="shared" si="194"/>
        <v>1.65544</v>
      </c>
      <c r="Q2072" s="2">
        <f t="shared" si="195"/>
        <v>8.6220833333333342</v>
      </c>
      <c r="R2072" s="2">
        <f t="shared" si="196"/>
        <v>68.976666666666674</v>
      </c>
      <c r="S2072" s="2">
        <f t="shared" si="197"/>
        <v>7.823901802541922</v>
      </c>
    </row>
    <row r="2073" spans="1:19" hidden="1">
      <c r="A2073" t="s">
        <v>2126</v>
      </c>
      <c r="B2073" t="s">
        <v>30</v>
      </c>
      <c r="C2073">
        <v>188</v>
      </c>
      <c r="D2073">
        <v>5046</v>
      </c>
      <c r="E2073" s="2">
        <v>202.52</v>
      </c>
      <c r="F2073">
        <v>18</v>
      </c>
      <c r="G2073">
        <v>10</v>
      </c>
      <c r="H2073">
        <v>0.06</v>
      </c>
      <c r="I2073" s="3">
        <v>1625</v>
      </c>
      <c r="J2073" s="1">
        <v>45601</v>
      </c>
      <c r="K2073" t="s">
        <v>31</v>
      </c>
      <c r="L2073" t="s">
        <v>9</v>
      </c>
      <c r="M2073" t="s">
        <v>41</v>
      </c>
      <c r="N2073" s="1">
        <f t="shared" si="192"/>
        <v>45601</v>
      </c>
      <c r="O2073" s="4">
        <f t="shared" si="193"/>
        <v>3.7257233452239399E-2</v>
      </c>
      <c r="P2073">
        <f t="shared" si="194"/>
        <v>1.0772340425531914</v>
      </c>
      <c r="Q2073" s="2">
        <f t="shared" si="195"/>
        <v>11.251111111111111</v>
      </c>
      <c r="R2073" s="2">
        <f t="shared" si="196"/>
        <v>20.252000000000002</v>
      </c>
      <c r="S2073" s="2">
        <f t="shared" si="197"/>
        <v>8.0238988741852655</v>
      </c>
    </row>
    <row r="2074" spans="1:19">
      <c r="A2074" t="s">
        <v>2127</v>
      </c>
      <c r="B2074" t="s">
        <v>30</v>
      </c>
      <c r="C2074">
        <v>99</v>
      </c>
      <c r="D2074">
        <v>4032</v>
      </c>
      <c r="E2074" s="2">
        <v>186.45</v>
      </c>
      <c r="F2074">
        <v>19</v>
      </c>
      <c r="G2074">
        <v>5</v>
      </c>
      <c r="H2074">
        <v>4.5999999999999999E-2</v>
      </c>
      <c r="I2074" s="3">
        <v>1074</v>
      </c>
      <c r="J2074" s="1">
        <v>45599</v>
      </c>
      <c r="K2074" t="s">
        <v>31</v>
      </c>
      <c r="L2074" t="s">
        <v>7</v>
      </c>
      <c r="M2074" t="s">
        <v>35</v>
      </c>
      <c r="N2074" s="1">
        <f t="shared" si="192"/>
        <v>45599</v>
      </c>
      <c r="O2074" s="4">
        <f t="shared" si="193"/>
        <v>2.4553571428571428E-2</v>
      </c>
      <c r="P2074">
        <f t="shared" si="194"/>
        <v>1.8833333333333333</v>
      </c>
      <c r="Q2074" s="2">
        <f t="shared" si="195"/>
        <v>9.8131578947368414</v>
      </c>
      <c r="R2074" s="2">
        <f t="shared" si="196"/>
        <v>37.29</v>
      </c>
      <c r="S2074" s="2">
        <f t="shared" si="197"/>
        <v>5.7602574416733709</v>
      </c>
    </row>
    <row r="2075" spans="1:19">
      <c r="A2075" t="s">
        <v>2128</v>
      </c>
      <c r="B2075" t="s">
        <v>30</v>
      </c>
      <c r="C2075">
        <v>170</v>
      </c>
      <c r="D2075">
        <v>3879</v>
      </c>
      <c r="E2075" s="2">
        <v>245</v>
      </c>
      <c r="F2075">
        <v>29</v>
      </c>
      <c r="G2075">
        <v>7</v>
      </c>
      <c r="H2075">
        <v>4.5999999999999999E-2</v>
      </c>
      <c r="I2075" s="3">
        <v>1202</v>
      </c>
      <c r="J2075" s="1">
        <v>45622</v>
      </c>
      <c r="K2075" t="s">
        <v>31</v>
      </c>
      <c r="L2075" t="s">
        <v>9</v>
      </c>
      <c r="M2075" t="s">
        <v>35</v>
      </c>
      <c r="N2075" s="1">
        <f t="shared" si="192"/>
        <v>45622</v>
      </c>
      <c r="O2075" s="4">
        <f t="shared" si="193"/>
        <v>4.3825728280484658E-2</v>
      </c>
      <c r="P2075">
        <f t="shared" si="194"/>
        <v>1.4411764705882353</v>
      </c>
      <c r="Q2075" s="2">
        <f t="shared" si="195"/>
        <v>8.4482758620689662</v>
      </c>
      <c r="R2075" s="2">
        <f t="shared" si="196"/>
        <v>35</v>
      </c>
      <c r="S2075" s="2">
        <f t="shared" si="197"/>
        <v>4.906122448979592</v>
      </c>
    </row>
    <row r="2076" spans="1:19">
      <c r="A2076" t="s">
        <v>2129</v>
      </c>
      <c r="B2076" t="s">
        <v>30</v>
      </c>
      <c r="C2076">
        <v>105</v>
      </c>
      <c r="D2076">
        <v>4968</v>
      </c>
      <c r="E2076" s="2">
        <v>188.38</v>
      </c>
      <c r="F2076">
        <v>14</v>
      </c>
      <c r="G2076">
        <v>5</v>
      </c>
      <c r="H2076">
        <v>4.5999999999999999E-2</v>
      </c>
      <c r="I2076" s="3">
        <v>1135</v>
      </c>
      <c r="J2076" s="1">
        <v>45617</v>
      </c>
      <c r="K2076" t="s">
        <v>31</v>
      </c>
      <c r="L2076" t="s">
        <v>9</v>
      </c>
      <c r="M2076" t="s">
        <v>32</v>
      </c>
      <c r="N2076" s="1">
        <f t="shared" si="192"/>
        <v>45617</v>
      </c>
      <c r="O2076" s="4">
        <f t="shared" si="193"/>
        <v>2.1135265700483092E-2</v>
      </c>
      <c r="P2076">
        <f t="shared" si="194"/>
        <v>1.794095238095238</v>
      </c>
      <c r="Q2076" s="2">
        <f t="shared" si="195"/>
        <v>13.455714285714285</v>
      </c>
      <c r="R2076" s="2">
        <f t="shared" si="196"/>
        <v>37.676000000000002</v>
      </c>
      <c r="S2076" s="2">
        <f t="shared" si="197"/>
        <v>6.0250557384011039</v>
      </c>
    </row>
    <row r="2077" spans="1:19" hidden="1">
      <c r="A2077" t="s">
        <v>2130</v>
      </c>
      <c r="B2077" t="s">
        <v>30</v>
      </c>
      <c r="C2077">
        <v>173</v>
      </c>
      <c r="D2077">
        <v>5872</v>
      </c>
      <c r="E2077" s="2">
        <v>190.3</v>
      </c>
      <c r="F2077">
        <v>24</v>
      </c>
      <c r="G2077">
        <v>5</v>
      </c>
      <c r="H2077">
        <v>2.9000000000000001E-2</v>
      </c>
      <c r="I2077" s="3">
        <v>1953</v>
      </c>
      <c r="J2077" s="1" t="s">
        <v>100</v>
      </c>
      <c r="K2077" t="s">
        <v>31</v>
      </c>
      <c r="L2077" t="s">
        <v>9</v>
      </c>
      <c r="M2077" t="s">
        <v>37</v>
      </c>
      <c r="N2077" s="1">
        <f t="shared" si="192"/>
        <v>45622</v>
      </c>
      <c r="O2077" s="4">
        <f t="shared" si="193"/>
        <v>2.9461852861035424E-2</v>
      </c>
      <c r="P2077">
        <f t="shared" si="194"/>
        <v>1.1000000000000001</v>
      </c>
      <c r="Q2077" s="2">
        <f t="shared" si="195"/>
        <v>7.9291666666666671</v>
      </c>
      <c r="R2077" s="2">
        <f t="shared" si="196"/>
        <v>38.06</v>
      </c>
      <c r="S2077" s="2">
        <f t="shared" si="197"/>
        <v>10.262743037309511</v>
      </c>
    </row>
    <row r="2078" spans="1:19" hidden="1">
      <c r="A2078" t="s">
        <v>2131</v>
      </c>
      <c r="B2078" t="s">
        <v>30</v>
      </c>
      <c r="C2078">
        <v>186</v>
      </c>
      <c r="D2078">
        <v>3058</v>
      </c>
      <c r="E2078" s="2">
        <v>230.71</v>
      </c>
      <c r="F2078">
        <v>27</v>
      </c>
      <c r="G2078">
        <v>7</v>
      </c>
      <c r="H2078">
        <v>3.7999999999999999E-2</v>
      </c>
      <c r="I2078" s="3">
        <v>1505</v>
      </c>
      <c r="J2078" s="1" t="s">
        <v>111</v>
      </c>
      <c r="K2078" t="s">
        <v>31</v>
      </c>
      <c r="L2078" t="s">
        <v>8</v>
      </c>
      <c r="M2078" t="s">
        <v>46</v>
      </c>
      <c r="N2078" s="1">
        <f t="shared" si="192"/>
        <v>45619</v>
      </c>
      <c r="O2078" s="4">
        <f t="shared" si="193"/>
        <v>6.0824068018312624E-2</v>
      </c>
      <c r="P2078">
        <f t="shared" si="194"/>
        <v>1.2403763440860216</v>
      </c>
      <c r="Q2078" s="2">
        <f t="shared" si="195"/>
        <v>8.5448148148148153</v>
      </c>
      <c r="R2078" s="2">
        <f t="shared" si="196"/>
        <v>32.958571428571432</v>
      </c>
      <c r="S2078" s="2">
        <f t="shared" si="197"/>
        <v>6.5233409908543187</v>
      </c>
    </row>
    <row r="2079" spans="1:19" hidden="1">
      <c r="A2079" t="s">
        <v>2132</v>
      </c>
      <c r="B2079" t="s">
        <v>30</v>
      </c>
      <c r="C2079">
        <v>143</v>
      </c>
      <c r="D2079">
        <v>3109</v>
      </c>
      <c r="E2079" s="2">
        <v>246.92</v>
      </c>
      <c r="F2079">
        <v>22</v>
      </c>
      <c r="G2079">
        <v>5</v>
      </c>
      <c r="H2079">
        <v>3.5000000000000003E-2</v>
      </c>
      <c r="I2079" s="3">
        <v>1589</v>
      </c>
      <c r="J2079" s="1" t="s">
        <v>217</v>
      </c>
      <c r="K2079" t="s">
        <v>31</v>
      </c>
      <c r="L2079" t="s">
        <v>9</v>
      </c>
      <c r="M2079" t="s">
        <v>32</v>
      </c>
      <c r="N2079" s="1">
        <f t="shared" si="192"/>
        <v>45609</v>
      </c>
      <c r="O2079" s="4">
        <f t="shared" si="193"/>
        <v>4.5995496944355098E-2</v>
      </c>
      <c r="P2079">
        <f t="shared" si="194"/>
        <v>1.7267132867132866</v>
      </c>
      <c r="Q2079" s="2">
        <f t="shared" si="195"/>
        <v>11.223636363636363</v>
      </c>
      <c r="R2079" s="2">
        <f t="shared" si="196"/>
        <v>49.384</v>
      </c>
      <c r="S2079" s="2">
        <f t="shared" si="197"/>
        <v>6.4352826826502518</v>
      </c>
    </row>
    <row r="2080" spans="1:19" hidden="1">
      <c r="A2080" t="s">
        <v>2133</v>
      </c>
      <c r="B2080" t="s">
        <v>30</v>
      </c>
      <c r="C2080">
        <v>124</v>
      </c>
      <c r="D2080">
        <v>5415</v>
      </c>
      <c r="E2080" s="2">
        <v>217.55</v>
      </c>
      <c r="F2080">
        <v>20</v>
      </c>
      <c r="G2080">
        <v>4</v>
      </c>
      <c r="H2080">
        <v>3.2000000000000001E-2</v>
      </c>
      <c r="I2080" s="3">
        <v>1258</v>
      </c>
      <c r="J2080" s="1" t="s">
        <v>115</v>
      </c>
      <c r="K2080" t="s">
        <v>31</v>
      </c>
      <c r="L2080" t="s">
        <v>7</v>
      </c>
      <c r="M2080" t="s">
        <v>37</v>
      </c>
      <c r="N2080" s="1">
        <f t="shared" si="192"/>
        <v>45623</v>
      </c>
      <c r="O2080" s="4">
        <f t="shared" si="193"/>
        <v>2.2899353647276084E-2</v>
      </c>
      <c r="P2080">
        <f t="shared" si="194"/>
        <v>1.7544354838709679</v>
      </c>
      <c r="Q2080" s="2">
        <f t="shared" si="195"/>
        <v>10.877500000000001</v>
      </c>
      <c r="R2080" s="2">
        <f t="shared" si="196"/>
        <v>54.387500000000003</v>
      </c>
      <c r="S2080" s="2">
        <f t="shared" si="197"/>
        <v>5.7825787175361985</v>
      </c>
    </row>
    <row r="2081" spans="1:19" hidden="1">
      <c r="A2081" t="s">
        <v>2134</v>
      </c>
      <c r="B2081" t="s">
        <v>30</v>
      </c>
      <c r="C2081">
        <v>154</v>
      </c>
      <c r="D2081">
        <v>5633</v>
      </c>
      <c r="E2081" s="2">
        <v>245.95</v>
      </c>
      <c r="F2081">
        <v>29</v>
      </c>
      <c r="G2081">
        <v>7</v>
      </c>
      <c r="H2081">
        <v>3.5000000000000003E-2</v>
      </c>
      <c r="I2081" s="3">
        <v>1604</v>
      </c>
      <c r="J2081" s="1">
        <v>45599</v>
      </c>
      <c r="K2081" t="s">
        <v>31</v>
      </c>
      <c r="L2081" t="s">
        <v>9</v>
      </c>
      <c r="M2081" t="s">
        <v>32</v>
      </c>
      <c r="N2081" s="1">
        <f t="shared" si="192"/>
        <v>45599</v>
      </c>
      <c r="O2081" s="4">
        <f t="shared" si="193"/>
        <v>2.7338895792650454E-2</v>
      </c>
      <c r="P2081">
        <f t="shared" si="194"/>
        <v>1.5970779220779221</v>
      </c>
      <c r="Q2081" s="2">
        <f t="shared" si="195"/>
        <v>8.4810344827586199</v>
      </c>
      <c r="R2081" s="2">
        <f t="shared" si="196"/>
        <v>35.135714285714286</v>
      </c>
      <c r="S2081" s="2">
        <f t="shared" si="197"/>
        <v>6.5216507420207366</v>
      </c>
    </row>
    <row r="2082" spans="1:19" hidden="1">
      <c r="A2082" t="s">
        <v>2135</v>
      </c>
      <c r="B2082" t="s">
        <v>30</v>
      </c>
      <c r="C2082">
        <v>85</v>
      </c>
      <c r="D2082">
        <v>5402</v>
      </c>
      <c r="E2082" s="2">
        <v>191.95</v>
      </c>
      <c r="F2082">
        <v>18</v>
      </c>
      <c r="G2082">
        <v>7</v>
      </c>
      <c r="H2082">
        <v>8.2000000000000003E-2</v>
      </c>
      <c r="I2082" s="3">
        <v>1002</v>
      </c>
      <c r="J2082" s="1" t="s">
        <v>100</v>
      </c>
      <c r="K2082" t="s">
        <v>31</v>
      </c>
      <c r="L2082" t="s">
        <v>7</v>
      </c>
      <c r="M2082" t="s">
        <v>39</v>
      </c>
      <c r="N2082" s="1">
        <f t="shared" si="192"/>
        <v>45622</v>
      </c>
      <c r="O2082" s="4">
        <f t="shared" si="193"/>
        <v>1.5734912995186968E-2</v>
      </c>
      <c r="P2082">
        <f t="shared" si="194"/>
        <v>2.2582352941176471</v>
      </c>
      <c r="Q2082" s="2">
        <f t="shared" si="195"/>
        <v>10.663888888888888</v>
      </c>
      <c r="R2082" s="2">
        <f t="shared" si="196"/>
        <v>27.421428571428571</v>
      </c>
      <c r="S2082" s="2">
        <f t="shared" si="197"/>
        <v>5.2201094034904925</v>
      </c>
    </row>
    <row r="2083" spans="1:19" hidden="1">
      <c r="A2083" t="s">
        <v>2136</v>
      </c>
      <c r="B2083" t="s">
        <v>30</v>
      </c>
      <c r="C2083">
        <v>167</v>
      </c>
      <c r="D2083">
        <v>4059</v>
      </c>
      <c r="E2083" s="2">
        <v>209.18</v>
      </c>
      <c r="F2083">
        <v>17</v>
      </c>
      <c r="G2083">
        <v>4</v>
      </c>
      <c r="H2083">
        <v>2.4E-2</v>
      </c>
      <c r="I2083" s="3">
        <v>1742</v>
      </c>
      <c r="J2083" s="1" t="s">
        <v>43</v>
      </c>
      <c r="K2083" t="s">
        <v>31</v>
      </c>
      <c r="L2083" t="s">
        <v>9</v>
      </c>
      <c r="M2083" t="s">
        <v>32</v>
      </c>
      <c r="N2083" s="1">
        <f t="shared" si="192"/>
        <v>45612</v>
      </c>
      <c r="O2083" s="4">
        <f t="shared" si="193"/>
        <v>4.1143138704114311E-2</v>
      </c>
      <c r="P2083">
        <f t="shared" si="194"/>
        <v>1.2525748502994012</v>
      </c>
      <c r="Q2083" s="2">
        <f t="shared" si="195"/>
        <v>12.304705882352941</v>
      </c>
      <c r="R2083" s="2">
        <f t="shared" si="196"/>
        <v>52.295000000000002</v>
      </c>
      <c r="S2083" s="2">
        <f t="shared" si="197"/>
        <v>8.3277559996175547</v>
      </c>
    </row>
    <row r="2084" spans="1:19" hidden="1">
      <c r="A2084" t="s">
        <v>2137</v>
      </c>
      <c r="B2084" t="s">
        <v>30</v>
      </c>
      <c r="C2084">
        <v>139</v>
      </c>
      <c r="D2084">
        <v>3172</v>
      </c>
      <c r="E2084" s="2">
        <v>227.83</v>
      </c>
      <c r="F2084">
        <v>20</v>
      </c>
      <c r="G2084">
        <v>10</v>
      </c>
      <c r="H2084">
        <v>7.1999999999999995E-2</v>
      </c>
      <c r="I2084" s="3">
        <v>1130</v>
      </c>
      <c r="J2084" s="1" t="s">
        <v>357</v>
      </c>
      <c r="K2084" t="s">
        <v>31</v>
      </c>
      <c r="L2084" t="s">
        <v>9</v>
      </c>
      <c r="M2084" t="s">
        <v>46</v>
      </c>
      <c r="N2084" s="1">
        <f t="shared" si="192"/>
        <v>45624</v>
      </c>
      <c r="O2084" s="4">
        <f t="shared" si="193"/>
        <v>4.3820933165195461E-2</v>
      </c>
      <c r="P2084">
        <f t="shared" si="194"/>
        <v>1.6390647482014389</v>
      </c>
      <c r="Q2084" s="2">
        <f t="shared" si="195"/>
        <v>11.391500000000001</v>
      </c>
      <c r="R2084" s="2">
        <f t="shared" si="196"/>
        <v>22.783000000000001</v>
      </c>
      <c r="S2084" s="2">
        <f t="shared" si="197"/>
        <v>4.9598384760567082</v>
      </c>
    </row>
    <row r="2085" spans="1:19" hidden="1">
      <c r="A2085" t="s">
        <v>2138</v>
      </c>
      <c r="B2085" t="s">
        <v>30</v>
      </c>
      <c r="C2085">
        <v>193</v>
      </c>
      <c r="D2085">
        <v>5716</v>
      </c>
      <c r="E2085" s="2">
        <v>224.53</v>
      </c>
      <c r="F2085">
        <v>19</v>
      </c>
      <c r="G2085">
        <v>9</v>
      </c>
      <c r="H2085">
        <v>4.7E-2</v>
      </c>
      <c r="I2085" s="3">
        <v>1167</v>
      </c>
      <c r="J2085" s="1">
        <v>45609</v>
      </c>
      <c r="K2085" t="s">
        <v>31</v>
      </c>
      <c r="L2085" t="s">
        <v>7</v>
      </c>
      <c r="M2085" t="s">
        <v>41</v>
      </c>
      <c r="N2085" s="1">
        <f t="shared" si="192"/>
        <v>45609</v>
      </c>
      <c r="O2085" s="4">
        <f t="shared" si="193"/>
        <v>3.3764870538838351E-2</v>
      </c>
      <c r="P2085">
        <f t="shared" si="194"/>
        <v>1.1633678756476684</v>
      </c>
      <c r="Q2085" s="2">
        <f t="shared" si="195"/>
        <v>11.817368421052631</v>
      </c>
      <c r="R2085" s="2">
        <f t="shared" si="196"/>
        <v>24.947777777777777</v>
      </c>
      <c r="S2085" s="2">
        <f t="shared" si="197"/>
        <v>5.1975237162071881</v>
      </c>
    </row>
    <row r="2086" spans="1:19" hidden="1">
      <c r="A2086" t="s">
        <v>2139</v>
      </c>
      <c r="B2086" t="s">
        <v>30</v>
      </c>
      <c r="C2086">
        <v>127</v>
      </c>
      <c r="D2086">
        <v>4816</v>
      </c>
      <c r="E2086" s="2">
        <v>245.25</v>
      </c>
      <c r="F2086">
        <v>23</v>
      </c>
      <c r="G2086">
        <v>3</v>
      </c>
      <c r="H2086">
        <v>4.9000000000000002E-2</v>
      </c>
      <c r="I2086" s="3">
        <v>1985</v>
      </c>
      <c r="J2086" s="1">
        <v>45484</v>
      </c>
      <c r="K2086" t="s">
        <v>31</v>
      </c>
      <c r="L2086" t="s">
        <v>9</v>
      </c>
      <c r="M2086" t="s">
        <v>32</v>
      </c>
      <c r="N2086" s="1">
        <f t="shared" si="192"/>
        <v>45484</v>
      </c>
      <c r="O2086" s="4">
        <f t="shared" si="193"/>
        <v>2.6370431893687707E-2</v>
      </c>
      <c r="P2086">
        <f t="shared" si="194"/>
        <v>1.9311023622047243</v>
      </c>
      <c r="Q2086" s="2">
        <f t="shared" si="195"/>
        <v>10.663043478260869</v>
      </c>
      <c r="R2086" s="2">
        <f t="shared" si="196"/>
        <v>81.75</v>
      </c>
      <c r="S2086" s="2">
        <f t="shared" si="197"/>
        <v>8.0937818552497447</v>
      </c>
    </row>
    <row r="2087" spans="1:19" hidden="1">
      <c r="A2087" t="s">
        <v>2140</v>
      </c>
      <c r="B2087" t="s">
        <v>30</v>
      </c>
      <c r="C2087">
        <v>80</v>
      </c>
      <c r="D2087">
        <v>3742</v>
      </c>
      <c r="E2087" s="2">
        <v>247.16</v>
      </c>
      <c r="F2087">
        <v>20</v>
      </c>
      <c r="G2087">
        <v>10</v>
      </c>
      <c r="H2087">
        <v>5.5E-2</v>
      </c>
      <c r="I2087" s="3">
        <v>1686</v>
      </c>
      <c r="J2087" s="1">
        <v>45604</v>
      </c>
      <c r="K2087" t="s">
        <v>31</v>
      </c>
      <c r="L2087" t="s">
        <v>9</v>
      </c>
      <c r="M2087" t="s">
        <v>46</v>
      </c>
      <c r="N2087" s="1">
        <f t="shared" si="192"/>
        <v>45604</v>
      </c>
      <c r="O2087" s="4">
        <f t="shared" si="193"/>
        <v>2.1378941742383754E-2</v>
      </c>
      <c r="P2087">
        <f t="shared" si="194"/>
        <v>3.0895000000000001</v>
      </c>
      <c r="Q2087" s="2">
        <f t="shared" si="195"/>
        <v>12.358000000000001</v>
      </c>
      <c r="R2087" s="2">
        <f t="shared" si="196"/>
        <v>24.716000000000001</v>
      </c>
      <c r="S2087" s="2">
        <f t="shared" si="197"/>
        <v>6.8214921508334685</v>
      </c>
    </row>
    <row r="2088" spans="1:19" hidden="1">
      <c r="A2088" t="s">
        <v>2141</v>
      </c>
      <c r="B2088" t="s">
        <v>30</v>
      </c>
      <c r="C2088">
        <v>174</v>
      </c>
      <c r="D2088">
        <v>4469</v>
      </c>
      <c r="E2088" s="2">
        <v>215.98</v>
      </c>
      <c r="F2088">
        <v>14</v>
      </c>
      <c r="G2088">
        <v>8</v>
      </c>
      <c r="H2088">
        <v>4.5999999999999999E-2</v>
      </c>
      <c r="I2088" s="3">
        <v>1619</v>
      </c>
      <c r="J2088" s="1">
        <v>45603</v>
      </c>
      <c r="K2088" t="s">
        <v>31</v>
      </c>
      <c r="L2088" t="s">
        <v>7</v>
      </c>
      <c r="M2088" t="s">
        <v>41</v>
      </c>
      <c r="N2088" s="1">
        <f t="shared" si="192"/>
        <v>45603</v>
      </c>
      <c r="O2088" s="4">
        <f t="shared" si="193"/>
        <v>3.893488476169165E-2</v>
      </c>
      <c r="P2088">
        <f t="shared" si="194"/>
        <v>1.241264367816092</v>
      </c>
      <c r="Q2088" s="2">
        <f t="shared" si="195"/>
        <v>15.427142857142856</v>
      </c>
      <c r="R2088" s="2">
        <f t="shared" si="196"/>
        <v>26.997499999999999</v>
      </c>
      <c r="S2088" s="2">
        <f t="shared" si="197"/>
        <v>7.4960644504120753</v>
      </c>
    </row>
    <row r="2089" spans="1:19" hidden="1">
      <c r="A2089" t="s">
        <v>2142</v>
      </c>
      <c r="B2089" t="s">
        <v>30</v>
      </c>
      <c r="C2089">
        <v>127</v>
      </c>
      <c r="D2089">
        <v>3454</v>
      </c>
      <c r="E2089" s="2">
        <v>209.19</v>
      </c>
      <c r="F2089">
        <v>19</v>
      </c>
      <c r="G2089">
        <v>10</v>
      </c>
      <c r="H2089">
        <v>5.8000000000000003E-2</v>
      </c>
      <c r="I2089" s="3">
        <v>1937</v>
      </c>
      <c r="J2089" s="1">
        <v>45601</v>
      </c>
      <c r="K2089" t="s">
        <v>31</v>
      </c>
      <c r="L2089" t="s">
        <v>7</v>
      </c>
      <c r="M2089" t="s">
        <v>39</v>
      </c>
      <c r="N2089" s="1">
        <f t="shared" si="192"/>
        <v>45601</v>
      </c>
      <c r="O2089" s="4">
        <f t="shared" si="193"/>
        <v>3.6768963520555878E-2</v>
      </c>
      <c r="P2089">
        <f t="shared" si="194"/>
        <v>1.6471653543307085</v>
      </c>
      <c r="Q2089" s="2">
        <f t="shared" si="195"/>
        <v>11.01</v>
      </c>
      <c r="R2089" s="2">
        <f t="shared" si="196"/>
        <v>20.919</v>
      </c>
      <c r="S2089" s="2">
        <f t="shared" si="197"/>
        <v>9.2595248338830736</v>
      </c>
    </row>
    <row r="2090" spans="1:19" hidden="1">
      <c r="A2090" t="s">
        <v>2143</v>
      </c>
      <c r="B2090" t="s">
        <v>30</v>
      </c>
      <c r="C2090">
        <v>151</v>
      </c>
      <c r="D2090">
        <v>3702</v>
      </c>
      <c r="E2090" s="2">
        <v>245.02</v>
      </c>
      <c r="F2090">
        <v>22</v>
      </c>
      <c r="G2090">
        <v>9</v>
      </c>
      <c r="H2090">
        <v>0.06</v>
      </c>
      <c r="I2090" s="3">
        <v>1983</v>
      </c>
      <c r="J2090" s="1">
        <v>45393</v>
      </c>
      <c r="K2090" t="s">
        <v>31</v>
      </c>
      <c r="L2090" t="s">
        <v>9</v>
      </c>
      <c r="M2090" t="s">
        <v>32</v>
      </c>
      <c r="N2090" s="1">
        <f t="shared" si="192"/>
        <v>45393</v>
      </c>
      <c r="O2090" s="4">
        <f t="shared" si="193"/>
        <v>4.0788762830902214E-2</v>
      </c>
      <c r="P2090">
        <f t="shared" si="194"/>
        <v>1.6226490066225165</v>
      </c>
      <c r="Q2090" s="2">
        <f t="shared" si="195"/>
        <v>11.137272727272729</v>
      </c>
      <c r="R2090" s="2">
        <f t="shared" si="196"/>
        <v>27.224444444444444</v>
      </c>
      <c r="S2090" s="2">
        <f t="shared" si="197"/>
        <v>8.0932168802546727</v>
      </c>
    </row>
    <row r="2091" spans="1:19" hidden="1">
      <c r="A2091" t="s">
        <v>2144</v>
      </c>
      <c r="B2091" t="s">
        <v>30</v>
      </c>
      <c r="C2091">
        <v>113</v>
      </c>
      <c r="D2091">
        <v>4258</v>
      </c>
      <c r="E2091" s="2">
        <v>232.25</v>
      </c>
      <c r="F2091">
        <v>16</v>
      </c>
      <c r="G2091">
        <v>10</v>
      </c>
      <c r="H2091">
        <v>8.7999999999999995E-2</v>
      </c>
      <c r="I2091" s="3">
        <v>1374</v>
      </c>
      <c r="J2091" s="1">
        <v>45620</v>
      </c>
      <c r="K2091" t="s">
        <v>31</v>
      </c>
      <c r="L2091" t="s">
        <v>8</v>
      </c>
      <c r="M2091" t="s">
        <v>41</v>
      </c>
      <c r="N2091" s="1">
        <f t="shared" si="192"/>
        <v>45620</v>
      </c>
      <c r="O2091" s="4">
        <f t="shared" si="193"/>
        <v>2.6538280883043684E-2</v>
      </c>
      <c r="P2091">
        <f t="shared" si="194"/>
        <v>2.0553097345132745</v>
      </c>
      <c r="Q2091" s="2">
        <f t="shared" si="195"/>
        <v>14.515625</v>
      </c>
      <c r="R2091" s="2">
        <f t="shared" si="196"/>
        <v>23.225000000000001</v>
      </c>
      <c r="S2091" s="2">
        <f t="shared" si="197"/>
        <v>5.9160387513455328</v>
      </c>
    </row>
    <row r="2092" spans="1:19" hidden="1">
      <c r="A2092" t="s">
        <v>2145</v>
      </c>
      <c r="B2092" t="s">
        <v>30</v>
      </c>
      <c r="C2092">
        <v>159</v>
      </c>
      <c r="D2092">
        <v>4047</v>
      </c>
      <c r="E2092" s="2">
        <v>205.62</v>
      </c>
      <c r="F2092">
        <v>24</v>
      </c>
      <c r="G2092">
        <v>3</v>
      </c>
      <c r="H2092">
        <v>0.05</v>
      </c>
      <c r="I2092" s="3">
        <v>1177</v>
      </c>
      <c r="J2092" s="1">
        <v>45546</v>
      </c>
      <c r="K2092" t="s">
        <v>31</v>
      </c>
      <c r="L2092" t="s">
        <v>9</v>
      </c>
      <c r="M2092" t="s">
        <v>46</v>
      </c>
      <c r="N2092" s="1">
        <f t="shared" si="192"/>
        <v>45546</v>
      </c>
      <c r="O2092" s="4">
        <f t="shared" si="193"/>
        <v>3.9288361749444035E-2</v>
      </c>
      <c r="P2092">
        <f t="shared" si="194"/>
        <v>1.2932075471698115</v>
      </c>
      <c r="Q2092" s="2">
        <f t="shared" si="195"/>
        <v>8.5675000000000008</v>
      </c>
      <c r="R2092" s="2">
        <f t="shared" si="196"/>
        <v>68.540000000000006</v>
      </c>
      <c r="S2092" s="2">
        <f t="shared" si="197"/>
        <v>5.7241513471452192</v>
      </c>
    </row>
    <row r="2093" spans="1:19" hidden="1">
      <c r="A2093" t="s">
        <v>2146</v>
      </c>
      <c r="B2093" t="s">
        <v>30</v>
      </c>
      <c r="C2093">
        <v>197</v>
      </c>
      <c r="D2093">
        <v>3319</v>
      </c>
      <c r="E2093" s="2">
        <v>215.83</v>
      </c>
      <c r="F2093">
        <v>26</v>
      </c>
      <c r="G2093">
        <v>10</v>
      </c>
      <c r="H2093">
        <v>5.0999999999999997E-2</v>
      </c>
      <c r="I2093" s="3">
        <v>1342</v>
      </c>
      <c r="J2093" s="1" t="s">
        <v>105</v>
      </c>
      <c r="K2093" t="s">
        <v>31</v>
      </c>
      <c r="L2093" t="s">
        <v>7</v>
      </c>
      <c r="M2093" t="s">
        <v>46</v>
      </c>
      <c r="N2093" s="1">
        <f t="shared" si="192"/>
        <v>45614</v>
      </c>
      <c r="O2093" s="4">
        <f t="shared" si="193"/>
        <v>5.9355227478156074E-2</v>
      </c>
      <c r="P2093">
        <f t="shared" si="194"/>
        <v>1.0955837563451778</v>
      </c>
      <c r="Q2093" s="2">
        <f t="shared" si="195"/>
        <v>8.3011538461538468</v>
      </c>
      <c r="R2093" s="2">
        <f t="shared" si="196"/>
        <v>21.583000000000002</v>
      </c>
      <c r="S2093" s="2">
        <f t="shared" si="197"/>
        <v>6.2178566464346936</v>
      </c>
    </row>
    <row r="2094" spans="1:19" hidden="1">
      <c r="A2094" t="s">
        <v>2147</v>
      </c>
      <c r="B2094" t="s">
        <v>30</v>
      </c>
      <c r="C2094">
        <v>106</v>
      </c>
      <c r="D2094">
        <v>5661</v>
      </c>
      <c r="E2094" s="2">
        <v>181.96</v>
      </c>
      <c r="F2094">
        <v>17</v>
      </c>
      <c r="G2094">
        <v>3</v>
      </c>
      <c r="H2094">
        <v>2.8000000000000001E-2</v>
      </c>
      <c r="I2094" s="3">
        <v>1250</v>
      </c>
      <c r="J2094" s="1">
        <v>45607</v>
      </c>
      <c r="K2094" t="s">
        <v>31</v>
      </c>
      <c r="L2094" t="s">
        <v>7</v>
      </c>
      <c r="M2094" t="s">
        <v>37</v>
      </c>
      <c r="N2094" s="1">
        <f t="shared" si="192"/>
        <v>45607</v>
      </c>
      <c r="O2094" s="4">
        <f t="shared" si="193"/>
        <v>1.8724606959901077E-2</v>
      </c>
      <c r="P2094">
        <f t="shared" si="194"/>
        <v>1.7166037735849058</v>
      </c>
      <c r="Q2094" s="2">
        <f t="shared" si="195"/>
        <v>10.703529411764706</v>
      </c>
      <c r="R2094" s="2">
        <f t="shared" si="196"/>
        <v>60.653333333333336</v>
      </c>
      <c r="S2094" s="2">
        <f t="shared" si="197"/>
        <v>6.8696416794899973</v>
      </c>
    </row>
    <row r="2095" spans="1:19" hidden="1">
      <c r="A2095" t="s">
        <v>2148</v>
      </c>
      <c r="B2095" t="s">
        <v>30</v>
      </c>
      <c r="C2095">
        <v>143</v>
      </c>
      <c r="D2095">
        <v>4914</v>
      </c>
      <c r="E2095" s="2">
        <v>222.69</v>
      </c>
      <c r="F2095">
        <v>12</v>
      </c>
      <c r="G2095">
        <v>7</v>
      </c>
      <c r="H2095">
        <v>0.05</v>
      </c>
      <c r="I2095" s="3">
        <v>1280</v>
      </c>
      <c r="J2095" s="1">
        <v>45637</v>
      </c>
      <c r="K2095" t="s">
        <v>31</v>
      </c>
      <c r="L2095" t="s">
        <v>7</v>
      </c>
      <c r="M2095" t="s">
        <v>46</v>
      </c>
      <c r="N2095" s="1">
        <f t="shared" si="192"/>
        <v>45637</v>
      </c>
      <c r="O2095" s="4">
        <f t="shared" si="193"/>
        <v>2.9100529100529099E-2</v>
      </c>
      <c r="P2095">
        <f t="shared" si="194"/>
        <v>1.5572727272727274</v>
      </c>
      <c r="Q2095" s="2">
        <f t="shared" si="195"/>
        <v>18.557500000000001</v>
      </c>
      <c r="R2095" s="2">
        <f t="shared" si="196"/>
        <v>31.812857142857144</v>
      </c>
      <c r="S2095" s="2">
        <f t="shared" si="197"/>
        <v>5.7479006690915622</v>
      </c>
    </row>
    <row r="2096" spans="1:19" hidden="1">
      <c r="A2096" t="s">
        <v>2149</v>
      </c>
      <c r="B2096" t="s">
        <v>30</v>
      </c>
      <c r="C2096">
        <v>111</v>
      </c>
      <c r="D2096">
        <v>5382</v>
      </c>
      <c r="E2096" s="2">
        <v>219.59</v>
      </c>
      <c r="F2096">
        <v>29</v>
      </c>
      <c r="G2096">
        <v>5</v>
      </c>
      <c r="H2096">
        <v>3.2000000000000001E-2</v>
      </c>
      <c r="I2096" s="3">
        <v>1464</v>
      </c>
      <c r="J2096" s="1">
        <v>45621</v>
      </c>
      <c r="K2096" t="s">
        <v>31</v>
      </c>
      <c r="L2096" t="s">
        <v>7</v>
      </c>
      <c r="M2096" t="s">
        <v>46</v>
      </c>
      <c r="N2096" s="1">
        <f t="shared" si="192"/>
        <v>45621</v>
      </c>
      <c r="O2096" s="4">
        <f t="shared" si="193"/>
        <v>2.0624303232998884E-2</v>
      </c>
      <c r="P2096">
        <f t="shared" si="194"/>
        <v>1.9782882882882884</v>
      </c>
      <c r="Q2096" s="2">
        <f t="shared" si="195"/>
        <v>7.5720689655172411</v>
      </c>
      <c r="R2096" s="2">
        <f t="shared" si="196"/>
        <v>43.917999999999999</v>
      </c>
      <c r="S2096" s="2">
        <f t="shared" si="197"/>
        <v>6.6669702627624208</v>
      </c>
    </row>
    <row r="2097" spans="1:19" hidden="1">
      <c r="A2097" t="s">
        <v>2150</v>
      </c>
      <c r="B2097" t="s">
        <v>30</v>
      </c>
      <c r="C2097">
        <v>98</v>
      </c>
      <c r="D2097">
        <v>5898</v>
      </c>
      <c r="E2097" s="2">
        <v>186.46</v>
      </c>
      <c r="F2097">
        <v>20</v>
      </c>
      <c r="G2097">
        <v>6</v>
      </c>
      <c r="H2097">
        <v>3.7999999999999999E-2</v>
      </c>
      <c r="I2097" s="3">
        <v>1505</v>
      </c>
      <c r="J2097" s="1">
        <v>45605</v>
      </c>
      <c r="K2097" t="s">
        <v>31</v>
      </c>
      <c r="L2097" t="s">
        <v>8</v>
      </c>
      <c r="M2097" t="s">
        <v>37</v>
      </c>
      <c r="N2097" s="1">
        <f t="shared" si="192"/>
        <v>45605</v>
      </c>
      <c r="O2097" s="4">
        <f t="shared" si="193"/>
        <v>1.6615801966768397E-2</v>
      </c>
      <c r="P2097">
        <f t="shared" si="194"/>
        <v>1.9026530612244898</v>
      </c>
      <c r="Q2097" s="2">
        <f t="shared" si="195"/>
        <v>9.3230000000000004</v>
      </c>
      <c r="R2097" s="2">
        <f t="shared" si="196"/>
        <v>31.076666666666668</v>
      </c>
      <c r="S2097" s="2">
        <f t="shared" si="197"/>
        <v>8.0714362329722196</v>
      </c>
    </row>
    <row r="2098" spans="1:19" hidden="1">
      <c r="A2098" t="s">
        <v>2151</v>
      </c>
      <c r="B2098" t="s">
        <v>30</v>
      </c>
      <c r="C2098">
        <v>98</v>
      </c>
      <c r="D2098">
        <v>3967</v>
      </c>
      <c r="E2098" s="2">
        <v>214.51</v>
      </c>
      <c r="F2098">
        <v>12</v>
      </c>
      <c r="G2098">
        <v>5</v>
      </c>
      <c r="H2098">
        <v>5.0999999999999997E-2</v>
      </c>
      <c r="I2098" s="3">
        <v>1180</v>
      </c>
      <c r="J2098" s="1">
        <v>45604</v>
      </c>
      <c r="K2098" t="s">
        <v>31</v>
      </c>
      <c r="L2098" t="s">
        <v>7</v>
      </c>
      <c r="M2098" t="s">
        <v>46</v>
      </c>
      <c r="N2098" s="1">
        <f t="shared" si="192"/>
        <v>45604</v>
      </c>
      <c r="O2098" s="4">
        <f t="shared" si="193"/>
        <v>2.4703806402823294E-2</v>
      </c>
      <c r="P2098">
        <f t="shared" si="194"/>
        <v>2.1888775510204082</v>
      </c>
      <c r="Q2098" s="2">
        <f t="shared" si="195"/>
        <v>17.875833333333333</v>
      </c>
      <c r="R2098" s="2">
        <f t="shared" si="196"/>
        <v>42.902000000000001</v>
      </c>
      <c r="S2098" s="2">
        <f t="shared" si="197"/>
        <v>5.5009090485292065</v>
      </c>
    </row>
    <row r="2099" spans="1:19" hidden="1">
      <c r="A2099" t="s">
        <v>2152</v>
      </c>
      <c r="B2099" t="s">
        <v>30</v>
      </c>
      <c r="C2099">
        <v>109</v>
      </c>
      <c r="D2099">
        <v>3089</v>
      </c>
      <c r="E2099" s="2">
        <v>190</v>
      </c>
      <c r="F2099">
        <v>20</v>
      </c>
      <c r="G2099">
        <v>7</v>
      </c>
      <c r="H2099">
        <v>3.7999999999999999E-2</v>
      </c>
      <c r="I2099" s="3">
        <v>1779</v>
      </c>
      <c r="J2099" s="1">
        <v>45597</v>
      </c>
      <c r="K2099" t="s">
        <v>31</v>
      </c>
      <c r="L2099" t="s">
        <v>9</v>
      </c>
      <c r="M2099" t="s">
        <v>37</v>
      </c>
      <c r="N2099" s="1">
        <f t="shared" si="192"/>
        <v>45597</v>
      </c>
      <c r="O2099" s="4">
        <f t="shared" si="193"/>
        <v>3.5286500485594043E-2</v>
      </c>
      <c r="P2099">
        <f t="shared" si="194"/>
        <v>1.7431192660550459</v>
      </c>
      <c r="Q2099" s="2">
        <f t="shared" si="195"/>
        <v>9.5</v>
      </c>
      <c r="R2099" s="2">
        <f t="shared" si="196"/>
        <v>27.142857142857142</v>
      </c>
      <c r="S2099" s="2">
        <f t="shared" si="197"/>
        <v>9.3631578947368421</v>
      </c>
    </row>
    <row r="2100" spans="1:19" hidden="1">
      <c r="A2100" t="s">
        <v>2153</v>
      </c>
      <c r="B2100" t="s">
        <v>30</v>
      </c>
      <c r="C2100">
        <v>168</v>
      </c>
      <c r="D2100">
        <v>3219</v>
      </c>
      <c r="E2100" s="2">
        <v>193.16</v>
      </c>
      <c r="F2100">
        <v>12</v>
      </c>
      <c r="G2100">
        <v>7</v>
      </c>
      <c r="H2100">
        <v>3.6999999999999998E-2</v>
      </c>
      <c r="I2100" s="3">
        <v>1395</v>
      </c>
      <c r="J2100" s="1">
        <v>45619</v>
      </c>
      <c r="K2100" t="s">
        <v>31</v>
      </c>
      <c r="L2100" t="s">
        <v>8</v>
      </c>
      <c r="M2100" t="s">
        <v>41</v>
      </c>
      <c r="N2100" s="1">
        <f t="shared" si="192"/>
        <v>45619</v>
      </c>
      <c r="O2100" s="4">
        <f t="shared" si="193"/>
        <v>5.2190121155638397E-2</v>
      </c>
      <c r="P2100">
        <f t="shared" si="194"/>
        <v>1.1497619047619048</v>
      </c>
      <c r="Q2100" s="2">
        <f t="shared" si="195"/>
        <v>16.096666666666668</v>
      </c>
      <c r="R2100" s="2">
        <f t="shared" si="196"/>
        <v>27.594285714285714</v>
      </c>
      <c r="S2100" s="2">
        <f t="shared" si="197"/>
        <v>7.2219921308759583</v>
      </c>
    </row>
    <row r="2101" spans="1:19" hidden="1">
      <c r="A2101" t="s">
        <v>2154</v>
      </c>
      <c r="B2101" t="s">
        <v>30</v>
      </c>
      <c r="C2101">
        <v>127</v>
      </c>
      <c r="D2101">
        <v>4039</v>
      </c>
      <c r="E2101" s="2">
        <v>247.92</v>
      </c>
      <c r="F2101">
        <v>20</v>
      </c>
      <c r="G2101">
        <v>8</v>
      </c>
      <c r="H2101">
        <v>6.3E-2</v>
      </c>
      <c r="I2101" s="3">
        <v>1505</v>
      </c>
      <c r="J2101" s="1">
        <v>45623</v>
      </c>
      <c r="K2101" t="s">
        <v>31</v>
      </c>
      <c r="L2101" t="s">
        <v>8</v>
      </c>
      <c r="M2101" t="s">
        <v>32</v>
      </c>
      <c r="N2101" s="1">
        <f t="shared" si="192"/>
        <v>45623</v>
      </c>
      <c r="O2101" s="4">
        <f t="shared" si="193"/>
        <v>3.144342659074028E-2</v>
      </c>
      <c r="P2101">
        <f t="shared" si="194"/>
        <v>1.9521259842519685</v>
      </c>
      <c r="Q2101" s="2">
        <f t="shared" si="195"/>
        <v>12.395999999999999</v>
      </c>
      <c r="R2101" s="2">
        <f t="shared" si="196"/>
        <v>30.99</v>
      </c>
      <c r="S2101" s="2">
        <f t="shared" si="197"/>
        <v>6.0705066150371092</v>
      </c>
    </row>
    <row r="2102" spans="1:19">
      <c r="A2102" t="s">
        <v>2155</v>
      </c>
      <c r="B2102" t="s">
        <v>30</v>
      </c>
      <c r="C2102">
        <v>136</v>
      </c>
      <c r="D2102">
        <v>4051</v>
      </c>
      <c r="E2102" s="2">
        <v>194.29</v>
      </c>
      <c r="F2102">
        <v>25</v>
      </c>
      <c r="G2102">
        <v>5</v>
      </c>
      <c r="H2102">
        <v>4.5999999999999999E-2</v>
      </c>
      <c r="I2102" s="3">
        <v>1505</v>
      </c>
      <c r="J2102" s="1">
        <v>45624</v>
      </c>
      <c r="K2102" t="s">
        <v>31</v>
      </c>
      <c r="L2102" t="s">
        <v>9</v>
      </c>
      <c r="M2102" t="s">
        <v>32</v>
      </c>
      <c r="N2102" s="1">
        <f t="shared" si="192"/>
        <v>45624</v>
      </c>
      <c r="O2102" s="4">
        <f t="shared" si="193"/>
        <v>3.3571957541347813E-2</v>
      </c>
      <c r="P2102">
        <f t="shared" si="194"/>
        <v>1.4286029411764705</v>
      </c>
      <c r="Q2102" s="2">
        <f t="shared" si="195"/>
        <v>7.7715999999999994</v>
      </c>
      <c r="R2102" s="2">
        <f t="shared" si="196"/>
        <v>38.857999999999997</v>
      </c>
      <c r="S2102" s="2">
        <f t="shared" si="197"/>
        <v>7.746152658397242</v>
      </c>
    </row>
    <row r="2103" spans="1:19" hidden="1">
      <c r="A2103" t="s">
        <v>2156</v>
      </c>
      <c r="B2103" t="s">
        <v>30</v>
      </c>
      <c r="C2103">
        <v>173</v>
      </c>
      <c r="D2103">
        <v>5270</v>
      </c>
      <c r="E2103" s="2">
        <v>233.33</v>
      </c>
      <c r="F2103">
        <v>11</v>
      </c>
      <c r="G2103">
        <v>7</v>
      </c>
      <c r="H2103">
        <v>0.04</v>
      </c>
      <c r="I2103" s="3">
        <v>1783</v>
      </c>
      <c r="J2103" s="1" t="s">
        <v>43</v>
      </c>
      <c r="K2103" t="s">
        <v>31</v>
      </c>
      <c r="L2103" t="s">
        <v>7</v>
      </c>
      <c r="M2103" t="s">
        <v>46</v>
      </c>
      <c r="N2103" s="1">
        <f t="shared" si="192"/>
        <v>45612</v>
      </c>
      <c r="O2103" s="4">
        <f t="shared" si="193"/>
        <v>3.282732447817837E-2</v>
      </c>
      <c r="P2103">
        <f t="shared" si="194"/>
        <v>1.3487283236994221</v>
      </c>
      <c r="Q2103" s="2">
        <f t="shared" si="195"/>
        <v>21.211818181818185</v>
      </c>
      <c r="R2103" s="2">
        <f t="shared" si="196"/>
        <v>33.332857142857144</v>
      </c>
      <c r="S2103" s="2">
        <f t="shared" si="197"/>
        <v>7.6415377362533743</v>
      </c>
    </row>
    <row r="2104" spans="1:19" hidden="1">
      <c r="A2104" t="s">
        <v>2157</v>
      </c>
      <c r="B2104" t="s">
        <v>30</v>
      </c>
      <c r="C2104">
        <v>184</v>
      </c>
      <c r="D2104">
        <v>3239</v>
      </c>
      <c r="E2104" s="2">
        <v>221.33</v>
      </c>
      <c r="F2104">
        <v>25</v>
      </c>
      <c r="G2104">
        <v>10</v>
      </c>
      <c r="H2104">
        <v>5.3999999999999999E-2</v>
      </c>
      <c r="I2104" s="3">
        <v>1557</v>
      </c>
      <c r="J2104" s="1">
        <v>45600</v>
      </c>
      <c r="K2104" t="s">
        <v>31</v>
      </c>
      <c r="L2104" t="s">
        <v>7</v>
      </c>
      <c r="M2104" t="s">
        <v>41</v>
      </c>
      <c r="N2104" s="1">
        <f t="shared" si="192"/>
        <v>45600</v>
      </c>
      <c r="O2104" s="4">
        <f t="shared" si="193"/>
        <v>5.6807656684161781E-2</v>
      </c>
      <c r="P2104">
        <f t="shared" si="194"/>
        <v>1.2028804347826088</v>
      </c>
      <c r="Q2104" s="2">
        <f t="shared" si="195"/>
        <v>8.8532000000000011</v>
      </c>
      <c r="R2104" s="2">
        <f t="shared" si="196"/>
        <v>22.133000000000003</v>
      </c>
      <c r="S2104" s="2">
        <f t="shared" si="197"/>
        <v>7.0347444991641437</v>
      </c>
    </row>
    <row r="2105" spans="1:19">
      <c r="A2105" t="s">
        <v>2158</v>
      </c>
      <c r="B2105" t="s">
        <v>30</v>
      </c>
      <c r="C2105">
        <v>174</v>
      </c>
      <c r="D2105">
        <v>4054</v>
      </c>
      <c r="E2105" s="2">
        <v>201.25</v>
      </c>
      <c r="F2105">
        <v>15</v>
      </c>
      <c r="G2105">
        <v>7</v>
      </c>
      <c r="H2105">
        <v>4.5999999999999999E-2</v>
      </c>
      <c r="I2105" s="3">
        <v>1514</v>
      </c>
      <c r="J2105" s="1" t="s">
        <v>111</v>
      </c>
      <c r="K2105" t="s">
        <v>31</v>
      </c>
      <c r="L2105" t="s">
        <v>8</v>
      </c>
      <c r="M2105" t="s">
        <v>32</v>
      </c>
      <c r="N2105" s="1">
        <f t="shared" si="192"/>
        <v>45619</v>
      </c>
      <c r="O2105" s="4">
        <f t="shared" si="193"/>
        <v>4.2920572274296992E-2</v>
      </c>
      <c r="P2105">
        <f t="shared" si="194"/>
        <v>1.1566091954022988</v>
      </c>
      <c r="Q2105" s="2">
        <f t="shared" si="195"/>
        <v>13.416666666666666</v>
      </c>
      <c r="R2105" s="2">
        <f t="shared" si="196"/>
        <v>28.75</v>
      </c>
      <c r="S2105" s="2">
        <f t="shared" si="197"/>
        <v>7.5229813664596277</v>
      </c>
    </row>
    <row r="2106" spans="1:19" hidden="1">
      <c r="A2106" t="s">
        <v>2159</v>
      </c>
      <c r="B2106" t="s">
        <v>30</v>
      </c>
      <c r="C2106">
        <v>196</v>
      </c>
      <c r="D2106">
        <v>5448</v>
      </c>
      <c r="E2106" s="2">
        <v>232.55</v>
      </c>
      <c r="F2106">
        <v>30</v>
      </c>
      <c r="G2106">
        <v>8</v>
      </c>
      <c r="H2106">
        <v>4.1000000000000002E-2</v>
      </c>
      <c r="I2106" s="3">
        <v>1694</v>
      </c>
      <c r="J2106" s="1">
        <v>45610</v>
      </c>
      <c r="K2106" t="s">
        <v>31</v>
      </c>
      <c r="L2106" t="s">
        <v>7</v>
      </c>
      <c r="M2106" t="s">
        <v>32</v>
      </c>
      <c r="N2106" s="1">
        <f t="shared" si="192"/>
        <v>45610</v>
      </c>
      <c r="O2106" s="4">
        <f t="shared" si="193"/>
        <v>3.5976505139500736E-2</v>
      </c>
      <c r="P2106">
        <f t="shared" si="194"/>
        <v>1.1864795918367348</v>
      </c>
      <c r="Q2106" s="2">
        <f t="shared" si="195"/>
        <v>7.7516666666666669</v>
      </c>
      <c r="R2106" s="2">
        <f t="shared" si="196"/>
        <v>29.068750000000001</v>
      </c>
      <c r="S2106" s="2">
        <f t="shared" si="197"/>
        <v>7.284454955923457</v>
      </c>
    </row>
    <row r="2107" spans="1:19" hidden="1">
      <c r="A2107" t="s">
        <v>2160</v>
      </c>
      <c r="B2107" t="s">
        <v>30</v>
      </c>
      <c r="C2107">
        <v>193</v>
      </c>
      <c r="D2107">
        <v>4518.5</v>
      </c>
      <c r="E2107" s="2">
        <v>238.8</v>
      </c>
      <c r="F2107">
        <v>20</v>
      </c>
      <c r="G2107">
        <v>5</v>
      </c>
      <c r="H2107">
        <v>0.04</v>
      </c>
      <c r="I2107" s="3">
        <v>1327</v>
      </c>
      <c r="J2107" s="1">
        <v>45598</v>
      </c>
      <c r="K2107" t="s">
        <v>31</v>
      </c>
      <c r="L2107" t="s">
        <v>8</v>
      </c>
      <c r="M2107" t="s">
        <v>39</v>
      </c>
      <c r="N2107" s="1">
        <f t="shared" si="192"/>
        <v>45598</v>
      </c>
      <c r="O2107" s="4">
        <f t="shared" si="193"/>
        <v>4.2713289808564786E-2</v>
      </c>
      <c r="P2107">
        <f t="shared" si="194"/>
        <v>1.2373056994818654</v>
      </c>
      <c r="Q2107" s="2">
        <f t="shared" si="195"/>
        <v>11.940000000000001</v>
      </c>
      <c r="R2107" s="2">
        <f t="shared" si="196"/>
        <v>47.760000000000005</v>
      </c>
      <c r="S2107" s="2">
        <f t="shared" si="197"/>
        <v>5.5569514237855948</v>
      </c>
    </row>
    <row r="2108" spans="1:19" hidden="1">
      <c r="A2108" t="s">
        <v>2161</v>
      </c>
      <c r="B2108" t="s">
        <v>30</v>
      </c>
      <c r="C2108">
        <v>97</v>
      </c>
      <c r="D2108">
        <v>3937</v>
      </c>
      <c r="E2108" s="2">
        <v>197.37</v>
      </c>
      <c r="F2108">
        <v>14</v>
      </c>
      <c r="G2108">
        <v>10</v>
      </c>
      <c r="H2108">
        <v>0.10299999999999999</v>
      </c>
      <c r="I2108" s="3">
        <v>1160</v>
      </c>
      <c r="J2108" s="1">
        <v>45618</v>
      </c>
      <c r="K2108" t="s">
        <v>31</v>
      </c>
      <c r="L2108" t="s">
        <v>9</v>
      </c>
      <c r="M2108" t="s">
        <v>32</v>
      </c>
      <c r="N2108" s="1">
        <f t="shared" si="192"/>
        <v>45618</v>
      </c>
      <c r="O2108" s="4">
        <f t="shared" si="193"/>
        <v>2.4638049276098552E-2</v>
      </c>
      <c r="P2108">
        <f t="shared" si="194"/>
        <v>2.0347422680412373</v>
      </c>
      <c r="Q2108" s="2">
        <f t="shared" si="195"/>
        <v>14.097857142857142</v>
      </c>
      <c r="R2108" s="2">
        <f t="shared" si="196"/>
        <v>19.737000000000002</v>
      </c>
      <c r="S2108" s="2">
        <f t="shared" si="197"/>
        <v>5.877286315042813</v>
      </c>
    </row>
    <row r="2109" spans="1:19" hidden="1">
      <c r="A2109" t="s">
        <v>2162</v>
      </c>
      <c r="B2109" t="s">
        <v>30</v>
      </c>
      <c r="C2109">
        <v>128</v>
      </c>
      <c r="D2109">
        <v>4175</v>
      </c>
      <c r="E2109" s="2">
        <v>200.11</v>
      </c>
      <c r="F2109">
        <v>12</v>
      </c>
      <c r="G2109">
        <v>10</v>
      </c>
      <c r="H2109">
        <v>5.8999999999999997E-2</v>
      </c>
      <c r="I2109" s="3">
        <v>1599</v>
      </c>
      <c r="J2109" s="1">
        <v>45616</v>
      </c>
      <c r="K2109" t="s">
        <v>31</v>
      </c>
      <c r="L2109" t="s">
        <v>7</v>
      </c>
      <c r="M2109" t="s">
        <v>37</v>
      </c>
      <c r="N2109" s="1">
        <f t="shared" si="192"/>
        <v>45616</v>
      </c>
      <c r="O2109" s="4">
        <f t="shared" si="193"/>
        <v>3.0658682634730539E-2</v>
      </c>
      <c r="P2109">
        <f t="shared" si="194"/>
        <v>1.5633593750000001</v>
      </c>
      <c r="Q2109" s="2">
        <f t="shared" si="195"/>
        <v>16.675833333333333</v>
      </c>
      <c r="R2109" s="2">
        <f t="shared" si="196"/>
        <v>20.011000000000003</v>
      </c>
      <c r="S2109" s="2">
        <f t="shared" si="197"/>
        <v>7.9906051671580629</v>
      </c>
    </row>
    <row r="2110" spans="1:19" hidden="1">
      <c r="A2110" t="s">
        <v>2163</v>
      </c>
      <c r="B2110" t="s">
        <v>30</v>
      </c>
      <c r="C2110">
        <v>143</v>
      </c>
      <c r="D2110">
        <v>5780</v>
      </c>
      <c r="E2110" s="2">
        <v>237.51</v>
      </c>
      <c r="F2110">
        <v>24</v>
      </c>
      <c r="G2110">
        <v>4</v>
      </c>
      <c r="H2110">
        <v>5.3999999999999999E-2</v>
      </c>
      <c r="I2110" s="3">
        <v>1440</v>
      </c>
      <c r="J2110" s="1" t="s">
        <v>89</v>
      </c>
      <c r="K2110" t="s">
        <v>31</v>
      </c>
      <c r="L2110" t="s">
        <v>8</v>
      </c>
      <c r="M2110" t="s">
        <v>37</v>
      </c>
      <c r="N2110" s="1">
        <f t="shared" si="192"/>
        <v>45611</v>
      </c>
      <c r="O2110" s="4">
        <f t="shared" si="193"/>
        <v>2.4740484429065745E-2</v>
      </c>
      <c r="P2110">
        <f t="shared" si="194"/>
        <v>1.6609090909090909</v>
      </c>
      <c r="Q2110" s="2">
        <f t="shared" si="195"/>
        <v>9.8962500000000002</v>
      </c>
      <c r="R2110" s="2">
        <f t="shared" si="196"/>
        <v>59.377499999999998</v>
      </c>
      <c r="S2110" s="2">
        <f t="shared" si="197"/>
        <v>6.0629026146267524</v>
      </c>
    </row>
    <row r="2111" spans="1:19" hidden="1">
      <c r="A2111" t="s">
        <v>2164</v>
      </c>
      <c r="B2111" t="s">
        <v>30</v>
      </c>
      <c r="C2111">
        <v>139</v>
      </c>
      <c r="D2111">
        <v>3809</v>
      </c>
      <c r="E2111" s="2">
        <v>202.28</v>
      </c>
      <c r="F2111">
        <v>17</v>
      </c>
      <c r="G2111">
        <v>9</v>
      </c>
      <c r="H2111">
        <v>5.8999999999999997E-2</v>
      </c>
      <c r="I2111" s="3">
        <v>1031</v>
      </c>
      <c r="J2111" s="1">
        <v>45613</v>
      </c>
      <c r="K2111" t="s">
        <v>31</v>
      </c>
      <c r="L2111" t="s">
        <v>7</v>
      </c>
      <c r="M2111" t="s">
        <v>35</v>
      </c>
      <c r="N2111" s="1">
        <f t="shared" si="192"/>
        <v>45613</v>
      </c>
      <c r="O2111" s="4">
        <f t="shared" si="193"/>
        <v>3.6492517721186661E-2</v>
      </c>
      <c r="P2111">
        <f t="shared" si="194"/>
        <v>1.4552517985611511</v>
      </c>
      <c r="Q2111" s="2">
        <f t="shared" si="195"/>
        <v>11.898823529411764</v>
      </c>
      <c r="R2111" s="2">
        <f t="shared" si="196"/>
        <v>22.475555555555555</v>
      </c>
      <c r="S2111" s="2">
        <f t="shared" si="197"/>
        <v>5.0968953925252123</v>
      </c>
    </row>
    <row r="2112" spans="1:19">
      <c r="A2112" t="s">
        <v>2165</v>
      </c>
      <c r="B2112" t="s">
        <v>30</v>
      </c>
      <c r="C2112">
        <v>83</v>
      </c>
      <c r="D2112">
        <v>3684</v>
      </c>
      <c r="E2112" s="2">
        <v>203.47</v>
      </c>
      <c r="F2112">
        <v>20</v>
      </c>
      <c r="G2112">
        <v>7</v>
      </c>
      <c r="H2112">
        <v>4.5999999999999999E-2</v>
      </c>
      <c r="I2112" s="3">
        <v>1805</v>
      </c>
      <c r="J2112" s="1" t="s">
        <v>132</v>
      </c>
      <c r="K2112" t="s">
        <v>31</v>
      </c>
      <c r="L2112" t="s">
        <v>9</v>
      </c>
      <c r="M2112" t="s">
        <v>35</v>
      </c>
      <c r="N2112" s="1">
        <f t="shared" si="192"/>
        <v>45613</v>
      </c>
      <c r="O2112" s="4">
        <f t="shared" si="193"/>
        <v>2.252985884907709E-2</v>
      </c>
      <c r="P2112">
        <f t="shared" si="194"/>
        <v>2.45144578313253</v>
      </c>
      <c r="Q2112" s="2">
        <f t="shared" si="195"/>
        <v>10.173500000000001</v>
      </c>
      <c r="R2112" s="2">
        <f t="shared" si="196"/>
        <v>29.067142857142859</v>
      </c>
      <c r="S2112" s="2">
        <f t="shared" si="197"/>
        <v>8.8710866466800997</v>
      </c>
    </row>
    <row r="2113" spans="1:19" hidden="1">
      <c r="A2113" t="s">
        <v>2166</v>
      </c>
      <c r="B2113" t="s">
        <v>30</v>
      </c>
      <c r="C2113">
        <v>189</v>
      </c>
      <c r="D2113">
        <v>3226</v>
      </c>
      <c r="E2113" s="2">
        <v>236.68</v>
      </c>
      <c r="F2113">
        <v>14</v>
      </c>
      <c r="G2113">
        <v>6</v>
      </c>
      <c r="H2113">
        <v>3.2000000000000001E-2</v>
      </c>
      <c r="I2113" s="3">
        <v>1364</v>
      </c>
      <c r="J2113" s="1">
        <v>45602</v>
      </c>
      <c r="K2113" t="s">
        <v>31</v>
      </c>
      <c r="L2113" t="s">
        <v>9</v>
      </c>
      <c r="M2113" t="s">
        <v>46</v>
      </c>
      <c r="N2113" s="1">
        <f t="shared" si="192"/>
        <v>45602</v>
      </c>
      <c r="O2113" s="4">
        <f t="shared" si="193"/>
        <v>5.8586484810911346E-2</v>
      </c>
      <c r="P2113">
        <f t="shared" si="194"/>
        <v>1.2522751322751322</v>
      </c>
      <c r="Q2113" s="2">
        <f t="shared" si="195"/>
        <v>16.905714285714286</v>
      </c>
      <c r="R2113" s="2">
        <f t="shared" si="196"/>
        <v>39.446666666666665</v>
      </c>
      <c r="S2113" s="2">
        <f t="shared" si="197"/>
        <v>5.7630556025012671</v>
      </c>
    </row>
    <row r="2114" spans="1:19" hidden="1">
      <c r="A2114" t="s">
        <v>2167</v>
      </c>
      <c r="B2114" t="s">
        <v>30</v>
      </c>
      <c r="C2114">
        <v>165</v>
      </c>
      <c r="D2114">
        <v>4978</v>
      </c>
      <c r="E2114" s="2">
        <v>180.25</v>
      </c>
      <c r="F2114">
        <v>12</v>
      </c>
      <c r="G2114">
        <v>4</v>
      </c>
      <c r="H2114">
        <v>5.8000000000000003E-2</v>
      </c>
      <c r="I2114" s="3">
        <v>1123</v>
      </c>
      <c r="J2114" s="1" t="s">
        <v>50</v>
      </c>
      <c r="K2114" t="s">
        <v>31</v>
      </c>
      <c r="L2114" t="s">
        <v>9</v>
      </c>
      <c r="M2114" t="s">
        <v>41</v>
      </c>
      <c r="N2114" s="1">
        <f t="shared" ref="N2114:N2177" si="198">IF(A2114="","",IF(ISNUMBER(J2114),J2114,IF(MID(J2114,5,1)="-",DATE(LEFT(J2114,4),MID(J2114,6,2),RIGHT(J2114,2)),IF(MID(J2114,5,1)="/",DATE(LEFT(J2114,4),MID(J2114,6,2),RIGHT(J2114,2)),DATE(RIGHT(J2114,4),MID(J2114,4,2),LEFT(J2114,2))))))</f>
        <v>45610</v>
      </c>
      <c r="O2114" s="4">
        <f t="shared" ref="O2114:O2177" si="199">IFERROR(C2114/D2114,0)</f>
        <v>3.3145841703495382E-2</v>
      </c>
      <c r="P2114">
        <f t="shared" ref="P2114:P2177" si="200">IFERROR(E2114/C2114,0)</f>
        <v>1.0924242424242425</v>
      </c>
      <c r="Q2114" s="2">
        <f t="shared" ref="Q2114:Q2177" si="201">IFERROR(E2114/F2114,0)</f>
        <v>15.020833333333334</v>
      </c>
      <c r="R2114" s="2">
        <f t="shared" ref="R2114:R2177" si="202">IFERROR(E2114/G2114,0)</f>
        <v>45.0625</v>
      </c>
      <c r="S2114" s="2">
        <f t="shared" ref="S2114:S2177" si="203">IFERROR(I2114/E2114,0)</f>
        <v>6.2302357836338418</v>
      </c>
    </row>
    <row r="2115" spans="1:19">
      <c r="A2115" t="s">
        <v>2168</v>
      </c>
      <c r="B2115" t="s">
        <v>30</v>
      </c>
      <c r="C2115">
        <v>172</v>
      </c>
      <c r="D2115">
        <v>5041</v>
      </c>
      <c r="E2115" s="2">
        <v>189.31</v>
      </c>
      <c r="F2115">
        <v>22</v>
      </c>
      <c r="G2115">
        <v>10</v>
      </c>
      <c r="H2115">
        <v>4.5999999999999999E-2</v>
      </c>
      <c r="I2115" s="3">
        <v>1645</v>
      </c>
      <c r="J2115" s="1">
        <v>45603</v>
      </c>
      <c r="K2115" t="s">
        <v>31</v>
      </c>
      <c r="L2115" t="s">
        <v>8</v>
      </c>
      <c r="M2115" t="s">
        <v>39</v>
      </c>
      <c r="N2115" s="1">
        <f t="shared" si="198"/>
        <v>45603</v>
      </c>
      <c r="O2115" s="4">
        <f t="shared" si="199"/>
        <v>3.4120214243205715E-2</v>
      </c>
      <c r="P2115">
        <f t="shared" si="200"/>
        <v>1.100639534883721</v>
      </c>
      <c r="Q2115" s="2">
        <f t="shared" si="201"/>
        <v>8.6050000000000004</v>
      </c>
      <c r="R2115" s="2">
        <f t="shared" si="202"/>
        <v>18.931000000000001</v>
      </c>
      <c r="S2115" s="2">
        <f t="shared" si="203"/>
        <v>8.6894511647562194</v>
      </c>
    </row>
    <row r="2116" spans="1:19" hidden="1">
      <c r="A2116" t="s">
        <v>2169</v>
      </c>
      <c r="B2116" t="s">
        <v>30</v>
      </c>
      <c r="C2116">
        <v>183</v>
      </c>
      <c r="D2116">
        <v>4124</v>
      </c>
      <c r="E2116" s="2">
        <v>186.66</v>
      </c>
      <c r="F2116">
        <v>24</v>
      </c>
      <c r="G2116">
        <v>6</v>
      </c>
      <c r="H2116">
        <v>3.3000000000000002E-2</v>
      </c>
      <c r="I2116" s="3">
        <v>1183</v>
      </c>
      <c r="J2116" s="1">
        <v>45624</v>
      </c>
      <c r="K2116" t="s">
        <v>31</v>
      </c>
      <c r="L2116" t="s">
        <v>9</v>
      </c>
      <c r="M2116" t="s">
        <v>35</v>
      </c>
      <c r="N2116" s="1">
        <f t="shared" si="198"/>
        <v>45624</v>
      </c>
      <c r="O2116" s="4">
        <f t="shared" si="199"/>
        <v>4.4374393792434533E-2</v>
      </c>
      <c r="P2116">
        <f t="shared" si="200"/>
        <v>1.02</v>
      </c>
      <c r="Q2116" s="2">
        <f t="shared" si="201"/>
        <v>7.7774999999999999</v>
      </c>
      <c r="R2116" s="2">
        <f t="shared" si="202"/>
        <v>31.11</v>
      </c>
      <c r="S2116" s="2">
        <f t="shared" si="203"/>
        <v>6.3377263473695491</v>
      </c>
    </row>
    <row r="2117" spans="1:19" hidden="1">
      <c r="A2117" t="s">
        <v>2170</v>
      </c>
      <c r="B2117" t="s">
        <v>30</v>
      </c>
      <c r="C2117">
        <v>196</v>
      </c>
      <c r="D2117">
        <v>3143</v>
      </c>
      <c r="E2117" s="2">
        <v>238.22</v>
      </c>
      <c r="F2117">
        <v>28</v>
      </c>
      <c r="G2117">
        <v>7</v>
      </c>
      <c r="H2117">
        <v>3.5999999999999997E-2</v>
      </c>
      <c r="I2117" s="3">
        <v>1234</v>
      </c>
      <c r="J2117" s="1">
        <v>45604</v>
      </c>
      <c r="K2117" t="s">
        <v>31</v>
      </c>
      <c r="L2117" t="s">
        <v>8</v>
      </c>
      <c r="M2117" t="s">
        <v>37</v>
      </c>
      <c r="N2117" s="1">
        <f t="shared" si="198"/>
        <v>45604</v>
      </c>
      <c r="O2117" s="4">
        <f t="shared" si="199"/>
        <v>6.2360801781737196E-2</v>
      </c>
      <c r="P2117">
        <f t="shared" si="200"/>
        <v>1.2154081632653062</v>
      </c>
      <c r="Q2117" s="2">
        <f t="shared" si="201"/>
        <v>8.5078571428571426</v>
      </c>
      <c r="R2117" s="2">
        <f t="shared" si="202"/>
        <v>34.03142857142857</v>
      </c>
      <c r="S2117" s="2">
        <f t="shared" si="203"/>
        <v>5.1800856351271936</v>
      </c>
    </row>
    <row r="2118" spans="1:19">
      <c r="A2118" t="s">
        <v>2171</v>
      </c>
      <c r="B2118" t="s">
        <v>30</v>
      </c>
      <c r="C2118">
        <v>98</v>
      </c>
      <c r="D2118">
        <v>4505</v>
      </c>
      <c r="E2118" s="2">
        <v>209.36</v>
      </c>
      <c r="F2118">
        <v>27</v>
      </c>
      <c r="G2118">
        <v>5</v>
      </c>
      <c r="H2118">
        <v>4.5999999999999999E-2</v>
      </c>
      <c r="I2118" s="3">
        <v>1186</v>
      </c>
      <c r="J2118" s="1" t="s">
        <v>86</v>
      </c>
      <c r="K2118" t="s">
        <v>31</v>
      </c>
      <c r="L2118" t="s">
        <v>9</v>
      </c>
      <c r="M2118" t="s">
        <v>32</v>
      </c>
      <c r="N2118" s="1">
        <f t="shared" si="198"/>
        <v>45625</v>
      </c>
      <c r="O2118" s="4">
        <f t="shared" si="199"/>
        <v>2.1753607103218647E-2</v>
      </c>
      <c r="P2118">
        <f t="shared" si="200"/>
        <v>2.1363265306122452</v>
      </c>
      <c r="Q2118" s="2">
        <f t="shared" si="201"/>
        <v>7.754074074074075</v>
      </c>
      <c r="R2118" s="2">
        <f t="shared" si="202"/>
        <v>41.872</v>
      </c>
      <c r="S2118" s="2">
        <f t="shared" si="203"/>
        <v>5.6648834543370263</v>
      </c>
    </row>
    <row r="2119" spans="1:19">
      <c r="A2119" t="s">
        <v>2172</v>
      </c>
      <c r="B2119" t="s">
        <v>30</v>
      </c>
      <c r="C2119">
        <v>158</v>
      </c>
      <c r="D2119">
        <v>3736</v>
      </c>
      <c r="E2119" s="2">
        <v>226.99</v>
      </c>
      <c r="F2119">
        <v>11</v>
      </c>
      <c r="G2119">
        <v>8</v>
      </c>
      <c r="H2119">
        <v>4.5999999999999999E-2</v>
      </c>
      <c r="I2119" s="3">
        <v>1606</v>
      </c>
      <c r="J2119" s="1">
        <v>45625</v>
      </c>
      <c r="K2119" t="s">
        <v>31</v>
      </c>
      <c r="L2119" t="s">
        <v>9</v>
      </c>
      <c r="M2119" t="s">
        <v>39</v>
      </c>
      <c r="N2119" s="1">
        <f t="shared" si="198"/>
        <v>45625</v>
      </c>
      <c r="O2119" s="4">
        <f t="shared" si="199"/>
        <v>4.2291220556745182E-2</v>
      </c>
      <c r="P2119">
        <f t="shared" si="200"/>
        <v>1.4366455696202531</v>
      </c>
      <c r="Q2119" s="2">
        <f t="shared" si="201"/>
        <v>20.635454545454547</v>
      </c>
      <c r="R2119" s="2">
        <f t="shared" si="202"/>
        <v>28.373750000000001</v>
      </c>
      <c r="S2119" s="2">
        <f t="shared" si="203"/>
        <v>7.0752015507291066</v>
      </c>
    </row>
    <row r="2120" spans="1:19" hidden="1">
      <c r="A2120" t="s">
        <v>2173</v>
      </c>
      <c r="B2120" t="s">
        <v>30</v>
      </c>
      <c r="C2120">
        <v>104</v>
      </c>
      <c r="D2120">
        <v>5949</v>
      </c>
      <c r="E2120" s="2">
        <v>216.6</v>
      </c>
      <c r="F2120">
        <v>28</v>
      </c>
      <c r="G2120">
        <v>4</v>
      </c>
      <c r="H2120">
        <v>3.7999999999999999E-2</v>
      </c>
      <c r="I2120" s="3">
        <v>1102</v>
      </c>
      <c r="J2120" s="1">
        <v>45576</v>
      </c>
      <c r="K2120" t="s">
        <v>31</v>
      </c>
      <c r="L2120" t="s">
        <v>8</v>
      </c>
      <c r="M2120" t="s">
        <v>46</v>
      </c>
      <c r="N2120" s="1">
        <f t="shared" si="198"/>
        <v>45576</v>
      </c>
      <c r="O2120" s="4">
        <f t="shared" si="199"/>
        <v>1.7481929736090099E-2</v>
      </c>
      <c r="P2120">
        <f t="shared" si="200"/>
        <v>2.0826923076923078</v>
      </c>
      <c r="Q2120" s="2">
        <f t="shared" si="201"/>
        <v>7.7357142857142858</v>
      </c>
      <c r="R2120" s="2">
        <f t="shared" si="202"/>
        <v>54.15</v>
      </c>
      <c r="S2120" s="2">
        <f t="shared" si="203"/>
        <v>5.0877192982456139</v>
      </c>
    </row>
    <row r="2121" spans="1:19">
      <c r="A2121" t="s">
        <v>2174</v>
      </c>
      <c r="B2121" t="s">
        <v>30</v>
      </c>
      <c r="C2121">
        <v>84</v>
      </c>
      <c r="D2121">
        <v>4625</v>
      </c>
      <c r="E2121" s="2">
        <v>226.02</v>
      </c>
      <c r="F2121">
        <v>13</v>
      </c>
      <c r="G2121">
        <v>5</v>
      </c>
      <c r="H2121">
        <v>4.5999999999999999E-2</v>
      </c>
      <c r="I2121" s="3">
        <v>1969</v>
      </c>
      <c r="J2121" s="1" t="s">
        <v>50</v>
      </c>
      <c r="K2121" t="s">
        <v>31</v>
      </c>
      <c r="L2121" t="s">
        <v>7</v>
      </c>
      <c r="M2121" t="s">
        <v>41</v>
      </c>
      <c r="N2121" s="1">
        <f t="shared" si="198"/>
        <v>45610</v>
      </c>
      <c r="O2121" s="4">
        <f t="shared" si="199"/>
        <v>1.8162162162162161E-2</v>
      </c>
      <c r="P2121">
        <f t="shared" si="200"/>
        <v>2.6907142857142858</v>
      </c>
      <c r="Q2121" s="2">
        <f t="shared" si="201"/>
        <v>17.386153846153846</v>
      </c>
      <c r="R2121" s="2">
        <f t="shared" si="202"/>
        <v>45.204000000000001</v>
      </c>
      <c r="S2121" s="2">
        <f t="shared" si="203"/>
        <v>8.7116184408459425</v>
      </c>
    </row>
    <row r="2122" spans="1:19" hidden="1">
      <c r="A2122" t="s">
        <v>2175</v>
      </c>
      <c r="B2122" t="s">
        <v>30</v>
      </c>
      <c r="C2122">
        <v>128</v>
      </c>
      <c r="D2122">
        <v>5022</v>
      </c>
      <c r="E2122" s="2">
        <v>188.96</v>
      </c>
      <c r="F2122">
        <v>26</v>
      </c>
      <c r="G2122">
        <v>6</v>
      </c>
      <c r="H2122">
        <v>4.7E-2</v>
      </c>
      <c r="I2122" s="3">
        <v>1108</v>
      </c>
      <c r="J2122" s="1">
        <v>45598</v>
      </c>
      <c r="K2122" t="s">
        <v>31</v>
      </c>
      <c r="L2122" t="s">
        <v>8</v>
      </c>
      <c r="M2122" t="s">
        <v>39</v>
      </c>
      <c r="N2122" s="1">
        <f t="shared" si="198"/>
        <v>45598</v>
      </c>
      <c r="O2122" s="4">
        <f t="shared" si="199"/>
        <v>2.5487853444842692E-2</v>
      </c>
      <c r="P2122">
        <f t="shared" si="200"/>
        <v>1.4762500000000001</v>
      </c>
      <c r="Q2122" s="2">
        <f t="shared" si="201"/>
        <v>7.2676923076923083</v>
      </c>
      <c r="R2122" s="2">
        <f t="shared" si="202"/>
        <v>31.493333333333336</v>
      </c>
      <c r="S2122" s="2">
        <f t="shared" si="203"/>
        <v>5.8636748518204911</v>
      </c>
    </row>
    <row r="2123" spans="1:19" hidden="1">
      <c r="A2123" t="s">
        <v>2176</v>
      </c>
      <c r="B2123" t="s">
        <v>30</v>
      </c>
      <c r="C2123">
        <v>99</v>
      </c>
      <c r="D2123">
        <v>5483</v>
      </c>
      <c r="E2123" s="2">
        <v>180.04</v>
      </c>
      <c r="F2123">
        <v>20</v>
      </c>
      <c r="G2123">
        <v>5</v>
      </c>
      <c r="H2123">
        <v>0.05</v>
      </c>
      <c r="I2123" s="3">
        <v>1687</v>
      </c>
      <c r="J2123" s="1">
        <v>45393</v>
      </c>
      <c r="K2123" t="s">
        <v>31</v>
      </c>
      <c r="L2123" t="s">
        <v>7</v>
      </c>
      <c r="M2123" t="s">
        <v>46</v>
      </c>
      <c r="N2123" s="1">
        <f t="shared" si="198"/>
        <v>45393</v>
      </c>
      <c r="O2123" s="4">
        <f t="shared" si="199"/>
        <v>1.8055808863760715E-2</v>
      </c>
      <c r="P2123">
        <f t="shared" si="200"/>
        <v>1.8185858585858585</v>
      </c>
      <c r="Q2123" s="2">
        <f t="shared" si="201"/>
        <v>9.0019999999999989</v>
      </c>
      <c r="R2123" s="2">
        <f t="shared" si="202"/>
        <v>36.007999999999996</v>
      </c>
      <c r="S2123" s="2">
        <f t="shared" si="203"/>
        <v>9.3701399688958009</v>
      </c>
    </row>
    <row r="2124" spans="1:19" hidden="1">
      <c r="A2124" t="s">
        <v>2177</v>
      </c>
      <c r="B2124" t="s">
        <v>30</v>
      </c>
      <c r="C2124">
        <v>107</v>
      </c>
      <c r="D2124">
        <v>5491</v>
      </c>
      <c r="E2124" s="2">
        <v>217.98</v>
      </c>
      <c r="F2124">
        <v>17</v>
      </c>
      <c r="G2124">
        <v>10</v>
      </c>
      <c r="H2124">
        <v>9.2999999999999999E-2</v>
      </c>
      <c r="I2124" s="3">
        <v>1480</v>
      </c>
      <c r="J2124" s="1">
        <v>45607</v>
      </c>
      <c r="K2124" t="s">
        <v>31</v>
      </c>
      <c r="L2124" t="s">
        <v>8</v>
      </c>
      <c r="M2124" t="s">
        <v>41</v>
      </c>
      <c r="N2124" s="1">
        <f t="shared" si="198"/>
        <v>45607</v>
      </c>
      <c r="O2124" s="4">
        <f t="shared" si="199"/>
        <v>1.9486432343835368E-2</v>
      </c>
      <c r="P2124">
        <f t="shared" si="200"/>
        <v>2.0371962616822428</v>
      </c>
      <c r="Q2124" s="2">
        <f t="shared" si="201"/>
        <v>12.822352941176471</v>
      </c>
      <c r="R2124" s="2">
        <f t="shared" si="202"/>
        <v>21.797999999999998</v>
      </c>
      <c r="S2124" s="2">
        <f t="shared" si="203"/>
        <v>6.789613726029911</v>
      </c>
    </row>
    <row r="2125" spans="1:19" hidden="1">
      <c r="A2125" t="s">
        <v>2178</v>
      </c>
      <c r="B2125" t="s">
        <v>30</v>
      </c>
      <c r="C2125">
        <v>86</v>
      </c>
      <c r="D2125">
        <v>4078</v>
      </c>
      <c r="E2125" s="2">
        <v>208.92</v>
      </c>
      <c r="F2125">
        <v>26</v>
      </c>
      <c r="G2125">
        <v>3</v>
      </c>
      <c r="H2125">
        <v>3.5000000000000003E-2</v>
      </c>
      <c r="I2125" s="3">
        <v>1698</v>
      </c>
      <c r="J2125" s="1">
        <v>45602</v>
      </c>
      <c r="K2125" t="s">
        <v>31</v>
      </c>
      <c r="L2125" t="s">
        <v>8</v>
      </c>
      <c r="M2125" t="s">
        <v>35</v>
      </c>
      <c r="N2125" s="1">
        <f t="shared" si="198"/>
        <v>45602</v>
      </c>
      <c r="O2125" s="4">
        <f t="shared" si="199"/>
        <v>2.1088769004413928E-2</v>
      </c>
      <c r="P2125">
        <f t="shared" si="200"/>
        <v>2.429302325581395</v>
      </c>
      <c r="Q2125" s="2">
        <f t="shared" si="201"/>
        <v>8.0353846153846149</v>
      </c>
      <c r="R2125" s="2">
        <f t="shared" si="202"/>
        <v>69.64</v>
      </c>
      <c r="S2125" s="2">
        <f t="shared" si="203"/>
        <v>8.1275129236071226</v>
      </c>
    </row>
    <row r="2126" spans="1:19">
      <c r="A2126" t="s">
        <v>2179</v>
      </c>
      <c r="B2126" t="s">
        <v>30</v>
      </c>
      <c r="C2126">
        <v>139</v>
      </c>
      <c r="D2126">
        <v>3052</v>
      </c>
      <c r="E2126" s="2">
        <v>245.45</v>
      </c>
      <c r="F2126">
        <v>24</v>
      </c>
      <c r="G2126">
        <v>6</v>
      </c>
      <c r="H2126">
        <v>4.5999999999999999E-2</v>
      </c>
      <c r="I2126" s="3">
        <v>1769</v>
      </c>
      <c r="J2126" s="1">
        <v>45624</v>
      </c>
      <c r="K2126" t="s">
        <v>31</v>
      </c>
      <c r="L2126" t="s">
        <v>7</v>
      </c>
      <c r="M2126" t="s">
        <v>37</v>
      </c>
      <c r="N2126" s="1">
        <f t="shared" si="198"/>
        <v>45624</v>
      </c>
      <c r="O2126" s="4">
        <f t="shared" si="199"/>
        <v>4.5543905635648751E-2</v>
      </c>
      <c r="P2126">
        <f t="shared" si="200"/>
        <v>1.7658273381294962</v>
      </c>
      <c r="Q2126" s="2">
        <f t="shared" si="201"/>
        <v>10.227083333333333</v>
      </c>
      <c r="R2126" s="2">
        <f t="shared" si="202"/>
        <v>40.908333333333331</v>
      </c>
      <c r="S2126" s="2">
        <f t="shared" si="203"/>
        <v>7.2071705031574664</v>
      </c>
    </row>
    <row r="2127" spans="1:19" hidden="1">
      <c r="A2127" t="s">
        <v>2180</v>
      </c>
      <c r="B2127" t="s">
        <v>30</v>
      </c>
      <c r="C2127">
        <v>88</v>
      </c>
      <c r="D2127">
        <v>3708</v>
      </c>
      <c r="E2127" s="2">
        <v>225.76</v>
      </c>
      <c r="F2127">
        <v>10</v>
      </c>
      <c r="G2127">
        <v>5</v>
      </c>
      <c r="H2127">
        <v>3.5999999999999997E-2</v>
      </c>
      <c r="I2127" s="3">
        <v>1667</v>
      </c>
      <c r="J2127" s="1">
        <v>45637</v>
      </c>
      <c r="K2127" t="s">
        <v>31</v>
      </c>
      <c r="L2127" t="s">
        <v>9</v>
      </c>
      <c r="M2127" t="s">
        <v>39</v>
      </c>
      <c r="N2127" s="1">
        <f t="shared" si="198"/>
        <v>45637</v>
      </c>
      <c r="O2127" s="4">
        <f t="shared" si="199"/>
        <v>2.3732470334412083E-2</v>
      </c>
      <c r="P2127">
        <f t="shared" si="200"/>
        <v>2.5654545454545454</v>
      </c>
      <c r="Q2127" s="2">
        <f t="shared" si="201"/>
        <v>22.576000000000001</v>
      </c>
      <c r="R2127" s="2">
        <f t="shared" si="202"/>
        <v>45.152000000000001</v>
      </c>
      <c r="S2127" s="2">
        <f t="shared" si="203"/>
        <v>7.3839475549255846</v>
      </c>
    </row>
    <row r="2128" spans="1:19" hidden="1">
      <c r="A2128" t="s">
        <v>2181</v>
      </c>
      <c r="B2128" t="s">
        <v>30</v>
      </c>
      <c r="C2128">
        <v>141</v>
      </c>
      <c r="D2128">
        <v>5314</v>
      </c>
      <c r="E2128" s="2">
        <v>184.34</v>
      </c>
      <c r="F2128">
        <v>29</v>
      </c>
      <c r="G2128">
        <v>10</v>
      </c>
      <c r="H2128">
        <v>7.0999999999999994E-2</v>
      </c>
      <c r="I2128" s="3">
        <v>1271</v>
      </c>
      <c r="J2128" s="1">
        <v>45615</v>
      </c>
      <c r="K2128" t="s">
        <v>31</v>
      </c>
      <c r="L2128" t="s">
        <v>8</v>
      </c>
      <c r="M2128" t="s">
        <v>41</v>
      </c>
      <c r="N2128" s="1">
        <f t="shared" si="198"/>
        <v>45615</v>
      </c>
      <c r="O2128" s="4">
        <f t="shared" si="199"/>
        <v>2.6533684606699286E-2</v>
      </c>
      <c r="P2128">
        <f t="shared" si="200"/>
        <v>1.3073758865248226</v>
      </c>
      <c r="Q2128" s="2">
        <f t="shared" si="201"/>
        <v>6.3565517241379315</v>
      </c>
      <c r="R2128" s="2">
        <f t="shared" si="202"/>
        <v>18.434000000000001</v>
      </c>
      <c r="S2128" s="2">
        <f t="shared" si="203"/>
        <v>6.8948681783660621</v>
      </c>
    </row>
    <row r="2129" spans="1:19" hidden="1">
      <c r="A2129" t="s">
        <v>2182</v>
      </c>
      <c r="B2129" t="s">
        <v>30</v>
      </c>
      <c r="C2129">
        <v>193</v>
      </c>
      <c r="D2129">
        <v>3566</v>
      </c>
      <c r="E2129" s="2">
        <v>212.73</v>
      </c>
      <c r="F2129">
        <v>19</v>
      </c>
      <c r="G2129">
        <v>7</v>
      </c>
      <c r="H2129">
        <v>3.5999999999999997E-2</v>
      </c>
      <c r="I2129" s="3">
        <v>1311</v>
      </c>
      <c r="J2129" s="1">
        <v>45600</v>
      </c>
      <c r="K2129" t="s">
        <v>31</v>
      </c>
      <c r="L2129" t="s">
        <v>7</v>
      </c>
      <c r="M2129" t="s">
        <v>37</v>
      </c>
      <c r="N2129" s="1">
        <f t="shared" si="198"/>
        <v>45600</v>
      </c>
      <c r="O2129" s="4">
        <f t="shared" si="199"/>
        <v>5.4122265844083008E-2</v>
      </c>
      <c r="P2129">
        <f t="shared" si="200"/>
        <v>1.1022279792746112</v>
      </c>
      <c r="Q2129" s="2">
        <f t="shared" si="201"/>
        <v>11.196315789473683</v>
      </c>
      <c r="R2129" s="2">
        <f t="shared" si="202"/>
        <v>30.389999999999997</v>
      </c>
      <c r="S2129" s="2">
        <f t="shared" si="203"/>
        <v>6.1627415033140602</v>
      </c>
    </row>
    <row r="2130" spans="1:19" hidden="1">
      <c r="A2130" t="s">
        <v>2183</v>
      </c>
      <c r="B2130" t="s">
        <v>30</v>
      </c>
      <c r="C2130">
        <v>185</v>
      </c>
      <c r="D2130">
        <v>4839</v>
      </c>
      <c r="E2130" s="2">
        <v>193.99</v>
      </c>
      <c r="F2130">
        <v>26</v>
      </c>
      <c r="G2130">
        <v>6</v>
      </c>
      <c r="H2130">
        <v>3.2000000000000001E-2</v>
      </c>
      <c r="I2130" s="3">
        <v>1492</v>
      </c>
      <c r="J2130" s="1">
        <v>45393</v>
      </c>
      <c r="K2130" t="s">
        <v>31</v>
      </c>
      <c r="L2130" t="s">
        <v>7</v>
      </c>
      <c r="M2130" t="s">
        <v>39</v>
      </c>
      <c r="N2130" s="1">
        <f t="shared" si="198"/>
        <v>45393</v>
      </c>
      <c r="O2130" s="4">
        <f t="shared" si="199"/>
        <v>3.8231039470965074E-2</v>
      </c>
      <c r="P2130">
        <f t="shared" si="200"/>
        <v>1.0485945945945947</v>
      </c>
      <c r="Q2130" s="2">
        <f t="shared" si="201"/>
        <v>7.4611538461538469</v>
      </c>
      <c r="R2130" s="2">
        <f t="shared" si="202"/>
        <v>32.331666666666671</v>
      </c>
      <c r="S2130" s="2">
        <f t="shared" si="203"/>
        <v>7.6911180988710752</v>
      </c>
    </row>
    <row r="2131" spans="1:19" hidden="1">
      <c r="A2131" t="s">
        <v>2184</v>
      </c>
      <c r="B2131" t="s">
        <v>30</v>
      </c>
      <c r="C2131">
        <v>117</v>
      </c>
      <c r="D2131">
        <v>5145</v>
      </c>
      <c r="E2131" s="2">
        <v>244.44</v>
      </c>
      <c r="F2131">
        <v>12</v>
      </c>
      <c r="G2131">
        <v>8</v>
      </c>
      <c r="H2131">
        <v>6.8000000000000005E-2</v>
      </c>
      <c r="I2131" s="3">
        <v>1505</v>
      </c>
      <c r="J2131" s="1">
        <v>45576</v>
      </c>
      <c r="K2131" t="s">
        <v>31</v>
      </c>
      <c r="L2131" t="s">
        <v>8</v>
      </c>
      <c r="M2131" t="s">
        <v>37</v>
      </c>
      <c r="N2131" s="1">
        <f t="shared" si="198"/>
        <v>45576</v>
      </c>
      <c r="O2131" s="4">
        <f t="shared" si="199"/>
        <v>2.2740524781341108E-2</v>
      </c>
      <c r="P2131">
        <f t="shared" si="200"/>
        <v>2.089230769230769</v>
      </c>
      <c r="Q2131" s="2">
        <f t="shared" si="201"/>
        <v>20.37</v>
      </c>
      <c r="R2131" s="2">
        <f t="shared" si="202"/>
        <v>30.555</v>
      </c>
      <c r="S2131" s="2">
        <f t="shared" si="203"/>
        <v>6.1569301260022913</v>
      </c>
    </row>
    <row r="2132" spans="1:19" hidden="1">
      <c r="A2132" t="s">
        <v>2185</v>
      </c>
      <c r="B2132" t="s">
        <v>30</v>
      </c>
      <c r="C2132">
        <v>147</v>
      </c>
      <c r="D2132">
        <v>4371</v>
      </c>
      <c r="E2132" s="2">
        <v>243.04</v>
      </c>
      <c r="F2132">
        <v>26</v>
      </c>
      <c r="G2132">
        <v>9</v>
      </c>
      <c r="H2132">
        <v>6.0999999999999999E-2</v>
      </c>
      <c r="I2132" s="3">
        <v>1776</v>
      </c>
      <c r="J2132" s="1">
        <v>45614</v>
      </c>
      <c r="K2132" t="s">
        <v>31</v>
      </c>
      <c r="L2132" t="s">
        <v>7</v>
      </c>
      <c r="M2132" t="s">
        <v>41</v>
      </c>
      <c r="N2132" s="1">
        <f t="shared" si="198"/>
        <v>45614</v>
      </c>
      <c r="O2132" s="4">
        <f t="shared" si="199"/>
        <v>3.3630748112560054E-2</v>
      </c>
      <c r="P2132">
        <f t="shared" si="200"/>
        <v>1.6533333333333333</v>
      </c>
      <c r="Q2132" s="2">
        <f t="shared" si="201"/>
        <v>9.3476923076923075</v>
      </c>
      <c r="R2132" s="2">
        <f t="shared" si="202"/>
        <v>27.004444444444445</v>
      </c>
      <c r="S2132" s="2">
        <f t="shared" si="203"/>
        <v>7.3074391046741276</v>
      </c>
    </row>
    <row r="2133" spans="1:19">
      <c r="A2133" t="s">
        <v>2186</v>
      </c>
      <c r="B2133" t="s">
        <v>30</v>
      </c>
      <c r="C2133">
        <v>197</v>
      </c>
      <c r="D2133">
        <v>5697</v>
      </c>
      <c r="E2133" s="2">
        <v>243.72</v>
      </c>
      <c r="F2133">
        <v>13</v>
      </c>
      <c r="G2133">
        <v>3</v>
      </c>
      <c r="H2133">
        <v>4.5999999999999999E-2</v>
      </c>
      <c r="I2133" s="3">
        <v>1154</v>
      </c>
      <c r="J2133" s="1">
        <v>45454</v>
      </c>
      <c r="K2133" t="s">
        <v>31</v>
      </c>
      <c r="L2133" t="s">
        <v>8</v>
      </c>
      <c r="M2133" t="s">
        <v>32</v>
      </c>
      <c r="N2133" s="1">
        <f t="shared" si="198"/>
        <v>45454</v>
      </c>
      <c r="O2133" s="4">
        <f t="shared" si="199"/>
        <v>3.4579603299982449E-2</v>
      </c>
      <c r="P2133">
        <f t="shared" si="200"/>
        <v>1.2371573604060913</v>
      </c>
      <c r="Q2133" s="2">
        <f t="shared" si="201"/>
        <v>18.747692307692308</v>
      </c>
      <c r="R2133" s="2">
        <f t="shared" si="202"/>
        <v>81.239999999999995</v>
      </c>
      <c r="S2133" s="2">
        <f t="shared" si="203"/>
        <v>4.7349417364188415</v>
      </c>
    </row>
    <row r="2134" spans="1:19" hidden="1">
      <c r="A2134" t="s">
        <v>2187</v>
      </c>
      <c r="B2134" t="s">
        <v>30</v>
      </c>
      <c r="C2134">
        <v>81</v>
      </c>
      <c r="D2134">
        <v>3096</v>
      </c>
      <c r="E2134" s="2">
        <v>228.47</v>
      </c>
      <c r="F2134">
        <v>22</v>
      </c>
      <c r="G2134">
        <v>3</v>
      </c>
      <c r="H2134">
        <v>3.6999999999999998E-2</v>
      </c>
      <c r="I2134" s="3">
        <v>1386</v>
      </c>
      <c r="J2134" s="1">
        <v>45618</v>
      </c>
      <c r="K2134" t="s">
        <v>31</v>
      </c>
      <c r="L2134" t="s">
        <v>9</v>
      </c>
      <c r="M2134" t="s">
        <v>46</v>
      </c>
      <c r="N2134" s="1">
        <f t="shared" si="198"/>
        <v>45618</v>
      </c>
      <c r="O2134" s="4">
        <f t="shared" si="199"/>
        <v>2.616279069767442E-2</v>
      </c>
      <c r="P2134">
        <f t="shared" si="200"/>
        <v>2.8206172839506172</v>
      </c>
      <c r="Q2134" s="2">
        <f t="shared" si="201"/>
        <v>10.385</v>
      </c>
      <c r="R2134" s="2">
        <f t="shared" si="202"/>
        <v>76.156666666666666</v>
      </c>
      <c r="S2134" s="2">
        <f t="shared" si="203"/>
        <v>6.0664419836302361</v>
      </c>
    </row>
    <row r="2135" spans="1:19" hidden="1">
      <c r="A2135" t="s">
        <v>2188</v>
      </c>
      <c r="B2135" t="s">
        <v>30</v>
      </c>
      <c r="C2135">
        <v>198</v>
      </c>
      <c r="D2135">
        <v>4163</v>
      </c>
      <c r="E2135" s="2">
        <v>218.64</v>
      </c>
      <c r="F2135">
        <v>11</v>
      </c>
      <c r="G2135">
        <v>6</v>
      </c>
      <c r="H2135">
        <v>0.03</v>
      </c>
      <c r="I2135" s="3">
        <v>1904</v>
      </c>
      <c r="J2135" s="1" t="s">
        <v>64</v>
      </c>
      <c r="K2135" t="s">
        <v>31</v>
      </c>
      <c r="L2135" t="s">
        <v>9</v>
      </c>
      <c r="M2135" t="s">
        <v>32</v>
      </c>
      <c r="N2135" s="1">
        <f t="shared" si="198"/>
        <v>45626</v>
      </c>
      <c r="O2135" s="4">
        <f t="shared" si="199"/>
        <v>4.7561854431900072E-2</v>
      </c>
      <c r="P2135">
        <f t="shared" si="200"/>
        <v>1.1042424242424242</v>
      </c>
      <c r="Q2135" s="2">
        <f t="shared" si="201"/>
        <v>19.876363636363635</v>
      </c>
      <c r="R2135" s="2">
        <f t="shared" si="202"/>
        <v>36.44</v>
      </c>
      <c r="S2135" s="2">
        <f t="shared" si="203"/>
        <v>8.7083790706183688</v>
      </c>
    </row>
    <row r="2136" spans="1:19" hidden="1">
      <c r="A2136" t="s">
        <v>2189</v>
      </c>
      <c r="B2136" t="s">
        <v>30</v>
      </c>
      <c r="C2136">
        <v>155</v>
      </c>
      <c r="D2136">
        <v>5150</v>
      </c>
      <c r="E2136" s="2">
        <v>224.6</v>
      </c>
      <c r="F2136">
        <v>24</v>
      </c>
      <c r="G2136">
        <v>7</v>
      </c>
      <c r="H2136">
        <v>3.9E-2</v>
      </c>
      <c r="I2136" s="3">
        <v>1146</v>
      </c>
      <c r="J2136" s="1">
        <v>45600</v>
      </c>
      <c r="K2136" t="s">
        <v>31</v>
      </c>
      <c r="L2136" t="s">
        <v>9</v>
      </c>
      <c r="M2136" t="s">
        <v>35</v>
      </c>
      <c r="N2136" s="1">
        <f t="shared" si="198"/>
        <v>45600</v>
      </c>
      <c r="O2136" s="4">
        <f t="shared" si="199"/>
        <v>3.0097087378640777E-2</v>
      </c>
      <c r="P2136">
        <f t="shared" si="200"/>
        <v>1.4490322580645161</v>
      </c>
      <c r="Q2136" s="2">
        <f t="shared" si="201"/>
        <v>9.3583333333333325</v>
      </c>
      <c r="R2136" s="2">
        <f t="shared" si="202"/>
        <v>32.085714285714282</v>
      </c>
      <c r="S2136" s="2">
        <f t="shared" si="203"/>
        <v>5.1024042742653606</v>
      </c>
    </row>
    <row r="2137" spans="1:19" hidden="1">
      <c r="A2137" t="s">
        <v>2190</v>
      </c>
      <c r="B2137" t="s">
        <v>30</v>
      </c>
      <c r="C2137">
        <v>181</v>
      </c>
      <c r="D2137">
        <v>3948</v>
      </c>
      <c r="E2137" s="2">
        <v>223.51</v>
      </c>
      <c r="F2137">
        <v>17</v>
      </c>
      <c r="G2137">
        <v>4</v>
      </c>
      <c r="H2137">
        <v>5.7000000000000002E-2</v>
      </c>
      <c r="I2137" s="3">
        <v>1075</v>
      </c>
      <c r="J2137" s="1">
        <v>45576</v>
      </c>
      <c r="K2137" t="s">
        <v>31</v>
      </c>
      <c r="L2137" t="s">
        <v>8</v>
      </c>
      <c r="M2137" t="s">
        <v>46</v>
      </c>
      <c r="N2137" s="1">
        <f t="shared" si="198"/>
        <v>45576</v>
      </c>
      <c r="O2137" s="4">
        <f t="shared" si="199"/>
        <v>4.584599797365755E-2</v>
      </c>
      <c r="P2137">
        <f t="shared" si="200"/>
        <v>1.2348618784530385</v>
      </c>
      <c r="Q2137" s="2">
        <f t="shared" si="201"/>
        <v>13.147647058823528</v>
      </c>
      <c r="R2137" s="2">
        <f t="shared" si="202"/>
        <v>55.877499999999998</v>
      </c>
      <c r="S2137" s="2">
        <f t="shared" si="203"/>
        <v>4.8096282045546062</v>
      </c>
    </row>
    <row r="2138" spans="1:19" hidden="1">
      <c r="A2138" t="s">
        <v>2191</v>
      </c>
      <c r="B2138" t="s">
        <v>30</v>
      </c>
      <c r="C2138">
        <v>108</v>
      </c>
      <c r="D2138">
        <v>3126</v>
      </c>
      <c r="E2138" s="2">
        <v>248.94</v>
      </c>
      <c r="F2138">
        <v>12</v>
      </c>
      <c r="G2138">
        <v>3</v>
      </c>
      <c r="H2138">
        <v>2.8000000000000001E-2</v>
      </c>
      <c r="I2138" s="3">
        <v>1942</v>
      </c>
      <c r="J2138" s="1">
        <v>45612</v>
      </c>
      <c r="K2138" t="s">
        <v>31</v>
      </c>
      <c r="L2138" t="s">
        <v>9</v>
      </c>
      <c r="M2138" t="s">
        <v>46</v>
      </c>
      <c r="N2138" s="1">
        <f t="shared" si="198"/>
        <v>45612</v>
      </c>
      <c r="O2138" s="4">
        <f t="shared" si="199"/>
        <v>3.4548944337811902E-2</v>
      </c>
      <c r="P2138">
        <f t="shared" si="200"/>
        <v>2.3050000000000002</v>
      </c>
      <c r="Q2138" s="2">
        <f t="shared" si="201"/>
        <v>20.745000000000001</v>
      </c>
      <c r="R2138" s="2">
        <f t="shared" si="202"/>
        <v>82.98</v>
      </c>
      <c r="S2138" s="2">
        <f t="shared" si="203"/>
        <v>7.8010765646340481</v>
      </c>
    </row>
    <row r="2139" spans="1:19" hidden="1">
      <c r="A2139" t="s">
        <v>2192</v>
      </c>
      <c r="B2139" t="s">
        <v>30</v>
      </c>
      <c r="C2139">
        <v>114</v>
      </c>
      <c r="D2139">
        <v>5551</v>
      </c>
      <c r="E2139" s="2">
        <v>195.44</v>
      </c>
      <c r="F2139">
        <v>30</v>
      </c>
      <c r="G2139">
        <v>5</v>
      </c>
      <c r="H2139">
        <v>4.3999999999999997E-2</v>
      </c>
      <c r="I2139" s="3">
        <v>1255</v>
      </c>
      <c r="J2139" s="1">
        <v>45611</v>
      </c>
      <c r="K2139" t="s">
        <v>31</v>
      </c>
      <c r="L2139" t="s">
        <v>9</v>
      </c>
      <c r="M2139" t="s">
        <v>46</v>
      </c>
      <c r="N2139" s="1">
        <f t="shared" si="198"/>
        <v>45611</v>
      </c>
      <c r="O2139" s="4">
        <f t="shared" si="199"/>
        <v>2.0536840208971358E-2</v>
      </c>
      <c r="P2139">
        <f t="shared" si="200"/>
        <v>1.7143859649122808</v>
      </c>
      <c r="Q2139" s="2">
        <f t="shared" si="201"/>
        <v>6.5146666666666668</v>
      </c>
      <c r="R2139" s="2">
        <f t="shared" si="202"/>
        <v>39.088000000000001</v>
      </c>
      <c r="S2139" s="2">
        <f t="shared" si="203"/>
        <v>6.4214081047891938</v>
      </c>
    </row>
    <row r="2140" spans="1:19">
      <c r="A2140" t="s">
        <v>2193</v>
      </c>
      <c r="B2140" t="s">
        <v>30</v>
      </c>
      <c r="C2140">
        <v>146</v>
      </c>
      <c r="D2140">
        <v>5712</v>
      </c>
      <c r="E2140" s="2">
        <v>221.73</v>
      </c>
      <c r="F2140">
        <v>26</v>
      </c>
      <c r="G2140">
        <v>5</v>
      </c>
      <c r="H2140">
        <v>4.5999999999999999E-2</v>
      </c>
      <c r="I2140" s="3">
        <v>1201</v>
      </c>
      <c r="J2140" s="1">
        <v>45608</v>
      </c>
      <c r="K2140" t="s">
        <v>31</v>
      </c>
      <c r="L2140" t="s">
        <v>8</v>
      </c>
      <c r="M2140" t="s">
        <v>46</v>
      </c>
      <c r="N2140" s="1">
        <f t="shared" si="198"/>
        <v>45608</v>
      </c>
      <c r="O2140" s="4">
        <f t="shared" si="199"/>
        <v>2.5560224089635854E-2</v>
      </c>
      <c r="P2140">
        <f t="shared" si="200"/>
        <v>1.5186986301369862</v>
      </c>
      <c r="Q2140" s="2">
        <f t="shared" si="201"/>
        <v>8.528076923076922</v>
      </c>
      <c r="R2140" s="2">
        <f t="shared" si="202"/>
        <v>44.345999999999997</v>
      </c>
      <c r="S2140" s="2">
        <f t="shared" si="203"/>
        <v>5.4164975420556534</v>
      </c>
    </row>
    <row r="2141" spans="1:19" hidden="1">
      <c r="A2141" t="s">
        <v>2194</v>
      </c>
      <c r="B2141" t="s">
        <v>30</v>
      </c>
      <c r="C2141">
        <v>89</v>
      </c>
      <c r="D2141">
        <v>4175</v>
      </c>
      <c r="E2141" s="2">
        <v>194.22</v>
      </c>
      <c r="F2141">
        <v>11</v>
      </c>
      <c r="G2141">
        <v>3</v>
      </c>
      <c r="H2141">
        <v>5.5E-2</v>
      </c>
      <c r="I2141" s="3">
        <v>1370</v>
      </c>
      <c r="J2141" s="1">
        <v>45618</v>
      </c>
      <c r="K2141" t="s">
        <v>31</v>
      </c>
      <c r="L2141" t="s">
        <v>7</v>
      </c>
      <c r="M2141" t="s">
        <v>39</v>
      </c>
      <c r="N2141" s="1">
        <f t="shared" si="198"/>
        <v>45618</v>
      </c>
      <c r="O2141" s="4">
        <f t="shared" si="199"/>
        <v>2.1317365269461076E-2</v>
      </c>
      <c r="P2141">
        <f t="shared" si="200"/>
        <v>2.182247191011236</v>
      </c>
      <c r="Q2141" s="2">
        <f t="shared" si="201"/>
        <v>17.656363636363636</v>
      </c>
      <c r="R2141" s="2">
        <f t="shared" si="202"/>
        <v>64.739999999999995</v>
      </c>
      <c r="S2141" s="2">
        <f t="shared" si="203"/>
        <v>7.0538564514468129</v>
      </c>
    </row>
    <row r="2142" spans="1:19" hidden="1">
      <c r="A2142" t="s">
        <v>2195</v>
      </c>
      <c r="B2142" t="s">
        <v>30</v>
      </c>
      <c r="C2142">
        <v>82</v>
      </c>
      <c r="D2142">
        <v>4518.5</v>
      </c>
      <c r="E2142" s="2">
        <v>215.57</v>
      </c>
      <c r="F2142">
        <v>30</v>
      </c>
      <c r="G2142">
        <v>8</v>
      </c>
      <c r="H2142">
        <v>9.8000000000000004E-2</v>
      </c>
      <c r="I2142" s="3">
        <v>1511</v>
      </c>
      <c r="J2142" s="1" t="s">
        <v>132</v>
      </c>
      <c r="K2142" t="s">
        <v>31</v>
      </c>
      <c r="L2142" t="s">
        <v>7</v>
      </c>
      <c r="M2142" t="s">
        <v>32</v>
      </c>
      <c r="N2142" s="1">
        <f t="shared" si="198"/>
        <v>45613</v>
      </c>
      <c r="O2142" s="4">
        <f t="shared" si="199"/>
        <v>1.8147615359079342E-2</v>
      </c>
      <c r="P2142">
        <f t="shared" si="200"/>
        <v>2.6289024390243902</v>
      </c>
      <c r="Q2142" s="2">
        <f t="shared" si="201"/>
        <v>7.1856666666666662</v>
      </c>
      <c r="R2142" s="2">
        <f t="shared" si="202"/>
        <v>26.946249999999999</v>
      </c>
      <c r="S2142" s="2">
        <f t="shared" si="203"/>
        <v>7.009324117456047</v>
      </c>
    </row>
    <row r="2143" spans="1:19">
      <c r="A2143" t="s">
        <v>2196</v>
      </c>
      <c r="B2143" t="s">
        <v>30</v>
      </c>
      <c r="C2143">
        <v>98</v>
      </c>
      <c r="D2143">
        <v>5728</v>
      </c>
      <c r="E2143" s="2">
        <v>230.52</v>
      </c>
      <c r="F2143">
        <v>14</v>
      </c>
      <c r="G2143">
        <v>10</v>
      </c>
      <c r="H2143">
        <v>4.5999999999999999E-2</v>
      </c>
      <c r="I2143" s="3">
        <v>1322</v>
      </c>
      <c r="J2143" s="1">
        <v>45484</v>
      </c>
      <c r="K2143" t="s">
        <v>31</v>
      </c>
      <c r="L2143" t="s">
        <v>8</v>
      </c>
      <c r="M2143" t="s">
        <v>39</v>
      </c>
      <c r="N2143" s="1">
        <f t="shared" si="198"/>
        <v>45484</v>
      </c>
      <c r="O2143" s="4">
        <f t="shared" si="199"/>
        <v>1.7108938547486033E-2</v>
      </c>
      <c r="P2143">
        <f t="shared" si="200"/>
        <v>2.3522448979591837</v>
      </c>
      <c r="Q2143" s="2">
        <f t="shared" si="201"/>
        <v>16.465714285714288</v>
      </c>
      <c r="R2143" s="2">
        <f t="shared" si="202"/>
        <v>23.052</v>
      </c>
      <c r="S2143" s="2">
        <f t="shared" si="203"/>
        <v>5.7348603158077385</v>
      </c>
    </row>
    <row r="2144" spans="1:19" hidden="1">
      <c r="A2144" t="s">
        <v>2197</v>
      </c>
      <c r="B2144" t="s">
        <v>30</v>
      </c>
      <c r="C2144">
        <v>87</v>
      </c>
      <c r="D2144">
        <v>3161</v>
      </c>
      <c r="E2144" s="2">
        <v>244.49</v>
      </c>
      <c r="F2144">
        <v>24</v>
      </c>
      <c r="G2144">
        <v>8</v>
      </c>
      <c r="H2144">
        <v>9.1999999999999998E-2</v>
      </c>
      <c r="I2144" s="3">
        <v>1161</v>
      </c>
      <c r="J2144" s="1">
        <v>45602</v>
      </c>
      <c r="K2144" t="s">
        <v>31</v>
      </c>
      <c r="L2144" t="s">
        <v>9</v>
      </c>
      <c r="M2144" t="s">
        <v>37</v>
      </c>
      <c r="N2144" s="1">
        <f t="shared" si="198"/>
        <v>45602</v>
      </c>
      <c r="O2144" s="4">
        <f t="shared" si="199"/>
        <v>2.7522935779816515E-2</v>
      </c>
      <c r="P2144">
        <f t="shared" si="200"/>
        <v>2.8102298850574714</v>
      </c>
      <c r="Q2144" s="2">
        <f t="shared" si="201"/>
        <v>10.187083333333334</v>
      </c>
      <c r="R2144" s="2">
        <f t="shared" si="202"/>
        <v>30.561250000000001</v>
      </c>
      <c r="S2144" s="2">
        <f t="shared" si="203"/>
        <v>4.7486604769111214</v>
      </c>
    </row>
    <row r="2145" spans="1:19" hidden="1">
      <c r="A2145" t="s">
        <v>2198</v>
      </c>
      <c r="B2145" t="s">
        <v>30</v>
      </c>
      <c r="C2145">
        <v>146</v>
      </c>
      <c r="D2145">
        <v>4773</v>
      </c>
      <c r="E2145" s="2">
        <v>248.27</v>
      </c>
      <c r="F2145">
        <v>30</v>
      </c>
      <c r="G2145">
        <v>6</v>
      </c>
      <c r="H2145">
        <v>4.1000000000000002E-2</v>
      </c>
      <c r="I2145" s="3">
        <v>1304</v>
      </c>
      <c r="J2145" s="1">
        <v>45597</v>
      </c>
      <c r="K2145" t="s">
        <v>31</v>
      </c>
      <c r="L2145" t="s">
        <v>9</v>
      </c>
      <c r="M2145" t="s">
        <v>41</v>
      </c>
      <c r="N2145" s="1">
        <f t="shared" si="198"/>
        <v>45597</v>
      </c>
      <c r="O2145" s="4">
        <f t="shared" si="199"/>
        <v>3.0588728263146868E-2</v>
      </c>
      <c r="P2145">
        <f t="shared" si="200"/>
        <v>1.7004794520547946</v>
      </c>
      <c r="Q2145" s="2">
        <f t="shared" si="201"/>
        <v>8.2756666666666678</v>
      </c>
      <c r="R2145" s="2">
        <f t="shared" si="202"/>
        <v>41.378333333333337</v>
      </c>
      <c r="S2145" s="2">
        <f t="shared" si="203"/>
        <v>5.2523462359527935</v>
      </c>
    </row>
    <row r="2146" spans="1:19">
      <c r="A2146" t="s">
        <v>2199</v>
      </c>
      <c r="B2146" t="s">
        <v>30</v>
      </c>
      <c r="C2146">
        <v>139</v>
      </c>
      <c r="D2146">
        <v>3385</v>
      </c>
      <c r="E2146" s="2">
        <v>208.31</v>
      </c>
      <c r="F2146">
        <v>25</v>
      </c>
      <c r="G2146">
        <v>10</v>
      </c>
      <c r="H2146">
        <v>4.5999999999999999E-2</v>
      </c>
      <c r="I2146" s="3">
        <v>1972</v>
      </c>
      <c r="J2146" s="1">
        <v>45612</v>
      </c>
      <c r="K2146" t="s">
        <v>31</v>
      </c>
      <c r="L2146" t="s">
        <v>8</v>
      </c>
      <c r="M2146" t="s">
        <v>46</v>
      </c>
      <c r="N2146" s="1">
        <f t="shared" si="198"/>
        <v>45612</v>
      </c>
      <c r="O2146" s="4">
        <f t="shared" si="199"/>
        <v>4.1063515509601183E-2</v>
      </c>
      <c r="P2146">
        <f t="shared" si="200"/>
        <v>1.4986330935251799</v>
      </c>
      <c r="Q2146" s="2">
        <f t="shared" si="201"/>
        <v>8.3323999999999998</v>
      </c>
      <c r="R2146" s="2">
        <f t="shared" si="202"/>
        <v>20.831</v>
      </c>
      <c r="S2146" s="2">
        <f t="shared" si="203"/>
        <v>9.4666602659497858</v>
      </c>
    </row>
    <row r="2147" spans="1:19" hidden="1">
      <c r="A2147" t="s">
        <v>2200</v>
      </c>
      <c r="B2147" t="s">
        <v>30</v>
      </c>
      <c r="C2147">
        <v>122</v>
      </c>
      <c r="D2147">
        <v>5600</v>
      </c>
      <c r="E2147" s="2">
        <v>223.06</v>
      </c>
      <c r="F2147">
        <v>12</v>
      </c>
      <c r="G2147">
        <v>3</v>
      </c>
      <c r="H2147">
        <v>2.5000000000000001E-2</v>
      </c>
      <c r="I2147" s="3">
        <v>1061</v>
      </c>
      <c r="J2147" s="1">
        <v>45614</v>
      </c>
      <c r="K2147" t="s">
        <v>31</v>
      </c>
      <c r="L2147" t="s">
        <v>9</v>
      </c>
      <c r="M2147" t="s">
        <v>32</v>
      </c>
      <c r="N2147" s="1">
        <f t="shared" si="198"/>
        <v>45614</v>
      </c>
      <c r="O2147" s="4">
        <f t="shared" si="199"/>
        <v>2.1785714285714287E-2</v>
      </c>
      <c r="P2147">
        <f t="shared" si="200"/>
        <v>1.828360655737705</v>
      </c>
      <c r="Q2147" s="2">
        <f t="shared" si="201"/>
        <v>18.588333333333335</v>
      </c>
      <c r="R2147" s="2">
        <f t="shared" si="202"/>
        <v>74.353333333333339</v>
      </c>
      <c r="S2147" s="2">
        <f t="shared" si="203"/>
        <v>4.7565677396216266</v>
      </c>
    </row>
    <row r="2148" spans="1:19" hidden="1">
      <c r="A2148" t="s">
        <v>2201</v>
      </c>
      <c r="B2148" t="s">
        <v>30</v>
      </c>
      <c r="C2148">
        <v>153</v>
      </c>
      <c r="D2148">
        <v>4218</v>
      </c>
      <c r="E2148" s="2">
        <v>228.36</v>
      </c>
      <c r="F2148">
        <v>16</v>
      </c>
      <c r="G2148">
        <v>7</v>
      </c>
      <c r="H2148">
        <v>4.5999999999999999E-2</v>
      </c>
      <c r="I2148" s="3">
        <v>1178</v>
      </c>
      <c r="J2148" s="1">
        <v>45362</v>
      </c>
      <c r="K2148" t="s">
        <v>31</v>
      </c>
      <c r="L2148" t="s">
        <v>8</v>
      </c>
      <c r="M2148" t="s">
        <v>37</v>
      </c>
      <c r="N2148" s="1">
        <f t="shared" si="198"/>
        <v>45362</v>
      </c>
      <c r="O2148" s="4">
        <f t="shared" si="199"/>
        <v>3.627311522048364E-2</v>
      </c>
      <c r="P2148">
        <f t="shared" si="200"/>
        <v>1.4925490196078433</v>
      </c>
      <c r="Q2148" s="2">
        <f t="shared" si="201"/>
        <v>14.272500000000001</v>
      </c>
      <c r="R2148" s="2">
        <f t="shared" si="202"/>
        <v>32.622857142857143</v>
      </c>
      <c r="S2148" s="2">
        <f t="shared" si="203"/>
        <v>5.1585216325100713</v>
      </c>
    </row>
    <row r="2149" spans="1:19" hidden="1">
      <c r="A2149" t="s">
        <v>2202</v>
      </c>
      <c r="B2149" t="s">
        <v>30</v>
      </c>
      <c r="C2149">
        <v>108</v>
      </c>
      <c r="D2149">
        <v>3358</v>
      </c>
      <c r="E2149" s="2">
        <v>184.1</v>
      </c>
      <c r="F2149">
        <v>28</v>
      </c>
      <c r="G2149">
        <v>4</v>
      </c>
      <c r="H2149">
        <v>3.6999999999999998E-2</v>
      </c>
      <c r="I2149" s="3">
        <v>1888</v>
      </c>
      <c r="J2149" s="1">
        <v>45612</v>
      </c>
      <c r="K2149" t="s">
        <v>31</v>
      </c>
      <c r="L2149" t="s">
        <v>7</v>
      </c>
      <c r="M2149" t="s">
        <v>46</v>
      </c>
      <c r="N2149" s="1">
        <f t="shared" si="198"/>
        <v>45612</v>
      </c>
      <c r="O2149" s="4">
        <f t="shared" si="199"/>
        <v>3.216200119118523E-2</v>
      </c>
      <c r="P2149">
        <f t="shared" si="200"/>
        <v>1.7046296296296295</v>
      </c>
      <c r="Q2149" s="2">
        <f t="shared" si="201"/>
        <v>6.5750000000000002</v>
      </c>
      <c r="R2149" s="2">
        <f t="shared" si="202"/>
        <v>46.024999999999999</v>
      </c>
      <c r="S2149" s="2">
        <f t="shared" si="203"/>
        <v>10.255296034763715</v>
      </c>
    </row>
    <row r="2150" spans="1:19" hidden="1">
      <c r="A2150" t="s">
        <v>2203</v>
      </c>
      <c r="B2150" t="s">
        <v>30</v>
      </c>
      <c r="C2150">
        <v>147</v>
      </c>
      <c r="D2150">
        <v>3021</v>
      </c>
      <c r="E2150" s="2">
        <v>200.17</v>
      </c>
      <c r="F2150">
        <v>20</v>
      </c>
      <c r="G2150">
        <v>4</v>
      </c>
      <c r="H2150">
        <v>2.7E-2</v>
      </c>
      <c r="I2150" s="3">
        <v>1718</v>
      </c>
      <c r="J2150" s="1" t="s">
        <v>105</v>
      </c>
      <c r="K2150" t="s">
        <v>31</v>
      </c>
      <c r="L2150" t="s">
        <v>8</v>
      </c>
      <c r="M2150" t="s">
        <v>46</v>
      </c>
      <c r="N2150" s="1">
        <f t="shared" si="198"/>
        <v>45614</v>
      </c>
      <c r="O2150" s="4">
        <f t="shared" si="199"/>
        <v>4.8659384309831182E-2</v>
      </c>
      <c r="P2150">
        <f t="shared" si="200"/>
        <v>1.3617006802721088</v>
      </c>
      <c r="Q2150" s="2">
        <f t="shared" si="201"/>
        <v>10.0085</v>
      </c>
      <c r="R2150" s="2">
        <f t="shared" si="202"/>
        <v>50.042499999999997</v>
      </c>
      <c r="S2150" s="2">
        <f t="shared" si="203"/>
        <v>8.5827047010041468</v>
      </c>
    </row>
    <row r="2151" spans="1:19" hidden="1">
      <c r="A2151" t="s">
        <v>2204</v>
      </c>
      <c r="B2151" t="s">
        <v>30</v>
      </c>
      <c r="C2151">
        <v>121</v>
      </c>
      <c r="D2151">
        <v>4477</v>
      </c>
      <c r="E2151" s="2">
        <v>224.77</v>
      </c>
      <c r="F2151">
        <v>28</v>
      </c>
      <c r="G2151">
        <v>10</v>
      </c>
      <c r="H2151">
        <v>8.3000000000000004E-2</v>
      </c>
      <c r="I2151" s="3">
        <v>1604</v>
      </c>
      <c r="J2151" s="1" t="s">
        <v>132</v>
      </c>
      <c r="K2151" t="s">
        <v>31</v>
      </c>
      <c r="L2151" t="s">
        <v>9</v>
      </c>
      <c r="M2151" t="s">
        <v>37</v>
      </c>
      <c r="N2151" s="1">
        <f t="shared" si="198"/>
        <v>45613</v>
      </c>
      <c r="O2151" s="4">
        <f t="shared" si="199"/>
        <v>2.7027027027027029E-2</v>
      </c>
      <c r="P2151">
        <f t="shared" si="200"/>
        <v>1.857603305785124</v>
      </c>
      <c r="Q2151" s="2">
        <f t="shared" si="201"/>
        <v>8.0274999999999999</v>
      </c>
      <c r="R2151" s="2">
        <f t="shared" si="202"/>
        <v>22.477</v>
      </c>
      <c r="S2151" s="2">
        <f t="shared" si="203"/>
        <v>7.1361836544022772</v>
      </c>
    </row>
    <row r="2152" spans="1:19">
      <c r="A2152" t="s">
        <v>2205</v>
      </c>
      <c r="B2152" t="s">
        <v>30</v>
      </c>
      <c r="C2152">
        <v>112</v>
      </c>
      <c r="D2152">
        <v>4073</v>
      </c>
      <c r="E2152" s="2">
        <v>180.24</v>
      </c>
      <c r="F2152">
        <v>30</v>
      </c>
      <c r="G2152">
        <v>4</v>
      </c>
      <c r="H2152">
        <v>4.5999999999999999E-2</v>
      </c>
      <c r="I2152" s="3">
        <v>1628</v>
      </c>
      <c r="J2152" s="1">
        <v>45608</v>
      </c>
      <c r="K2152" t="s">
        <v>31</v>
      </c>
      <c r="L2152" t="s">
        <v>9</v>
      </c>
      <c r="M2152" t="s">
        <v>39</v>
      </c>
      <c r="N2152" s="1">
        <f t="shared" si="198"/>
        <v>45608</v>
      </c>
      <c r="O2152" s="4">
        <f t="shared" si="199"/>
        <v>2.7498158605450528E-2</v>
      </c>
      <c r="P2152">
        <f t="shared" si="200"/>
        <v>1.6092857142857144</v>
      </c>
      <c r="Q2152" s="2">
        <f t="shared" si="201"/>
        <v>6.008</v>
      </c>
      <c r="R2152" s="2">
        <f t="shared" si="202"/>
        <v>45.06</v>
      </c>
      <c r="S2152" s="2">
        <f t="shared" si="203"/>
        <v>9.0324012427873939</v>
      </c>
    </row>
    <row r="2153" spans="1:19" hidden="1">
      <c r="A2153" t="s">
        <v>2206</v>
      </c>
      <c r="B2153" t="s">
        <v>30</v>
      </c>
      <c r="C2153">
        <v>127</v>
      </c>
      <c r="D2153">
        <v>5172</v>
      </c>
      <c r="E2153" s="2">
        <v>204.19</v>
      </c>
      <c r="F2153">
        <v>10</v>
      </c>
      <c r="G2153">
        <v>4</v>
      </c>
      <c r="H2153">
        <v>3.1E-2</v>
      </c>
      <c r="I2153" s="3">
        <v>1183</v>
      </c>
      <c r="J2153" s="1">
        <v>45616</v>
      </c>
      <c r="K2153" t="s">
        <v>31</v>
      </c>
      <c r="L2153" t="s">
        <v>8</v>
      </c>
      <c r="M2153" t="s">
        <v>37</v>
      </c>
      <c r="N2153" s="1">
        <f t="shared" si="198"/>
        <v>45616</v>
      </c>
      <c r="O2153" s="4">
        <f t="shared" si="199"/>
        <v>2.4555297757153906E-2</v>
      </c>
      <c r="P2153">
        <f t="shared" si="200"/>
        <v>1.6077952755905511</v>
      </c>
      <c r="Q2153" s="2">
        <f t="shared" si="201"/>
        <v>20.419</v>
      </c>
      <c r="R2153" s="2">
        <f t="shared" si="202"/>
        <v>51.047499999999999</v>
      </c>
      <c r="S2153" s="2">
        <f t="shared" si="203"/>
        <v>5.7936235858759</v>
      </c>
    </row>
    <row r="2154" spans="1:19" hidden="1">
      <c r="A2154" t="s">
        <v>2207</v>
      </c>
      <c r="B2154" t="s">
        <v>30</v>
      </c>
      <c r="C2154">
        <v>192</v>
      </c>
      <c r="D2154">
        <v>5896</v>
      </c>
      <c r="E2154" s="2">
        <v>201.18</v>
      </c>
      <c r="F2154">
        <v>30</v>
      </c>
      <c r="G2154">
        <v>9</v>
      </c>
      <c r="H2154">
        <v>0.05</v>
      </c>
      <c r="I2154" s="3">
        <v>1589</v>
      </c>
      <c r="J2154" s="1" t="s">
        <v>64</v>
      </c>
      <c r="K2154" t="s">
        <v>31</v>
      </c>
      <c r="L2154" t="s">
        <v>7</v>
      </c>
      <c r="M2154" t="s">
        <v>35</v>
      </c>
      <c r="N2154" s="1">
        <f t="shared" si="198"/>
        <v>45626</v>
      </c>
      <c r="O2154" s="4">
        <f t="shared" si="199"/>
        <v>3.2564450474898234E-2</v>
      </c>
      <c r="P2154">
        <f t="shared" si="200"/>
        <v>1.0478125</v>
      </c>
      <c r="Q2154" s="2">
        <f t="shared" si="201"/>
        <v>6.7060000000000004</v>
      </c>
      <c r="R2154" s="2">
        <f t="shared" si="202"/>
        <v>22.353333333333335</v>
      </c>
      <c r="S2154" s="2">
        <f t="shared" si="203"/>
        <v>7.8983994432846201</v>
      </c>
    </row>
    <row r="2155" spans="1:19" hidden="1">
      <c r="A2155" t="s">
        <v>2208</v>
      </c>
      <c r="B2155" t="s">
        <v>30</v>
      </c>
      <c r="C2155">
        <v>174</v>
      </c>
      <c r="D2155">
        <v>3427</v>
      </c>
      <c r="E2155" s="2">
        <v>223.77</v>
      </c>
      <c r="F2155">
        <v>20</v>
      </c>
      <c r="G2155">
        <v>7</v>
      </c>
      <c r="H2155">
        <v>3.5999999999999997E-2</v>
      </c>
      <c r="I2155" s="3">
        <v>1293</v>
      </c>
      <c r="J2155" s="1" t="s">
        <v>89</v>
      </c>
      <c r="K2155" t="s">
        <v>31</v>
      </c>
      <c r="L2155" t="s">
        <v>7</v>
      </c>
      <c r="M2155" t="s">
        <v>46</v>
      </c>
      <c r="N2155" s="1">
        <f t="shared" si="198"/>
        <v>45611</v>
      </c>
      <c r="O2155" s="4">
        <f t="shared" si="199"/>
        <v>5.0773271082579514E-2</v>
      </c>
      <c r="P2155">
        <f t="shared" si="200"/>
        <v>1.2860344827586208</v>
      </c>
      <c r="Q2155" s="2">
        <f t="shared" si="201"/>
        <v>11.188500000000001</v>
      </c>
      <c r="R2155" s="2">
        <f t="shared" si="202"/>
        <v>31.967142857142857</v>
      </c>
      <c r="S2155" s="2">
        <f t="shared" si="203"/>
        <v>5.7782544577021042</v>
      </c>
    </row>
    <row r="2156" spans="1:19" hidden="1">
      <c r="A2156" t="s">
        <v>2209</v>
      </c>
      <c r="B2156" t="s">
        <v>30</v>
      </c>
      <c r="C2156">
        <v>166</v>
      </c>
      <c r="D2156">
        <v>4176</v>
      </c>
      <c r="E2156" s="2">
        <v>243.1</v>
      </c>
      <c r="F2156">
        <v>16</v>
      </c>
      <c r="G2156">
        <v>9</v>
      </c>
      <c r="H2156">
        <v>4.1000000000000002E-2</v>
      </c>
      <c r="I2156" s="3">
        <v>1147</v>
      </c>
      <c r="J2156" s="1">
        <v>45620</v>
      </c>
      <c r="K2156" t="s">
        <v>31</v>
      </c>
      <c r="L2156" t="s">
        <v>7</v>
      </c>
      <c r="M2156" t="s">
        <v>32</v>
      </c>
      <c r="N2156" s="1">
        <f t="shared" si="198"/>
        <v>45620</v>
      </c>
      <c r="O2156" s="4">
        <f t="shared" si="199"/>
        <v>3.9750957854406133E-2</v>
      </c>
      <c r="P2156">
        <f t="shared" si="200"/>
        <v>1.4644578313253012</v>
      </c>
      <c r="Q2156" s="2">
        <f t="shared" si="201"/>
        <v>15.19375</v>
      </c>
      <c r="R2156" s="2">
        <f t="shared" si="202"/>
        <v>27.011111111111109</v>
      </c>
      <c r="S2156" s="2">
        <f t="shared" si="203"/>
        <v>4.7182229535170714</v>
      </c>
    </row>
    <row r="2157" spans="1:19">
      <c r="A2157" t="s">
        <v>2210</v>
      </c>
      <c r="B2157" t="s">
        <v>30</v>
      </c>
      <c r="C2157">
        <v>98</v>
      </c>
      <c r="D2157">
        <v>5835</v>
      </c>
      <c r="E2157" s="2">
        <v>232.82</v>
      </c>
      <c r="F2157">
        <v>19</v>
      </c>
      <c r="G2157">
        <v>6</v>
      </c>
      <c r="H2157">
        <v>4.5999999999999999E-2</v>
      </c>
      <c r="I2157" s="3">
        <v>1989</v>
      </c>
      <c r="J2157" s="1">
        <v>45598</v>
      </c>
      <c r="K2157" t="s">
        <v>31</v>
      </c>
      <c r="L2157" t="s">
        <v>8</v>
      </c>
      <c r="M2157" t="s">
        <v>37</v>
      </c>
      <c r="N2157" s="1">
        <f t="shared" si="198"/>
        <v>45598</v>
      </c>
      <c r="O2157" s="4">
        <f t="shared" si="199"/>
        <v>1.6795201371036846E-2</v>
      </c>
      <c r="P2157">
        <f t="shared" si="200"/>
        <v>2.3757142857142854</v>
      </c>
      <c r="Q2157" s="2">
        <f t="shared" si="201"/>
        <v>12.253684210526316</v>
      </c>
      <c r="R2157" s="2">
        <f t="shared" si="202"/>
        <v>38.803333333333335</v>
      </c>
      <c r="S2157" s="2">
        <f t="shared" si="203"/>
        <v>8.5430804913667213</v>
      </c>
    </row>
    <row r="2158" spans="1:19">
      <c r="A2158" t="s">
        <v>2211</v>
      </c>
      <c r="B2158" t="s">
        <v>30</v>
      </c>
      <c r="C2158">
        <v>191</v>
      </c>
      <c r="D2158">
        <v>5438</v>
      </c>
      <c r="E2158" s="2">
        <v>244.1</v>
      </c>
      <c r="F2158">
        <v>19</v>
      </c>
      <c r="G2158">
        <v>5</v>
      </c>
      <c r="H2158">
        <v>4.5999999999999999E-2</v>
      </c>
      <c r="I2158" s="3">
        <v>1203</v>
      </c>
      <c r="J2158" s="1">
        <v>45604</v>
      </c>
      <c r="K2158" t="s">
        <v>31</v>
      </c>
      <c r="L2158" t="s">
        <v>9</v>
      </c>
      <c r="M2158" t="s">
        <v>32</v>
      </c>
      <c r="N2158" s="1">
        <f t="shared" si="198"/>
        <v>45604</v>
      </c>
      <c r="O2158" s="4">
        <f t="shared" si="199"/>
        <v>3.5123207061419637E-2</v>
      </c>
      <c r="P2158">
        <f t="shared" si="200"/>
        <v>1.2780104712041884</v>
      </c>
      <c r="Q2158" s="2">
        <f t="shared" si="201"/>
        <v>12.84736842105263</v>
      </c>
      <c r="R2158" s="2">
        <f t="shared" si="202"/>
        <v>48.82</v>
      </c>
      <c r="S2158" s="2">
        <f t="shared" si="203"/>
        <v>4.9283080704629247</v>
      </c>
    </row>
    <row r="2159" spans="1:19" hidden="1">
      <c r="A2159" t="s">
        <v>2212</v>
      </c>
      <c r="B2159" t="s">
        <v>30</v>
      </c>
      <c r="C2159">
        <v>89</v>
      </c>
      <c r="D2159">
        <v>4936</v>
      </c>
      <c r="E2159" s="2">
        <v>199.91</v>
      </c>
      <c r="F2159">
        <v>16</v>
      </c>
      <c r="G2159">
        <v>4</v>
      </c>
      <c r="H2159">
        <v>5.8999999999999997E-2</v>
      </c>
      <c r="I2159" s="3">
        <v>1543</v>
      </c>
      <c r="J2159" s="1">
        <v>45610</v>
      </c>
      <c r="K2159" t="s">
        <v>31</v>
      </c>
      <c r="L2159" t="s">
        <v>7</v>
      </c>
      <c r="M2159" t="s">
        <v>35</v>
      </c>
      <c r="N2159" s="1">
        <f t="shared" si="198"/>
        <v>45610</v>
      </c>
      <c r="O2159" s="4">
        <f t="shared" si="199"/>
        <v>1.8030794165316045E-2</v>
      </c>
      <c r="P2159">
        <f t="shared" si="200"/>
        <v>2.2461797752808987</v>
      </c>
      <c r="Q2159" s="2">
        <f t="shared" si="201"/>
        <v>12.494375</v>
      </c>
      <c r="R2159" s="2">
        <f t="shared" si="202"/>
        <v>49.977499999999999</v>
      </c>
      <c r="S2159" s="2">
        <f t="shared" si="203"/>
        <v>7.718473312990846</v>
      </c>
    </row>
    <row r="2160" spans="1:19" hidden="1">
      <c r="A2160" t="s">
        <v>2213</v>
      </c>
      <c r="B2160" t="s">
        <v>30</v>
      </c>
      <c r="C2160">
        <v>180</v>
      </c>
      <c r="D2160">
        <v>3526</v>
      </c>
      <c r="E2160" s="2">
        <v>215.57</v>
      </c>
      <c r="F2160">
        <v>15</v>
      </c>
      <c r="G2160">
        <v>7</v>
      </c>
      <c r="H2160">
        <v>3.9E-2</v>
      </c>
      <c r="I2160" s="3">
        <v>1336</v>
      </c>
      <c r="J2160" s="1">
        <v>45612</v>
      </c>
      <c r="K2160" t="s">
        <v>31</v>
      </c>
      <c r="L2160" t="s">
        <v>8</v>
      </c>
      <c r="M2160" t="s">
        <v>41</v>
      </c>
      <c r="N2160" s="1">
        <f t="shared" si="198"/>
        <v>45612</v>
      </c>
      <c r="O2160" s="4">
        <f t="shared" si="199"/>
        <v>5.104934770277935E-2</v>
      </c>
      <c r="P2160">
        <f t="shared" si="200"/>
        <v>1.1976111111111112</v>
      </c>
      <c r="Q2160" s="2">
        <f t="shared" si="201"/>
        <v>14.371333333333332</v>
      </c>
      <c r="R2160" s="2">
        <f t="shared" si="202"/>
        <v>30.795714285714286</v>
      </c>
      <c r="S2160" s="2">
        <f t="shared" si="203"/>
        <v>6.1975228464071996</v>
      </c>
    </row>
    <row r="2161" spans="1:19" hidden="1">
      <c r="A2161" t="s">
        <v>2214</v>
      </c>
      <c r="B2161" t="s">
        <v>30</v>
      </c>
      <c r="C2161">
        <v>91</v>
      </c>
      <c r="D2161">
        <v>5509</v>
      </c>
      <c r="E2161" s="2">
        <v>186.22</v>
      </c>
      <c r="F2161">
        <v>29</v>
      </c>
      <c r="G2161">
        <v>5</v>
      </c>
      <c r="H2161">
        <v>5.5E-2</v>
      </c>
      <c r="I2161" s="3">
        <v>1928</v>
      </c>
      <c r="J2161" s="1">
        <v>45598</v>
      </c>
      <c r="K2161" t="s">
        <v>31</v>
      </c>
      <c r="L2161" t="s">
        <v>8</v>
      </c>
      <c r="M2161" t="s">
        <v>32</v>
      </c>
      <c r="N2161" s="1">
        <f t="shared" si="198"/>
        <v>45598</v>
      </c>
      <c r="O2161" s="4">
        <f t="shared" si="199"/>
        <v>1.6518424396442185E-2</v>
      </c>
      <c r="P2161">
        <f t="shared" si="200"/>
        <v>2.0463736263736263</v>
      </c>
      <c r="Q2161" s="2">
        <f t="shared" si="201"/>
        <v>6.4213793103448271</v>
      </c>
      <c r="R2161" s="2">
        <f t="shared" si="202"/>
        <v>37.244</v>
      </c>
      <c r="S2161" s="2">
        <f t="shared" si="203"/>
        <v>10.353345505316293</v>
      </c>
    </row>
    <row r="2162" spans="1:19" hidden="1">
      <c r="A2162" t="s">
        <v>2215</v>
      </c>
      <c r="B2162" t="s">
        <v>30</v>
      </c>
      <c r="C2162">
        <v>114</v>
      </c>
      <c r="D2162">
        <v>5748</v>
      </c>
      <c r="E2162" s="2">
        <v>184.76</v>
      </c>
      <c r="F2162">
        <v>16</v>
      </c>
      <c r="G2162">
        <v>8</v>
      </c>
      <c r="H2162">
        <v>7.0000000000000007E-2</v>
      </c>
      <c r="I2162" s="3">
        <v>1490</v>
      </c>
      <c r="J2162" s="1">
        <v>45617</v>
      </c>
      <c r="K2162" t="s">
        <v>31</v>
      </c>
      <c r="L2162" t="s">
        <v>7</v>
      </c>
      <c r="M2162" t="s">
        <v>37</v>
      </c>
      <c r="N2162" s="1">
        <f t="shared" si="198"/>
        <v>45617</v>
      </c>
      <c r="O2162" s="4">
        <f t="shared" si="199"/>
        <v>1.9832985386221295E-2</v>
      </c>
      <c r="P2162">
        <f t="shared" si="200"/>
        <v>1.6207017543859648</v>
      </c>
      <c r="Q2162" s="2">
        <f t="shared" si="201"/>
        <v>11.547499999999999</v>
      </c>
      <c r="R2162" s="2">
        <f t="shared" si="202"/>
        <v>23.094999999999999</v>
      </c>
      <c r="S2162" s="2">
        <f t="shared" si="203"/>
        <v>8.064516129032258</v>
      </c>
    </row>
    <row r="2163" spans="1:19">
      <c r="A2163" t="s">
        <v>2216</v>
      </c>
      <c r="B2163" t="s">
        <v>30</v>
      </c>
      <c r="C2163">
        <v>80</v>
      </c>
      <c r="D2163">
        <v>5155</v>
      </c>
      <c r="E2163" s="2">
        <v>217.3</v>
      </c>
      <c r="F2163">
        <v>28</v>
      </c>
      <c r="G2163">
        <v>5</v>
      </c>
      <c r="H2163">
        <v>4.5999999999999999E-2</v>
      </c>
      <c r="I2163" s="3">
        <v>1316</v>
      </c>
      <c r="J2163" s="1">
        <v>45637</v>
      </c>
      <c r="K2163" t="s">
        <v>31</v>
      </c>
      <c r="L2163" t="s">
        <v>9</v>
      </c>
      <c r="M2163" t="s">
        <v>35</v>
      </c>
      <c r="N2163" s="1">
        <f t="shared" si="198"/>
        <v>45637</v>
      </c>
      <c r="O2163" s="4">
        <f t="shared" si="199"/>
        <v>1.5518913676042677E-2</v>
      </c>
      <c r="P2163">
        <f t="shared" si="200"/>
        <v>2.7162500000000001</v>
      </c>
      <c r="Q2163" s="2">
        <f t="shared" si="201"/>
        <v>7.7607142857142861</v>
      </c>
      <c r="R2163" s="2">
        <f t="shared" si="202"/>
        <v>43.46</v>
      </c>
      <c r="S2163" s="2">
        <f t="shared" si="203"/>
        <v>6.0561435803037273</v>
      </c>
    </row>
    <row r="2164" spans="1:19" hidden="1">
      <c r="A2164" t="s">
        <v>2217</v>
      </c>
      <c r="B2164" t="s">
        <v>30</v>
      </c>
      <c r="C2164">
        <v>127</v>
      </c>
      <c r="D2164">
        <v>4537</v>
      </c>
      <c r="E2164" s="2">
        <v>247.11</v>
      </c>
      <c r="F2164">
        <v>17</v>
      </c>
      <c r="G2164">
        <v>7</v>
      </c>
      <c r="H2164">
        <v>4.2999999999999997E-2</v>
      </c>
      <c r="I2164" s="3">
        <v>1451</v>
      </c>
      <c r="J2164" s="1">
        <v>45614</v>
      </c>
      <c r="K2164" t="s">
        <v>31</v>
      </c>
      <c r="L2164" t="s">
        <v>9</v>
      </c>
      <c r="M2164" t="s">
        <v>46</v>
      </c>
      <c r="N2164" s="1">
        <f t="shared" si="198"/>
        <v>45614</v>
      </c>
      <c r="O2164" s="4">
        <f t="shared" si="199"/>
        <v>2.799206524134891E-2</v>
      </c>
      <c r="P2164">
        <f t="shared" si="200"/>
        <v>1.9457480314960631</v>
      </c>
      <c r="Q2164" s="2">
        <f t="shared" si="201"/>
        <v>14.535882352941178</v>
      </c>
      <c r="R2164" s="2">
        <f t="shared" si="202"/>
        <v>35.301428571428573</v>
      </c>
      <c r="S2164" s="2">
        <f t="shared" si="203"/>
        <v>5.8718789203188857</v>
      </c>
    </row>
    <row r="2165" spans="1:19" hidden="1">
      <c r="A2165" t="s">
        <v>2218</v>
      </c>
      <c r="B2165" t="s">
        <v>30</v>
      </c>
      <c r="C2165">
        <v>84</v>
      </c>
      <c r="D2165">
        <v>5468</v>
      </c>
      <c r="E2165" s="2">
        <v>227.36</v>
      </c>
      <c r="F2165">
        <v>13</v>
      </c>
      <c r="G2165">
        <v>4</v>
      </c>
      <c r="H2165">
        <v>4.8000000000000001E-2</v>
      </c>
      <c r="I2165" s="3">
        <v>1228</v>
      </c>
      <c r="J2165" s="1">
        <v>45622</v>
      </c>
      <c r="K2165" t="s">
        <v>31</v>
      </c>
      <c r="L2165" t="s">
        <v>9</v>
      </c>
      <c r="M2165" t="s">
        <v>35</v>
      </c>
      <c r="N2165" s="1">
        <f t="shared" si="198"/>
        <v>45622</v>
      </c>
      <c r="O2165" s="4">
        <f t="shared" si="199"/>
        <v>1.5362106803218726E-2</v>
      </c>
      <c r="P2165">
        <f t="shared" si="200"/>
        <v>2.706666666666667</v>
      </c>
      <c r="Q2165" s="2">
        <f t="shared" si="201"/>
        <v>17.489230769230769</v>
      </c>
      <c r="R2165" s="2">
        <f t="shared" si="202"/>
        <v>56.84</v>
      </c>
      <c r="S2165" s="2">
        <f t="shared" si="203"/>
        <v>5.4011259676284302</v>
      </c>
    </row>
    <row r="2166" spans="1:19" hidden="1">
      <c r="A2166" t="s">
        <v>2219</v>
      </c>
      <c r="B2166" t="s">
        <v>30</v>
      </c>
      <c r="C2166">
        <v>182</v>
      </c>
      <c r="D2166">
        <v>4390</v>
      </c>
      <c r="E2166" s="2">
        <v>239.33</v>
      </c>
      <c r="F2166">
        <v>11</v>
      </c>
      <c r="G2166">
        <v>7</v>
      </c>
      <c r="H2166">
        <v>5.1999999999999998E-2</v>
      </c>
      <c r="I2166" s="3">
        <v>1799</v>
      </c>
      <c r="J2166" s="1">
        <v>45623</v>
      </c>
      <c r="K2166" t="s">
        <v>31</v>
      </c>
      <c r="L2166" t="s">
        <v>9</v>
      </c>
      <c r="M2166" t="s">
        <v>39</v>
      </c>
      <c r="N2166" s="1">
        <f t="shared" si="198"/>
        <v>45623</v>
      </c>
      <c r="O2166" s="4">
        <f t="shared" si="199"/>
        <v>4.145785876993166E-2</v>
      </c>
      <c r="P2166">
        <f t="shared" si="200"/>
        <v>1.3150000000000002</v>
      </c>
      <c r="Q2166" s="2">
        <f t="shared" si="201"/>
        <v>21.757272727272728</v>
      </c>
      <c r="R2166" s="2">
        <f t="shared" si="202"/>
        <v>34.190000000000005</v>
      </c>
      <c r="S2166" s="2">
        <f t="shared" si="203"/>
        <v>7.516817782977478</v>
      </c>
    </row>
    <row r="2167" spans="1:19" hidden="1">
      <c r="A2167" t="s">
        <v>2220</v>
      </c>
      <c r="B2167" t="s">
        <v>30</v>
      </c>
      <c r="C2167">
        <v>105</v>
      </c>
      <c r="D2167">
        <v>5883</v>
      </c>
      <c r="E2167" s="2">
        <v>180.07</v>
      </c>
      <c r="F2167">
        <v>20</v>
      </c>
      <c r="G2167">
        <v>4</v>
      </c>
      <c r="H2167">
        <v>3.7999999999999999E-2</v>
      </c>
      <c r="I2167" s="3">
        <v>1586</v>
      </c>
      <c r="J2167" s="1">
        <v>45601</v>
      </c>
      <c r="K2167" t="s">
        <v>31</v>
      </c>
      <c r="L2167" t="s">
        <v>8</v>
      </c>
      <c r="M2167" t="s">
        <v>35</v>
      </c>
      <c r="N2167" s="1">
        <f t="shared" si="198"/>
        <v>45601</v>
      </c>
      <c r="O2167" s="4">
        <f t="shared" si="199"/>
        <v>1.7848036715961243E-2</v>
      </c>
      <c r="P2167">
        <f t="shared" si="200"/>
        <v>1.7149523809523808</v>
      </c>
      <c r="Q2167" s="2">
        <f t="shared" si="201"/>
        <v>9.0034999999999989</v>
      </c>
      <c r="R2167" s="2">
        <f t="shared" si="202"/>
        <v>45.017499999999998</v>
      </c>
      <c r="S2167" s="2">
        <f t="shared" si="203"/>
        <v>8.8076858999278063</v>
      </c>
    </row>
    <row r="2168" spans="1:19" hidden="1">
      <c r="A2168" t="s">
        <v>2221</v>
      </c>
      <c r="B2168" t="s">
        <v>30</v>
      </c>
      <c r="C2168">
        <v>162</v>
      </c>
      <c r="D2168">
        <v>3120</v>
      </c>
      <c r="E2168" s="2">
        <v>245.58</v>
      </c>
      <c r="F2168">
        <v>30</v>
      </c>
      <c r="G2168">
        <v>6</v>
      </c>
      <c r="H2168">
        <v>3.6999999999999998E-2</v>
      </c>
      <c r="I2168" s="3">
        <v>1952</v>
      </c>
      <c r="J2168" s="1">
        <v>45454</v>
      </c>
      <c r="K2168" t="s">
        <v>31</v>
      </c>
      <c r="L2168" t="s">
        <v>8</v>
      </c>
      <c r="M2168" t="s">
        <v>39</v>
      </c>
      <c r="N2168" s="1">
        <f t="shared" si="198"/>
        <v>45454</v>
      </c>
      <c r="O2168" s="4">
        <f t="shared" si="199"/>
        <v>5.1923076923076926E-2</v>
      </c>
      <c r="P2168">
        <f t="shared" si="200"/>
        <v>1.5159259259259259</v>
      </c>
      <c r="Q2168" s="2">
        <f t="shared" si="201"/>
        <v>8.1859999999999999</v>
      </c>
      <c r="R2168" s="2">
        <f t="shared" si="202"/>
        <v>40.93</v>
      </c>
      <c r="S2168" s="2">
        <f t="shared" si="203"/>
        <v>7.9485300105871808</v>
      </c>
    </row>
    <row r="2169" spans="1:19" hidden="1">
      <c r="A2169" t="s">
        <v>2222</v>
      </c>
      <c r="B2169" t="s">
        <v>30</v>
      </c>
      <c r="C2169">
        <v>118</v>
      </c>
      <c r="D2169">
        <v>4377</v>
      </c>
      <c r="E2169" s="2">
        <v>219.81</v>
      </c>
      <c r="F2169">
        <v>21</v>
      </c>
      <c r="G2169">
        <v>4</v>
      </c>
      <c r="H2169">
        <v>3.4000000000000002E-2</v>
      </c>
      <c r="I2169" s="3">
        <v>1290</v>
      </c>
      <c r="J2169" s="1">
        <v>45610</v>
      </c>
      <c r="K2169" t="s">
        <v>31</v>
      </c>
      <c r="L2169" t="s">
        <v>7</v>
      </c>
      <c r="M2169" t="s">
        <v>46</v>
      </c>
      <c r="N2169" s="1">
        <f t="shared" si="198"/>
        <v>45610</v>
      </c>
      <c r="O2169" s="4">
        <f t="shared" si="199"/>
        <v>2.6959104409412842E-2</v>
      </c>
      <c r="P2169">
        <f t="shared" si="200"/>
        <v>1.8627966101694915</v>
      </c>
      <c r="Q2169" s="2">
        <f t="shared" si="201"/>
        <v>10.467142857142857</v>
      </c>
      <c r="R2169" s="2">
        <f t="shared" si="202"/>
        <v>54.952500000000001</v>
      </c>
      <c r="S2169" s="2">
        <f t="shared" si="203"/>
        <v>5.8687047905008871</v>
      </c>
    </row>
    <row r="2170" spans="1:19" hidden="1">
      <c r="A2170" t="s">
        <v>2223</v>
      </c>
      <c r="B2170" t="s">
        <v>30</v>
      </c>
      <c r="C2170">
        <v>131</v>
      </c>
      <c r="D2170">
        <v>5719</v>
      </c>
      <c r="E2170" s="2">
        <v>183.69</v>
      </c>
      <c r="F2170">
        <v>12</v>
      </c>
      <c r="G2170">
        <v>7</v>
      </c>
      <c r="H2170">
        <v>5.2999999999999999E-2</v>
      </c>
      <c r="I2170" s="3">
        <v>1555</v>
      </c>
      <c r="J2170" s="1" t="s">
        <v>111</v>
      </c>
      <c r="K2170" t="s">
        <v>31</v>
      </c>
      <c r="L2170" t="s">
        <v>8</v>
      </c>
      <c r="M2170" t="s">
        <v>39</v>
      </c>
      <c r="N2170" s="1">
        <f t="shared" si="198"/>
        <v>45619</v>
      </c>
      <c r="O2170" s="4">
        <f t="shared" si="199"/>
        <v>2.290610246546599E-2</v>
      </c>
      <c r="P2170">
        <f t="shared" si="200"/>
        <v>1.4022137404580153</v>
      </c>
      <c r="Q2170" s="2">
        <f t="shared" si="201"/>
        <v>15.307499999999999</v>
      </c>
      <c r="R2170" s="2">
        <f t="shared" si="202"/>
        <v>26.241428571428571</v>
      </c>
      <c r="S2170" s="2">
        <f t="shared" si="203"/>
        <v>8.4653492296804398</v>
      </c>
    </row>
    <row r="2171" spans="1:19" hidden="1">
      <c r="A2171" t="s">
        <v>2224</v>
      </c>
      <c r="B2171" t="s">
        <v>30</v>
      </c>
      <c r="C2171">
        <v>116</v>
      </c>
      <c r="D2171">
        <v>4250</v>
      </c>
      <c r="E2171" s="2">
        <v>186.34</v>
      </c>
      <c r="F2171">
        <v>12</v>
      </c>
      <c r="G2171">
        <v>3</v>
      </c>
      <c r="H2171">
        <v>2.5999999999999999E-2</v>
      </c>
      <c r="I2171" s="3">
        <v>1043</v>
      </c>
      <c r="J2171" s="1">
        <v>45626</v>
      </c>
      <c r="K2171" t="s">
        <v>31</v>
      </c>
      <c r="L2171" t="s">
        <v>7</v>
      </c>
      <c r="M2171" t="s">
        <v>46</v>
      </c>
      <c r="N2171" s="1">
        <f t="shared" si="198"/>
        <v>45626</v>
      </c>
      <c r="O2171" s="4">
        <f t="shared" si="199"/>
        <v>2.7294117647058823E-2</v>
      </c>
      <c r="P2171">
        <f t="shared" si="200"/>
        <v>1.6063793103448276</v>
      </c>
      <c r="Q2171" s="2">
        <f t="shared" si="201"/>
        <v>15.528333333333334</v>
      </c>
      <c r="R2171" s="2">
        <f t="shared" si="202"/>
        <v>62.113333333333337</v>
      </c>
      <c r="S2171" s="2">
        <f t="shared" si="203"/>
        <v>5.5972952667167544</v>
      </c>
    </row>
    <row r="2172" spans="1:19" hidden="1">
      <c r="A2172" t="s">
        <v>2225</v>
      </c>
      <c r="B2172" t="s">
        <v>30</v>
      </c>
      <c r="C2172">
        <v>80</v>
      </c>
      <c r="D2172">
        <v>5648</v>
      </c>
      <c r="E2172" s="2">
        <v>239.26</v>
      </c>
      <c r="F2172">
        <v>10</v>
      </c>
      <c r="G2172">
        <v>6</v>
      </c>
      <c r="H2172">
        <v>7.4999999999999997E-2</v>
      </c>
      <c r="I2172" s="3">
        <v>1005</v>
      </c>
      <c r="J2172" s="1">
        <v>45616</v>
      </c>
      <c r="K2172" t="s">
        <v>31</v>
      </c>
      <c r="L2172" t="s">
        <v>8</v>
      </c>
      <c r="M2172" t="s">
        <v>35</v>
      </c>
      <c r="N2172" s="1">
        <f t="shared" si="198"/>
        <v>45616</v>
      </c>
      <c r="O2172" s="4">
        <f t="shared" si="199"/>
        <v>1.4164305949008499E-2</v>
      </c>
      <c r="P2172">
        <f t="shared" si="200"/>
        <v>2.9907499999999998</v>
      </c>
      <c r="Q2172" s="2">
        <f t="shared" si="201"/>
        <v>23.925999999999998</v>
      </c>
      <c r="R2172" s="2">
        <f t="shared" si="202"/>
        <v>39.876666666666665</v>
      </c>
      <c r="S2172" s="2">
        <f t="shared" si="203"/>
        <v>4.2004513917913568</v>
      </c>
    </row>
    <row r="2173" spans="1:19" hidden="1">
      <c r="A2173" t="s">
        <v>2226</v>
      </c>
      <c r="B2173" t="s">
        <v>30</v>
      </c>
      <c r="C2173">
        <v>81</v>
      </c>
      <c r="D2173">
        <v>3394</v>
      </c>
      <c r="E2173" s="2">
        <v>187.24</v>
      </c>
      <c r="F2173">
        <v>12</v>
      </c>
      <c r="G2173">
        <v>6</v>
      </c>
      <c r="H2173">
        <v>7.3999999999999996E-2</v>
      </c>
      <c r="I2173" s="3">
        <v>1227</v>
      </c>
      <c r="J2173" s="1">
        <v>45637</v>
      </c>
      <c r="K2173" t="s">
        <v>31</v>
      </c>
      <c r="L2173" t="s">
        <v>9</v>
      </c>
      <c r="M2173" t="s">
        <v>35</v>
      </c>
      <c r="N2173" s="1">
        <f t="shared" si="198"/>
        <v>45637</v>
      </c>
      <c r="O2173" s="4">
        <f t="shared" si="199"/>
        <v>2.3865645256334708E-2</v>
      </c>
      <c r="P2173">
        <f t="shared" si="200"/>
        <v>2.3116049382716048</v>
      </c>
      <c r="Q2173" s="2">
        <f t="shared" si="201"/>
        <v>15.603333333333333</v>
      </c>
      <c r="R2173" s="2">
        <f t="shared" si="202"/>
        <v>31.206666666666667</v>
      </c>
      <c r="S2173" s="2">
        <f t="shared" si="203"/>
        <v>6.5530869472334965</v>
      </c>
    </row>
    <row r="2174" spans="1:19" hidden="1">
      <c r="A2174" t="s">
        <v>2227</v>
      </c>
      <c r="B2174" t="s">
        <v>30</v>
      </c>
      <c r="C2174">
        <v>189</v>
      </c>
      <c r="D2174">
        <v>5117</v>
      </c>
      <c r="E2174" s="2">
        <v>197.9</v>
      </c>
      <c r="F2174">
        <v>20</v>
      </c>
      <c r="G2174">
        <v>8</v>
      </c>
      <c r="H2174">
        <v>4.2000000000000003E-2</v>
      </c>
      <c r="I2174" s="3">
        <v>1710</v>
      </c>
      <c r="J2174" s="1" t="s">
        <v>357</v>
      </c>
      <c r="K2174" t="s">
        <v>31</v>
      </c>
      <c r="L2174" t="s">
        <v>8</v>
      </c>
      <c r="M2174" t="s">
        <v>46</v>
      </c>
      <c r="N2174" s="1">
        <f t="shared" si="198"/>
        <v>45624</v>
      </c>
      <c r="O2174" s="4">
        <f t="shared" si="199"/>
        <v>3.6935704514363885E-2</v>
      </c>
      <c r="P2174">
        <f t="shared" si="200"/>
        <v>1.0470899470899471</v>
      </c>
      <c r="Q2174" s="2">
        <f t="shared" si="201"/>
        <v>9.8949999999999996</v>
      </c>
      <c r="R2174" s="2">
        <f t="shared" si="202"/>
        <v>24.737500000000001</v>
      </c>
      <c r="S2174" s="2">
        <f t="shared" si="203"/>
        <v>8.6407276402223339</v>
      </c>
    </row>
    <row r="2175" spans="1:19">
      <c r="A2175" t="s">
        <v>2228</v>
      </c>
      <c r="B2175" t="s">
        <v>30</v>
      </c>
      <c r="C2175">
        <v>128</v>
      </c>
      <c r="D2175">
        <v>3861</v>
      </c>
      <c r="E2175" s="2">
        <v>232.11</v>
      </c>
      <c r="F2175">
        <v>30</v>
      </c>
      <c r="G2175">
        <v>10</v>
      </c>
      <c r="H2175">
        <v>4.5999999999999999E-2</v>
      </c>
      <c r="I2175" s="3">
        <v>1636</v>
      </c>
      <c r="J2175" s="1" t="s">
        <v>105</v>
      </c>
      <c r="K2175" t="s">
        <v>31</v>
      </c>
      <c r="L2175" t="s">
        <v>9</v>
      </c>
      <c r="M2175" t="s">
        <v>35</v>
      </c>
      <c r="N2175" s="1">
        <f t="shared" si="198"/>
        <v>45614</v>
      </c>
      <c r="O2175" s="4">
        <f t="shared" si="199"/>
        <v>3.3152033152033154E-2</v>
      </c>
      <c r="P2175">
        <f t="shared" si="200"/>
        <v>1.8133593750000001</v>
      </c>
      <c r="Q2175" s="2">
        <f t="shared" si="201"/>
        <v>7.7370000000000001</v>
      </c>
      <c r="R2175" s="2">
        <f t="shared" si="202"/>
        <v>23.211000000000002</v>
      </c>
      <c r="S2175" s="2">
        <f t="shared" si="203"/>
        <v>7.0483822325621466</v>
      </c>
    </row>
    <row r="2176" spans="1:19" hidden="1">
      <c r="A2176" t="s">
        <v>2229</v>
      </c>
      <c r="B2176" t="s">
        <v>30</v>
      </c>
      <c r="C2176">
        <v>182</v>
      </c>
      <c r="D2176">
        <v>3303</v>
      </c>
      <c r="E2176" s="2">
        <v>238.4</v>
      </c>
      <c r="F2176">
        <v>17</v>
      </c>
      <c r="G2176">
        <v>4</v>
      </c>
      <c r="H2176">
        <v>2.1999999999999999E-2</v>
      </c>
      <c r="I2176" s="3">
        <v>1695</v>
      </c>
      <c r="J2176" s="1">
        <v>45601</v>
      </c>
      <c r="K2176" t="s">
        <v>31</v>
      </c>
      <c r="L2176" t="s">
        <v>7</v>
      </c>
      <c r="M2176" t="s">
        <v>37</v>
      </c>
      <c r="N2176" s="1">
        <f t="shared" si="198"/>
        <v>45601</v>
      </c>
      <c r="O2176" s="4">
        <f t="shared" si="199"/>
        <v>5.510142294883439E-2</v>
      </c>
      <c r="P2176">
        <f t="shared" si="200"/>
        <v>1.3098901098901099</v>
      </c>
      <c r="Q2176" s="2">
        <f t="shared" si="201"/>
        <v>14.023529411764706</v>
      </c>
      <c r="R2176" s="2">
        <f t="shared" si="202"/>
        <v>59.6</v>
      </c>
      <c r="S2176" s="2">
        <f t="shared" si="203"/>
        <v>7.1098993288590604</v>
      </c>
    </row>
    <row r="2177" spans="1:19" hidden="1">
      <c r="A2177" t="s">
        <v>2230</v>
      </c>
      <c r="B2177" t="s">
        <v>30</v>
      </c>
      <c r="C2177">
        <v>124</v>
      </c>
      <c r="D2177">
        <v>4192</v>
      </c>
      <c r="E2177" s="2">
        <v>184.42</v>
      </c>
      <c r="F2177">
        <v>12</v>
      </c>
      <c r="G2177">
        <v>6</v>
      </c>
      <c r="H2177">
        <v>4.8000000000000001E-2</v>
      </c>
      <c r="I2177" s="3">
        <v>1505</v>
      </c>
      <c r="J2177" s="1">
        <v>45423</v>
      </c>
      <c r="K2177" t="s">
        <v>31</v>
      </c>
      <c r="L2177" t="s">
        <v>9</v>
      </c>
      <c r="M2177" t="s">
        <v>35</v>
      </c>
      <c r="N2177" s="1">
        <f t="shared" si="198"/>
        <v>45423</v>
      </c>
      <c r="O2177" s="4">
        <f t="shared" si="199"/>
        <v>2.9580152671755726E-2</v>
      </c>
      <c r="P2177">
        <f t="shared" si="200"/>
        <v>1.4872580645161289</v>
      </c>
      <c r="Q2177" s="2">
        <f t="shared" si="201"/>
        <v>15.368333333333332</v>
      </c>
      <c r="R2177" s="2">
        <f t="shared" si="202"/>
        <v>30.736666666666665</v>
      </c>
      <c r="S2177" s="2">
        <f t="shared" si="203"/>
        <v>8.1607200954343355</v>
      </c>
    </row>
    <row r="2178" spans="1:19" hidden="1">
      <c r="A2178" t="s">
        <v>2231</v>
      </c>
      <c r="B2178" t="s">
        <v>30</v>
      </c>
      <c r="C2178">
        <v>137</v>
      </c>
      <c r="D2178">
        <v>3720</v>
      </c>
      <c r="E2178" s="2">
        <v>237.22</v>
      </c>
      <c r="F2178">
        <v>24</v>
      </c>
      <c r="G2178">
        <v>5</v>
      </c>
      <c r="H2178">
        <v>3.5999999999999997E-2</v>
      </c>
      <c r="I2178" s="3">
        <v>1811</v>
      </c>
      <c r="J2178" s="1">
        <v>45576</v>
      </c>
      <c r="K2178" t="s">
        <v>31</v>
      </c>
      <c r="L2178" t="s">
        <v>8</v>
      </c>
      <c r="M2178" t="s">
        <v>41</v>
      </c>
      <c r="N2178" s="1">
        <f t="shared" ref="N2178:N2241" si="204">IF(A2178="","",IF(ISNUMBER(J2178),J2178,IF(MID(J2178,5,1)="-",DATE(LEFT(J2178,4),MID(J2178,6,2),RIGHT(J2178,2)),IF(MID(J2178,5,1)="/",DATE(LEFT(J2178,4),MID(J2178,6,2),RIGHT(J2178,2)),DATE(RIGHT(J2178,4),MID(J2178,4,2),LEFT(J2178,2))))))</f>
        <v>45576</v>
      </c>
      <c r="O2178" s="4">
        <f t="shared" ref="O2178:O2241" si="205">IFERROR(C2178/D2178,0)</f>
        <v>3.6827956989247311E-2</v>
      </c>
      <c r="P2178">
        <f t="shared" ref="P2178:P2241" si="206">IFERROR(E2178/C2178,0)</f>
        <v>1.7315328467153284</v>
      </c>
      <c r="Q2178" s="2">
        <f t="shared" ref="Q2178:Q2241" si="207">IFERROR(E2178/F2178,0)</f>
        <v>9.8841666666666672</v>
      </c>
      <c r="R2178" s="2">
        <f t="shared" ref="R2178:R2241" si="208">IFERROR(E2178/G2178,0)</f>
        <v>47.444000000000003</v>
      </c>
      <c r="S2178" s="2">
        <f t="shared" ref="S2178:S2241" si="209">IFERROR(I2178/E2178,0)</f>
        <v>7.6342635528201672</v>
      </c>
    </row>
    <row r="2179" spans="1:19" hidden="1">
      <c r="A2179" t="s">
        <v>2232</v>
      </c>
      <c r="B2179" t="s">
        <v>30</v>
      </c>
      <c r="C2179">
        <v>106</v>
      </c>
      <c r="D2179">
        <v>5789</v>
      </c>
      <c r="E2179" s="2">
        <v>183.62</v>
      </c>
      <c r="F2179">
        <v>19</v>
      </c>
      <c r="G2179">
        <v>3</v>
      </c>
      <c r="H2179">
        <v>2.8000000000000001E-2</v>
      </c>
      <c r="I2179" s="3">
        <v>1838</v>
      </c>
      <c r="J2179" s="1">
        <v>45612</v>
      </c>
      <c r="K2179" t="s">
        <v>31</v>
      </c>
      <c r="L2179" t="s">
        <v>7</v>
      </c>
      <c r="M2179" t="s">
        <v>37</v>
      </c>
      <c r="N2179" s="1">
        <f t="shared" si="204"/>
        <v>45612</v>
      </c>
      <c r="O2179" s="4">
        <f t="shared" si="205"/>
        <v>1.8310589048194853E-2</v>
      </c>
      <c r="P2179">
        <f t="shared" si="206"/>
        <v>1.7322641509433963</v>
      </c>
      <c r="Q2179" s="2">
        <f t="shared" si="207"/>
        <v>9.6642105263157898</v>
      </c>
      <c r="R2179" s="2">
        <f t="shared" si="208"/>
        <v>61.206666666666671</v>
      </c>
      <c r="S2179" s="2">
        <f t="shared" si="209"/>
        <v>10.009802853719638</v>
      </c>
    </row>
    <row r="2180" spans="1:19" hidden="1">
      <c r="A2180" t="s">
        <v>2233</v>
      </c>
      <c r="B2180" t="s">
        <v>30</v>
      </c>
      <c r="C2180">
        <v>102</v>
      </c>
      <c r="D2180">
        <v>5113</v>
      </c>
      <c r="E2180" s="2">
        <v>206.65</v>
      </c>
      <c r="F2180">
        <v>27</v>
      </c>
      <c r="G2180">
        <v>6</v>
      </c>
      <c r="H2180">
        <v>5.8999999999999997E-2</v>
      </c>
      <c r="I2180" s="3">
        <v>1466</v>
      </c>
      <c r="J2180" s="1">
        <v>45615</v>
      </c>
      <c r="K2180" t="s">
        <v>31</v>
      </c>
      <c r="L2180" t="s">
        <v>8</v>
      </c>
      <c r="M2180" t="s">
        <v>35</v>
      </c>
      <c r="N2180" s="1">
        <f t="shared" si="204"/>
        <v>45615</v>
      </c>
      <c r="O2180" s="4">
        <f t="shared" si="205"/>
        <v>1.9949149227459419E-2</v>
      </c>
      <c r="P2180">
        <f t="shared" si="206"/>
        <v>2.0259803921568627</v>
      </c>
      <c r="Q2180" s="2">
        <f t="shared" si="207"/>
        <v>7.6537037037037043</v>
      </c>
      <c r="R2180" s="2">
        <f t="shared" si="208"/>
        <v>34.44166666666667</v>
      </c>
      <c r="S2180" s="2">
        <f t="shared" si="209"/>
        <v>7.0941204935881927</v>
      </c>
    </row>
    <row r="2181" spans="1:19" hidden="1">
      <c r="A2181" t="s">
        <v>2234</v>
      </c>
      <c r="B2181" t="s">
        <v>30</v>
      </c>
      <c r="C2181">
        <v>155</v>
      </c>
      <c r="D2181">
        <v>3234</v>
      </c>
      <c r="E2181" s="2">
        <v>204.47</v>
      </c>
      <c r="F2181">
        <v>12</v>
      </c>
      <c r="G2181">
        <v>4</v>
      </c>
      <c r="H2181">
        <v>2.5999999999999999E-2</v>
      </c>
      <c r="I2181" s="3">
        <v>1401</v>
      </c>
      <c r="J2181" s="1">
        <v>45612</v>
      </c>
      <c r="K2181" t="s">
        <v>31</v>
      </c>
      <c r="L2181" t="s">
        <v>7</v>
      </c>
      <c r="M2181" t="s">
        <v>32</v>
      </c>
      <c r="N2181" s="1">
        <f t="shared" si="204"/>
        <v>45612</v>
      </c>
      <c r="O2181" s="4">
        <f t="shared" si="205"/>
        <v>4.7928262213976502E-2</v>
      </c>
      <c r="P2181">
        <f t="shared" si="206"/>
        <v>1.3191612903225807</v>
      </c>
      <c r="Q2181" s="2">
        <f t="shared" si="207"/>
        <v>17.039166666666667</v>
      </c>
      <c r="R2181" s="2">
        <f t="shared" si="208"/>
        <v>51.1175</v>
      </c>
      <c r="S2181" s="2">
        <f t="shared" si="209"/>
        <v>6.8518609086907611</v>
      </c>
    </row>
    <row r="2182" spans="1:19" hidden="1">
      <c r="A2182" t="s">
        <v>2235</v>
      </c>
      <c r="B2182" t="s">
        <v>30</v>
      </c>
      <c r="C2182">
        <v>85</v>
      </c>
      <c r="D2182">
        <v>3088</v>
      </c>
      <c r="E2182" s="2">
        <v>234.24</v>
      </c>
      <c r="F2182">
        <v>24</v>
      </c>
      <c r="G2182">
        <v>4</v>
      </c>
      <c r="H2182">
        <v>4.7E-2</v>
      </c>
      <c r="I2182" s="3">
        <v>1210</v>
      </c>
      <c r="J2182" s="1">
        <v>45603</v>
      </c>
      <c r="K2182" t="s">
        <v>31</v>
      </c>
      <c r="L2182" t="s">
        <v>9</v>
      </c>
      <c r="M2182" t="s">
        <v>46</v>
      </c>
      <c r="N2182" s="1">
        <f t="shared" si="204"/>
        <v>45603</v>
      </c>
      <c r="O2182" s="4">
        <f t="shared" si="205"/>
        <v>2.7525906735751296E-2</v>
      </c>
      <c r="P2182">
        <f t="shared" si="206"/>
        <v>2.7557647058823531</v>
      </c>
      <c r="Q2182" s="2">
        <f t="shared" si="207"/>
        <v>9.76</v>
      </c>
      <c r="R2182" s="2">
        <f t="shared" si="208"/>
        <v>58.56</v>
      </c>
      <c r="S2182" s="2">
        <f t="shared" si="209"/>
        <v>5.1656420765027322</v>
      </c>
    </row>
    <row r="2183" spans="1:19">
      <c r="A2183" t="s">
        <v>2236</v>
      </c>
      <c r="B2183" t="s">
        <v>30</v>
      </c>
      <c r="C2183">
        <v>126</v>
      </c>
      <c r="D2183">
        <v>5114</v>
      </c>
      <c r="E2183" s="2">
        <v>233.27</v>
      </c>
      <c r="F2183">
        <v>30</v>
      </c>
      <c r="G2183">
        <v>5</v>
      </c>
      <c r="H2183">
        <v>4.5999999999999999E-2</v>
      </c>
      <c r="I2183" s="3">
        <v>1197</v>
      </c>
      <c r="J2183" s="1" t="s">
        <v>89</v>
      </c>
      <c r="K2183" t="s">
        <v>31</v>
      </c>
      <c r="L2183" t="s">
        <v>9</v>
      </c>
      <c r="M2183" t="s">
        <v>37</v>
      </c>
      <c r="N2183" s="1">
        <f t="shared" si="204"/>
        <v>45611</v>
      </c>
      <c r="O2183" s="4">
        <f t="shared" si="205"/>
        <v>2.4638247946812672E-2</v>
      </c>
      <c r="P2183">
        <f t="shared" si="206"/>
        <v>1.8513492063492065</v>
      </c>
      <c r="Q2183" s="2">
        <f t="shared" si="207"/>
        <v>7.7756666666666669</v>
      </c>
      <c r="R2183" s="2">
        <f t="shared" si="208"/>
        <v>46.654000000000003</v>
      </c>
      <c r="S2183" s="2">
        <f t="shared" si="209"/>
        <v>5.1313928066189396</v>
      </c>
    </row>
    <row r="2184" spans="1:19" hidden="1">
      <c r="A2184" t="s">
        <v>2237</v>
      </c>
      <c r="B2184" t="s">
        <v>30</v>
      </c>
      <c r="C2184">
        <v>96</v>
      </c>
      <c r="D2184">
        <v>5070</v>
      </c>
      <c r="E2184" s="2">
        <v>210.63</v>
      </c>
      <c r="F2184">
        <v>27</v>
      </c>
      <c r="G2184">
        <v>10</v>
      </c>
      <c r="H2184">
        <v>0.104</v>
      </c>
      <c r="I2184" s="3">
        <v>1653</v>
      </c>
      <c r="J2184" s="1">
        <v>45614</v>
      </c>
      <c r="K2184" t="s">
        <v>31</v>
      </c>
      <c r="L2184" t="s">
        <v>9</v>
      </c>
      <c r="M2184" t="s">
        <v>41</v>
      </c>
      <c r="N2184" s="1">
        <f t="shared" si="204"/>
        <v>45614</v>
      </c>
      <c r="O2184" s="4">
        <f t="shared" si="205"/>
        <v>1.8934911242603551E-2</v>
      </c>
      <c r="P2184">
        <f t="shared" si="206"/>
        <v>2.1940624999999998</v>
      </c>
      <c r="Q2184" s="2">
        <f t="shared" si="207"/>
        <v>7.8011111111111111</v>
      </c>
      <c r="R2184" s="2">
        <f t="shared" si="208"/>
        <v>21.062999999999999</v>
      </c>
      <c r="S2184" s="2">
        <f t="shared" si="209"/>
        <v>7.8478849166785363</v>
      </c>
    </row>
    <row r="2185" spans="1:19" hidden="1">
      <c r="A2185" t="s">
        <v>2238</v>
      </c>
      <c r="B2185" t="s">
        <v>30</v>
      </c>
      <c r="C2185">
        <v>128</v>
      </c>
      <c r="D2185">
        <v>4445</v>
      </c>
      <c r="E2185" s="2">
        <v>200.52</v>
      </c>
      <c r="F2185">
        <v>14</v>
      </c>
      <c r="G2185">
        <v>4</v>
      </c>
      <c r="H2185">
        <v>3.1E-2</v>
      </c>
      <c r="I2185" s="3">
        <v>1861</v>
      </c>
      <c r="J2185" s="1">
        <v>45601</v>
      </c>
      <c r="K2185" t="s">
        <v>31</v>
      </c>
      <c r="L2185" t="s">
        <v>9</v>
      </c>
      <c r="M2185" t="s">
        <v>32</v>
      </c>
      <c r="N2185" s="1">
        <f t="shared" si="204"/>
        <v>45601</v>
      </c>
      <c r="O2185" s="4">
        <f t="shared" si="205"/>
        <v>2.8796400449943756E-2</v>
      </c>
      <c r="P2185">
        <f t="shared" si="206"/>
        <v>1.5665625000000001</v>
      </c>
      <c r="Q2185" s="2">
        <f t="shared" si="207"/>
        <v>14.322857142857144</v>
      </c>
      <c r="R2185" s="2">
        <f t="shared" si="208"/>
        <v>50.13</v>
      </c>
      <c r="S2185" s="2">
        <f t="shared" si="209"/>
        <v>9.2808697386794332</v>
      </c>
    </row>
    <row r="2186" spans="1:19" hidden="1">
      <c r="A2186" t="s">
        <v>2239</v>
      </c>
      <c r="B2186" t="s">
        <v>30</v>
      </c>
      <c r="C2186">
        <v>151</v>
      </c>
      <c r="D2186">
        <v>3656</v>
      </c>
      <c r="E2186" s="2">
        <v>199.96</v>
      </c>
      <c r="F2186">
        <v>26</v>
      </c>
      <c r="G2186">
        <v>7</v>
      </c>
      <c r="H2186">
        <v>5.0999999999999997E-2</v>
      </c>
      <c r="I2186" s="3">
        <v>1566</v>
      </c>
      <c r="J2186" s="1">
        <v>45613</v>
      </c>
      <c r="K2186" t="s">
        <v>31</v>
      </c>
      <c r="L2186" t="s">
        <v>7</v>
      </c>
      <c r="M2186" t="s">
        <v>41</v>
      </c>
      <c r="N2186" s="1">
        <f t="shared" si="204"/>
        <v>45613</v>
      </c>
      <c r="O2186" s="4">
        <f t="shared" si="205"/>
        <v>4.1301969365426697E-2</v>
      </c>
      <c r="P2186">
        <f t="shared" si="206"/>
        <v>1.3242384105960265</v>
      </c>
      <c r="Q2186" s="2">
        <f t="shared" si="207"/>
        <v>7.6907692307692308</v>
      </c>
      <c r="R2186" s="2">
        <f t="shared" si="208"/>
        <v>28.565714285714286</v>
      </c>
      <c r="S2186" s="2">
        <f t="shared" si="209"/>
        <v>7.8315663132626518</v>
      </c>
    </row>
    <row r="2187" spans="1:19" hidden="1">
      <c r="A2187" t="s">
        <v>2240</v>
      </c>
      <c r="B2187" t="s">
        <v>30</v>
      </c>
      <c r="C2187">
        <v>95</v>
      </c>
      <c r="D2187">
        <v>3583</v>
      </c>
      <c r="E2187" s="2">
        <v>223.37</v>
      </c>
      <c r="F2187">
        <v>22</v>
      </c>
      <c r="G2187">
        <v>9</v>
      </c>
      <c r="H2187">
        <v>3.3000000000000002E-2</v>
      </c>
      <c r="I2187" s="3">
        <v>1821</v>
      </c>
      <c r="J2187" s="1" t="s">
        <v>86</v>
      </c>
      <c r="K2187" t="s">
        <v>31</v>
      </c>
      <c r="L2187" t="s">
        <v>7</v>
      </c>
      <c r="M2187" t="s">
        <v>41</v>
      </c>
      <c r="N2187" s="1">
        <f t="shared" si="204"/>
        <v>45625</v>
      </c>
      <c r="O2187" s="4">
        <f t="shared" si="205"/>
        <v>2.6514094334356683E-2</v>
      </c>
      <c r="P2187">
        <f t="shared" si="206"/>
        <v>2.3512631578947367</v>
      </c>
      <c r="Q2187" s="2">
        <f t="shared" si="207"/>
        <v>10.153181818181819</v>
      </c>
      <c r="R2187" s="2">
        <f t="shared" si="208"/>
        <v>24.818888888888889</v>
      </c>
      <c r="S2187" s="2">
        <f t="shared" si="209"/>
        <v>8.1523928907194332</v>
      </c>
    </row>
    <row r="2188" spans="1:19" hidden="1">
      <c r="A2188" t="s">
        <v>2241</v>
      </c>
      <c r="B2188" t="s">
        <v>30</v>
      </c>
      <c r="C2188">
        <v>193</v>
      </c>
      <c r="D2188">
        <v>4790</v>
      </c>
      <c r="E2188" s="2">
        <v>247.69</v>
      </c>
      <c r="F2188">
        <v>23</v>
      </c>
      <c r="G2188">
        <v>5</v>
      </c>
      <c r="H2188">
        <v>2.5999999999999999E-2</v>
      </c>
      <c r="I2188" s="3">
        <v>1687</v>
      </c>
      <c r="J2188" s="1" t="s">
        <v>167</v>
      </c>
      <c r="K2188" t="s">
        <v>31</v>
      </c>
      <c r="L2188" t="s">
        <v>8</v>
      </c>
      <c r="M2188" t="s">
        <v>37</v>
      </c>
      <c r="N2188" s="1">
        <f t="shared" si="204"/>
        <v>45620</v>
      </c>
      <c r="O2188" s="4">
        <f t="shared" si="205"/>
        <v>4.0292275574112732E-2</v>
      </c>
      <c r="P2188">
        <f t="shared" si="206"/>
        <v>1.2833678756476683</v>
      </c>
      <c r="Q2188" s="2">
        <f t="shared" si="207"/>
        <v>10.769130434782609</v>
      </c>
      <c r="R2188" s="2">
        <f t="shared" si="208"/>
        <v>49.537999999999997</v>
      </c>
      <c r="S2188" s="2">
        <f t="shared" si="209"/>
        <v>6.8109330211151038</v>
      </c>
    </row>
    <row r="2189" spans="1:19" hidden="1">
      <c r="A2189" t="s">
        <v>2242</v>
      </c>
      <c r="B2189" t="s">
        <v>30</v>
      </c>
      <c r="C2189">
        <v>90</v>
      </c>
      <c r="D2189">
        <v>3235</v>
      </c>
      <c r="E2189" s="2">
        <v>211.4</v>
      </c>
      <c r="F2189">
        <v>29</v>
      </c>
      <c r="G2189">
        <v>10</v>
      </c>
      <c r="H2189">
        <v>0.111</v>
      </c>
      <c r="I2189" s="3">
        <v>1290</v>
      </c>
      <c r="J2189" s="1">
        <v>45615</v>
      </c>
      <c r="K2189" t="s">
        <v>31</v>
      </c>
      <c r="L2189" t="s">
        <v>9</v>
      </c>
      <c r="M2189" t="s">
        <v>46</v>
      </c>
      <c r="N2189" s="1">
        <f t="shared" si="204"/>
        <v>45615</v>
      </c>
      <c r="O2189" s="4">
        <f t="shared" si="205"/>
        <v>2.7820710973724884E-2</v>
      </c>
      <c r="P2189">
        <f t="shared" si="206"/>
        <v>2.3488888888888888</v>
      </c>
      <c r="Q2189" s="2">
        <f t="shared" si="207"/>
        <v>7.2896551724137932</v>
      </c>
      <c r="R2189" s="2">
        <f t="shared" si="208"/>
        <v>21.14</v>
      </c>
      <c r="S2189" s="2">
        <f t="shared" si="209"/>
        <v>6.1021759697256384</v>
      </c>
    </row>
    <row r="2190" spans="1:19" hidden="1">
      <c r="A2190" t="s">
        <v>2243</v>
      </c>
      <c r="B2190" t="s">
        <v>30</v>
      </c>
      <c r="C2190">
        <v>175</v>
      </c>
      <c r="D2190">
        <v>3832</v>
      </c>
      <c r="E2190" s="2">
        <v>245.61</v>
      </c>
      <c r="F2190">
        <v>27</v>
      </c>
      <c r="G2190">
        <v>5</v>
      </c>
      <c r="H2190">
        <v>2.9000000000000001E-2</v>
      </c>
      <c r="I2190" s="3">
        <v>1388</v>
      </c>
      <c r="J2190" s="1">
        <v>45622</v>
      </c>
      <c r="K2190" t="s">
        <v>31</v>
      </c>
      <c r="L2190" t="s">
        <v>7</v>
      </c>
      <c r="M2190" t="s">
        <v>37</v>
      </c>
      <c r="N2190" s="1">
        <f t="shared" si="204"/>
        <v>45622</v>
      </c>
      <c r="O2190" s="4">
        <f t="shared" si="205"/>
        <v>4.5668058455114825E-2</v>
      </c>
      <c r="P2190">
        <f t="shared" si="206"/>
        <v>1.4034857142857144</v>
      </c>
      <c r="Q2190" s="2">
        <f t="shared" si="207"/>
        <v>9.0966666666666676</v>
      </c>
      <c r="R2190" s="2">
        <f t="shared" si="208"/>
        <v>49.122</v>
      </c>
      <c r="S2190" s="2">
        <f t="shared" si="209"/>
        <v>5.6512356988721955</v>
      </c>
    </row>
    <row r="2191" spans="1:19" hidden="1">
      <c r="A2191" t="s">
        <v>2244</v>
      </c>
      <c r="B2191" t="s">
        <v>30</v>
      </c>
      <c r="C2191">
        <v>153</v>
      </c>
      <c r="D2191">
        <v>4261</v>
      </c>
      <c r="E2191" s="2">
        <v>230.25</v>
      </c>
      <c r="F2191">
        <v>27</v>
      </c>
      <c r="G2191">
        <v>7</v>
      </c>
      <c r="H2191">
        <v>4.5999999999999999E-2</v>
      </c>
      <c r="I2191" s="3">
        <v>1027</v>
      </c>
      <c r="J2191" s="1">
        <v>45601</v>
      </c>
      <c r="K2191" t="s">
        <v>31</v>
      </c>
      <c r="L2191" t="s">
        <v>7</v>
      </c>
      <c r="M2191" t="s">
        <v>46</v>
      </c>
      <c r="N2191" s="1">
        <f t="shared" si="204"/>
        <v>45601</v>
      </c>
      <c r="O2191" s="4">
        <f t="shared" si="205"/>
        <v>3.5907064069467261E-2</v>
      </c>
      <c r="P2191">
        <f t="shared" si="206"/>
        <v>1.5049019607843137</v>
      </c>
      <c r="Q2191" s="2">
        <f t="shared" si="207"/>
        <v>8.5277777777777786</v>
      </c>
      <c r="R2191" s="2">
        <f t="shared" si="208"/>
        <v>32.892857142857146</v>
      </c>
      <c r="S2191" s="2">
        <f t="shared" si="209"/>
        <v>4.460369163952226</v>
      </c>
    </row>
    <row r="2192" spans="1:19">
      <c r="A2192" t="s">
        <v>2245</v>
      </c>
      <c r="B2192" t="s">
        <v>30</v>
      </c>
      <c r="C2192">
        <v>103</v>
      </c>
      <c r="D2192">
        <v>4796</v>
      </c>
      <c r="E2192" s="2">
        <v>180.64</v>
      </c>
      <c r="F2192">
        <v>26</v>
      </c>
      <c r="G2192">
        <v>7</v>
      </c>
      <c r="H2192">
        <v>4.5999999999999999E-2</v>
      </c>
      <c r="I2192" s="3">
        <v>1102</v>
      </c>
      <c r="J2192" s="1">
        <v>45599</v>
      </c>
      <c r="K2192" t="s">
        <v>31</v>
      </c>
      <c r="L2192" t="s">
        <v>8</v>
      </c>
      <c r="M2192" t="s">
        <v>39</v>
      </c>
      <c r="N2192" s="1">
        <f t="shared" si="204"/>
        <v>45599</v>
      </c>
      <c r="O2192" s="4">
        <f t="shared" si="205"/>
        <v>2.1476230191826522E-2</v>
      </c>
      <c r="P2192">
        <f t="shared" si="206"/>
        <v>1.7537864077669902</v>
      </c>
      <c r="Q2192" s="2">
        <f t="shared" si="207"/>
        <v>6.9476923076923072</v>
      </c>
      <c r="R2192" s="2">
        <f t="shared" si="208"/>
        <v>25.805714285714284</v>
      </c>
      <c r="S2192" s="2">
        <f t="shared" si="209"/>
        <v>6.1005314437555365</v>
      </c>
    </row>
    <row r="2193" spans="1:19" hidden="1">
      <c r="A2193" t="s">
        <v>2246</v>
      </c>
      <c r="B2193" t="s">
        <v>30</v>
      </c>
      <c r="C2193">
        <v>102</v>
      </c>
      <c r="D2193">
        <v>5229</v>
      </c>
      <c r="E2193" s="2">
        <v>208.55</v>
      </c>
      <c r="F2193">
        <v>30</v>
      </c>
      <c r="G2193">
        <v>5</v>
      </c>
      <c r="H2193">
        <v>4.9000000000000002E-2</v>
      </c>
      <c r="I2193" s="3">
        <v>1065</v>
      </c>
      <c r="J2193" s="1">
        <v>45611</v>
      </c>
      <c r="K2193" t="s">
        <v>31</v>
      </c>
      <c r="L2193" t="s">
        <v>8</v>
      </c>
      <c r="M2193" t="s">
        <v>46</v>
      </c>
      <c r="N2193" s="1">
        <f t="shared" si="204"/>
        <v>45611</v>
      </c>
      <c r="O2193" s="4">
        <f t="shared" si="205"/>
        <v>1.9506597819850834E-2</v>
      </c>
      <c r="P2193">
        <f t="shared" si="206"/>
        <v>2.0446078431372552</v>
      </c>
      <c r="Q2193" s="2">
        <f t="shared" si="207"/>
        <v>6.9516666666666671</v>
      </c>
      <c r="R2193" s="2">
        <f t="shared" si="208"/>
        <v>41.71</v>
      </c>
      <c r="S2193" s="2">
        <f t="shared" si="209"/>
        <v>5.1066890433948693</v>
      </c>
    </row>
    <row r="2194" spans="1:19" hidden="1">
      <c r="A2194" t="s">
        <v>2247</v>
      </c>
      <c r="B2194" t="s">
        <v>30</v>
      </c>
      <c r="C2194">
        <v>199</v>
      </c>
      <c r="D2194">
        <v>3754</v>
      </c>
      <c r="E2194" s="2">
        <v>220.16</v>
      </c>
      <c r="F2194">
        <v>26</v>
      </c>
      <c r="G2194">
        <v>7</v>
      </c>
      <c r="H2194">
        <v>4.4999999999999998E-2</v>
      </c>
      <c r="I2194" s="3">
        <v>1262</v>
      </c>
      <c r="J2194" s="1">
        <v>45616</v>
      </c>
      <c r="K2194" t="s">
        <v>31</v>
      </c>
      <c r="L2194" t="s">
        <v>9</v>
      </c>
      <c r="M2194" t="s">
        <v>35</v>
      </c>
      <c r="N2194" s="1">
        <f t="shared" si="204"/>
        <v>45616</v>
      </c>
      <c r="O2194" s="4">
        <f t="shared" si="205"/>
        <v>5.3010122535961643E-2</v>
      </c>
      <c r="P2194">
        <f t="shared" si="206"/>
        <v>1.1063316582914573</v>
      </c>
      <c r="Q2194" s="2">
        <f t="shared" si="207"/>
        <v>8.4676923076923067</v>
      </c>
      <c r="R2194" s="2">
        <f t="shared" si="208"/>
        <v>31.451428571428572</v>
      </c>
      <c r="S2194" s="2">
        <f t="shared" si="209"/>
        <v>5.732194767441861</v>
      </c>
    </row>
    <row r="2195" spans="1:19">
      <c r="A2195" t="s">
        <v>2248</v>
      </c>
      <c r="B2195" t="s">
        <v>30</v>
      </c>
      <c r="C2195">
        <v>96</v>
      </c>
      <c r="D2195">
        <v>4851</v>
      </c>
      <c r="E2195" s="2">
        <v>229.12</v>
      </c>
      <c r="F2195">
        <v>27</v>
      </c>
      <c r="G2195">
        <v>6</v>
      </c>
      <c r="H2195">
        <v>4.5999999999999999E-2</v>
      </c>
      <c r="I2195" s="3">
        <v>1271</v>
      </c>
      <c r="J2195" s="1">
        <v>45599</v>
      </c>
      <c r="K2195" t="s">
        <v>31</v>
      </c>
      <c r="L2195" t="s">
        <v>9</v>
      </c>
      <c r="M2195" t="s">
        <v>39</v>
      </c>
      <c r="N2195" s="1">
        <f t="shared" si="204"/>
        <v>45599</v>
      </c>
      <c r="O2195" s="4">
        <f t="shared" si="205"/>
        <v>1.9789734075448363E-2</v>
      </c>
      <c r="P2195">
        <f t="shared" si="206"/>
        <v>2.3866666666666667</v>
      </c>
      <c r="Q2195" s="2">
        <f t="shared" si="207"/>
        <v>8.4859259259259261</v>
      </c>
      <c r="R2195" s="2">
        <f t="shared" si="208"/>
        <v>38.186666666666667</v>
      </c>
      <c r="S2195" s="2">
        <f t="shared" si="209"/>
        <v>5.5473114525139664</v>
      </c>
    </row>
    <row r="2196" spans="1:19">
      <c r="A2196" t="s">
        <v>2249</v>
      </c>
      <c r="B2196" t="s">
        <v>30</v>
      </c>
      <c r="C2196">
        <v>107</v>
      </c>
      <c r="D2196">
        <v>4816</v>
      </c>
      <c r="E2196" s="2">
        <v>243.41</v>
      </c>
      <c r="F2196">
        <v>20</v>
      </c>
      <c r="G2196">
        <v>5</v>
      </c>
      <c r="H2196">
        <v>4.5999999999999999E-2</v>
      </c>
      <c r="I2196" s="3">
        <v>1505</v>
      </c>
      <c r="J2196" s="1">
        <v>45621</v>
      </c>
      <c r="K2196" t="s">
        <v>31</v>
      </c>
      <c r="L2196" t="s">
        <v>9</v>
      </c>
      <c r="M2196" t="s">
        <v>35</v>
      </c>
      <c r="N2196" s="1">
        <f t="shared" si="204"/>
        <v>45621</v>
      </c>
      <c r="O2196" s="4">
        <f t="shared" si="205"/>
        <v>2.2217607973421927E-2</v>
      </c>
      <c r="P2196">
        <f t="shared" si="206"/>
        <v>2.2748598130841122</v>
      </c>
      <c r="Q2196" s="2">
        <f t="shared" si="207"/>
        <v>12.170500000000001</v>
      </c>
      <c r="R2196" s="2">
        <f t="shared" si="208"/>
        <v>48.682000000000002</v>
      </c>
      <c r="S2196" s="2">
        <f t="shared" si="209"/>
        <v>6.1829834435725735</v>
      </c>
    </row>
    <row r="2197" spans="1:19">
      <c r="A2197" t="s">
        <v>2250</v>
      </c>
      <c r="B2197" t="s">
        <v>30</v>
      </c>
      <c r="C2197">
        <v>170</v>
      </c>
      <c r="D2197">
        <v>5404</v>
      </c>
      <c r="E2197" s="2">
        <v>218.24</v>
      </c>
      <c r="F2197">
        <v>24</v>
      </c>
      <c r="G2197">
        <v>5</v>
      </c>
      <c r="H2197">
        <v>4.5999999999999999E-2</v>
      </c>
      <c r="I2197" s="3">
        <v>1818</v>
      </c>
      <c r="J2197" s="1" t="s">
        <v>86</v>
      </c>
      <c r="K2197" t="s">
        <v>31</v>
      </c>
      <c r="L2197" t="s">
        <v>7</v>
      </c>
      <c r="M2197" t="s">
        <v>37</v>
      </c>
      <c r="N2197" s="1">
        <f t="shared" si="204"/>
        <v>45625</v>
      </c>
      <c r="O2197" s="4">
        <f t="shared" si="205"/>
        <v>3.1458179126572908E-2</v>
      </c>
      <c r="P2197">
        <f t="shared" si="206"/>
        <v>1.2837647058823529</v>
      </c>
      <c r="Q2197" s="2">
        <f t="shared" si="207"/>
        <v>9.0933333333333337</v>
      </c>
      <c r="R2197" s="2">
        <f t="shared" si="208"/>
        <v>43.648000000000003</v>
      </c>
      <c r="S2197" s="2">
        <f t="shared" si="209"/>
        <v>8.3302785923753664</v>
      </c>
    </row>
    <row r="2198" spans="1:19">
      <c r="A2198" t="s">
        <v>2251</v>
      </c>
      <c r="B2198" t="s">
        <v>30</v>
      </c>
      <c r="C2198">
        <v>145</v>
      </c>
      <c r="D2198">
        <v>3068</v>
      </c>
      <c r="E2198" s="2">
        <v>237.7</v>
      </c>
      <c r="F2198">
        <v>24</v>
      </c>
      <c r="G2198">
        <v>7</v>
      </c>
      <c r="H2198">
        <v>4.5999999999999999E-2</v>
      </c>
      <c r="I2198" s="3">
        <v>1494</v>
      </c>
      <c r="J2198" s="1">
        <v>45615</v>
      </c>
      <c r="K2198" t="s">
        <v>31</v>
      </c>
      <c r="L2198" t="s">
        <v>8</v>
      </c>
      <c r="M2198" t="s">
        <v>35</v>
      </c>
      <c r="N2198" s="1">
        <f t="shared" si="204"/>
        <v>45615</v>
      </c>
      <c r="O2198" s="4">
        <f t="shared" si="205"/>
        <v>4.7262059973924381E-2</v>
      </c>
      <c r="P2198">
        <f t="shared" si="206"/>
        <v>1.6393103448275861</v>
      </c>
      <c r="Q2198" s="2">
        <f t="shared" si="207"/>
        <v>9.9041666666666668</v>
      </c>
      <c r="R2198" s="2">
        <f t="shared" si="208"/>
        <v>33.957142857142856</v>
      </c>
      <c r="S2198" s="2">
        <f t="shared" si="209"/>
        <v>6.2852334875893989</v>
      </c>
    </row>
    <row r="2199" spans="1:19">
      <c r="A2199" t="s">
        <v>2252</v>
      </c>
      <c r="B2199" t="s">
        <v>30</v>
      </c>
      <c r="C2199">
        <v>148</v>
      </c>
      <c r="D2199">
        <v>5877</v>
      </c>
      <c r="E2199" s="2">
        <v>213.84</v>
      </c>
      <c r="F2199">
        <v>25</v>
      </c>
      <c r="G2199">
        <v>8</v>
      </c>
      <c r="H2199">
        <v>4.5999999999999999E-2</v>
      </c>
      <c r="I2199" s="3">
        <v>1371</v>
      </c>
      <c r="J2199" s="1" t="s">
        <v>105</v>
      </c>
      <c r="K2199" t="s">
        <v>31</v>
      </c>
      <c r="L2199" t="s">
        <v>7</v>
      </c>
      <c r="M2199" t="s">
        <v>32</v>
      </c>
      <c r="N2199" s="1">
        <f t="shared" si="204"/>
        <v>45614</v>
      </c>
      <c r="O2199" s="4">
        <f t="shared" si="205"/>
        <v>2.5182916453973116E-2</v>
      </c>
      <c r="P2199">
        <f t="shared" si="206"/>
        <v>1.444864864864865</v>
      </c>
      <c r="Q2199" s="2">
        <f t="shared" si="207"/>
        <v>8.5535999999999994</v>
      </c>
      <c r="R2199" s="2">
        <f t="shared" si="208"/>
        <v>26.73</v>
      </c>
      <c r="S2199" s="2">
        <f t="shared" si="209"/>
        <v>6.4113355780022445</v>
      </c>
    </row>
    <row r="2200" spans="1:19">
      <c r="A2200" t="s">
        <v>2253</v>
      </c>
      <c r="B2200" t="s">
        <v>30</v>
      </c>
      <c r="C2200">
        <v>141</v>
      </c>
      <c r="D2200">
        <v>4188</v>
      </c>
      <c r="E2200" s="2">
        <v>228.12</v>
      </c>
      <c r="F2200">
        <v>16</v>
      </c>
      <c r="G2200">
        <v>9</v>
      </c>
      <c r="H2200">
        <v>4.5999999999999999E-2</v>
      </c>
      <c r="I2200" s="3">
        <v>1204</v>
      </c>
      <c r="J2200" s="1" t="s">
        <v>64</v>
      </c>
      <c r="K2200" t="s">
        <v>31</v>
      </c>
      <c r="L2200" t="s">
        <v>7</v>
      </c>
      <c r="M2200" t="s">
        <v>37</v>
      </c>
      <c r="N2200" s="1">
        <f t="shared" si="204"/>
        <v>45626</v>
      </c>
      <c r="O2200" s="4">
        <f t="shared" si="205"/>
        <v>3.36676217765043E-2</v>
      </c>
      <c r="P2200">
        <f t="shared" si="206"/>
        <v>1.617872340425532</v>
      </c>
      <c r="Q2200" s="2">
        <f t="shared" si="207"/>
        <v>14.2575</v>
      </c>
      <c r="R2200" s="2">
        <f t="shared" si="208"/>
        <v>25.346666666666668</v>
      </c>
      <c r="S2200" s="2">
        <f t="shared" si="209"/>
        <v>5.2779238997019116</v>
      </c>
    </row>
    <row r="2201" spans="1:19">
      <c r="A2201" t="s">
        <v>2254</v>
      </c>
      <c r="B2201" t="s">
        <v>30</v>
      </c>
      <c r="C2201">
        <v>89</v>
      </c>
      <c r="D2201">
        <v>5676</v>
      </c>
      <c r="E2201" s="2">
        <v>183.58</v>
      </c>
      <c r="F2201">
        <v>14</v>
      </c>
      <c r="G2201">
        <v>7</v>
      </c>
      <c r="H2201">
        <v>4.5999999999999999E-2</v>
      </c>
      <c r="I2201" s="3">
        <v>1254</v>
      </c>
      <c r="J2201" s="1">
        <v>45612</v>
      </c>
      <c r="K2201" t="s">
        <v>31</v>
      </c>
      <c r="L2201" t="s">
        <v>8</v>
      </c>
      <c r="M2201" t="s">
        <v>37</v>
      </c>
      <c r="N2201" s="1">
        <f t="shared" si="204"/>
        <v>45612</v>
      </c>
      <c r="O2201" s="4">
        <f t="shared" si="205"/>
        <v>1.5680056377730796E-2</v>
      </c>
      <c r="P2201">
        <f t="shared" si="206"/>
        <v>2.0626966292134834</v>
      </c>
      <c r="Q2201" s="2">
        <f t="shared" si="207"/>
        <v>13.112857142857143</v>
      </c>
      <c r="R2201" s="2">
        <f t="shared" si="208"/>
        <v>26.225714285714286</v>
      </c>
      <c r="S2201" s="2">
        <f t="shared" si="209"/>
        <v>6.8308094563677955</v>
      </c>
    </row>
    <row r="2202" spans="1:19" hidden="1">
      <c r="A2202" t="s">
        <v>2255</v>
      </c>
      <c r="B2202" t="s">
        <v>30</v>
      </c>
      <c r="C2202">
        <v>140</v>
      </c>
      <c r="D2202">
        <v>4677</v>
      </c>
      <c r="E2202" s="2">
        <v>223.74</v>
      </c>
      <c r="F2202">
        <v>20</v>
      </c>
      <c r="G2202">
        <v>9</v>
      </c>
      <c r="H2202">
        <v>6.4000000000000001E-2</v>
      </c>
      <c r="I2202" s="3">
        <v>1610</v>
      </c>
      <c r="J2202" s="1">
        <v>45600</v>
      </c>
      <c r="K2202" t="s">
        <v>31</v>
      </c>
      <c r="L2202" t="s">
        <v>8</v>
      </c>
      <c r="M2202" t="s">
        <v>32</v>
      </c>
      <c r="N2202" s="1">
        <f t="shared" si="204"/>
        <v>45600</v>
      </c>
      <c r="O2202" s="4">
        <f t="shared" si="205"/>
        <v>2.9933718195424418E-2</v>
      </c>
      <c r="P2202">
        <f t="shared" si="206"/>
        <v>1.5981428571428573</v>
      </c>
      <c r="Q2202" s="2">
        <f t="shared" si="207"/>
        <v>11.187000000000001</v>
      </c>
      <c r="R2202" s="2">
        <f t="shared" si="208"/>
        <v>24.86</v>
      </c>
      <c r="S2202" s="2">
        <f t="shared" si="209"/>
        <v>7.1958523285956915</v>
      </c>
    </row>
    <row r="2203" spans="1:19" hidden="1">
      <c r="A2203" t="s">
        <v>2256</v>
      </c>
      <c r="B2203" t="s">
        <v>30</v>
      </c>
      <c r="C2203">
        <v>135</v>
      </c>
      <c r="D2203">
        <v>3793</v>
      </c>
      <c r="E2203" s="2">
        <v>190.88</v>
      </c>
      <c r="F2203">
        <v>24</v>
      </c>
      <c r="G2203">
        <v>9</v>
      </c>
      <c r="H2203">
        <v>5.2999999999999999E-2</v>
      </c>
      <c r="I2203" s="3">
        <v>1505</v>
      </c>
      <c r="J2203" s="1">
        <v>45615</v>
      </c>
      <c r="K2203" t="s">
        <v>31</v>
      </c>
      <c r="L2203" t="s">
        <v>7</v>
      </c>
      <c r="M2203" t="s">
        <v>37</v>
      </c>
      <c r="N2203" s="1">
        <f t="shared" si="204"/>
        <v>45615</v>
      </c>
      <c r="O2203" s="4">
        <f t="shared" si="205"/>
        <v>3.5591879778539413E-2</v>
      </c>
      <c r="P2203">
        <f t="shared" si="206"/>
        <v>1.4139259259259258</v>
      </c>
      <c r="Q2203" s="2">
        <f t="shared" si="207"/>
        <v>7.9533333333333331</v>
      </c>
      <c r="R2203" s="2">
        <f t="shared" si="208"/>
        <v>21.20888888888889</v>
      </c>
      <c r="S2203" s="2">
        <f t="shared" si="209"/>
        <v>7.8845347862531439</v>
      </c>
    </row>
    <row r="2204" spans="1:19" hidden="1">
      <c r="A2204" t="s">
        <v>2257</v>
      </c>
      <c r="B2204" t="s">
        <v>30</v>
      </c>
      <c r="C2204">
        <v>105</v>
      </c>
      <c r="D2204">
        <v>3548</v>
      </c>
      <c r="E2204" s="2">
        <v>216.8</v>
      </c>
      <c r="F2204">
        <v>30</v>
      </c>
      <c r="G2204">
        <v>7</v>
      </c>
      <c r="H2204">
        <v>5.3999999999999999E-2</v>
      </c>
      <c r="I2204" s="3">
        <v>1663</v>
      </c>
      <c r="J2204" s="1" t="s">
        <v>50</v>
      </c>
      <c r="K2204" t="s">
        <v>31</v>
      </c>
      <c r="L2204" t="s">
        <v>9</v>
      </c>
      <c r="M2204" t="s">
        <v>32</v>
      </c>
      <c r="N2204" s="1">
        <f t="shared" si="204"/>
        <v>45610</v>
      </c>
      <c r="O2204" s="4">
        <f t="shared" si="205"/>
        <v>2.9594137542277341E-2</v>
      </c>
      <c r="P2204">
        <f t="shared" si="206"/>
        <v>2.0647619047619048</v>
      </c>
      <c r="Q2204" s="2">
        <f t="shared" si="207"/>
        <v>7.2266666666666675</v>
      </c>
      <c r="R2204" s="2">
        <f t="shared" si="208"/>
        <v>30.971428571428572</v>
      </c>
      <c r="S2204" s="2">
        <f t="shared" si="209"/>
        <v>7.6706642066420656</v>
      </c>
    </row>
    <row r="2205" spans="1:19">
      <c r="A2205" t="s">
        <v>2258</v>
      </c>
      <c r="B2205" t="s">
        <v>30</v>
      </c>
      <c r="C2205">
        <v>119</v>
      </c>
      <c r="D2205">
        <v>5944</v>
      </c>
      <c r="E2205" s="2">
        <v>225.75</v>
      </c>
      <c r="F2205">
        <v>24</v>
      </c>
      <c r="G2205">
        <v>7</v>
      </c>
      <c r="H2205">
        <v>4.5999999999999999E-2</v>
      </c>
      <c r="I2205" s="3">
        <v>1516</v>
      </c>
      <c r="J2205" s="1" t="s">
        <v>217</v>
      </c>
      <c r="K2205" t="s">
        <v>31</v>
      </c>
      <c r="L2205" t="s">
        <v>9</v>
      </c>
      <c r="M2205" t="s">
        <v>46</v>
      </c>
      <c r="N2205" s="1">
        <f t="shared" si="204"/>
        <v>45609</v>
      </c>
      <c r="O2205" s="4">
        <f t="shared" si="205"/>
        <v>2.0020188425302825E-2</v>
      </c>
      <c r="P2205">
        <f t="shared" si="206"/>
        <v>1.8970588235294117</v>
      </c>
      <c r="Q2205" s="2">
        <f t="shared" si="207"/>
        <v>9.40625</v>
      </c>
      <c r="R2205" s="2">
        <f t="shared" si="208"/>
        <v>32.25</v>
      </c>
      <c r="S2205" s="2">
        <f t="shared" si="209"/>
        <v>6.715393133997785</v>
      </c>
    </row>
    <row r="2206" spans="1:19">
      <c r="A2206" t="s">
        <v>2259</v>
      </c>
      <c r="B2206" t="s">
        <v>30</v>
      </c>
      <c r="C2206">
        <v>128</v>
      </c>
      <c r="D2206">
        <v>4662</v>
      </c>
      <c r="E2206" s="2">
        <v>187.28</v>
      </c>
      <c r="F2206">
        <v>23</v>
      </c>
      <c r="G2206">
        <v>9</v>
      </c>
      <c r="H2206">
        <v>4.5999999999999999E-2</v>
      </c>
      <c r="I2206" s="3">
        <v>1710</v>
      </c>
      <c r="J2206" s="1">
        <v>45609</v>
      </c>
      <c r="K2206" t="s">
        <v>31</v>
      </c>
      <c r="L2206" t="s">
        <v>7</v>
      </c>
      <c r="M2206" t="s">
        <v>39</v>
      </c>
      <c r="N2206" s="1">
        <f t="shared" si="204"/>
        <v>45609</v>
      </c>
      <c r="O2206" s="4">
        <f t="shared" si="205"/>
        <v>2.7456027456027456E-2</v>
      </c>
      <c r="P2206">
        <f t="shared" si="206"/>
        <v>1.463125</v>
      </c>
      <c r="Q2206" s="2">
        <f t="shared" si="207"/>
        <v>8.1426086956521733</v>
      </c>
      <c r="R2206" s="2">
        <f t="shared" si="208"/>
        <v>20.808888888888887</v>
      </c>
      <c r="S2206" s="2">
        <f t="shared" si="209"/>
        <v>9.1307133703545489</v>
      </c>
    </row>
    <row r="2207" spans="1:19" hidden="1">
      <c r="A2207" t="s">
        <v>2260</v>
      </c>
      <c r="B2207" t="s">
        <v>30</v>
      </c>
      <c r="C2207">
        <v>120</v>
      </c>
      <c r="D2207">
        <v>4453</v>
      </c>
      <c r="E2207" s="2">
        <v>240.34</v>
      </c>
      <c r="F2207">
        <v>23</v>
      </c>
      <c r="G2207">
        <v>8</v>
      </c>
      <c r="H2207">
        <v>6.7000000000000004E-2</v>
      </c>
      <c r="I2207" s="3">
        <v>1452</v>
      </c>
      <c r="J2207" s="1">
        <v>45622</v>
      </c>
      <c r="K2207" t="s">
        <v>31</v>
      </c>
      <c r="L2207" t="s">
        <v>9</v>
      </c>
      <c r="M2207" t="s">
        <v>41</v>
      </c>
      <c r="N2207" s="1">
        <f t="shared" si="204"/>
        <v>45622</v>
      </c>
      <c r="O2207" s="4">
        <f t="shared" si="205"/>
        <v>2.6948124859645182E-2</v>
      </c>
      <c r="P2207">
        <f t="shared" si="206"/>
        <v>2.0028333333333332</v>
      </c>
      <c r="Q2207" s="2">
        <f t="shared" si="207"/>
        <v>10.449565217391305</v>
      </c>
      <c r="R2207" s="2">
        <f t="shared" si="208"/>
        <v>30.0425</v>
      </c>
      <c r="S2207" s="2">
        <f t="shared" si="209"/>
        <v>6.0414412915037028</v>
      </c>
    </row>
    <row r="2208" spans="1:19">
      <c r="A2208" t="s">
        <v>2261</v>
      </c>
      <c r="B2208" t="s">
        <v>30</v>
      </c>
      <c r="C2208">
        <v>163</v>
      </c>
      <c r="D2208">
        <v>5052</v>
      </c>
      <c r="E2208" s="2">
        <v>234.73</v>
      </c>
      <c r="F2208">
        <v>24</v>
      </c>
      <c r="G2208">
        <v>6</v>
      </c>
      <c r="H2208">
        <v>4.5999999999999999E-2</v>
      </c>
      <c r="I2208" s="3">
        <v>1848</v>
      </c>
      <c r="J2208" s="1" t="s">
        <v>132</v>
      </c>
      <c r="K2208" t="s">
        <v>31</v>
      </c>
      <c r="L2208" t="s">
        <v>8</v>
      </c>
      <c r="M2208" t="s">
        <v>41</v>
      </c>
      <c r="N2208" s="1">
        <f t="shared" si="204"/>
        <v>45613</v>
      </c>
      <c r="O2208" s="4">
        <f t="shared" si="205"/>
        <v>3.2264449722882026E-2</v>
      </c>
      <c r="P2208">
        <f t="shared" si="206"/>
        <v>1.4400613496932515</v>
      </c>
      <c r="Q2208" s="2">
        <f t="shared" si="207"/>
        <v>9.7804166666666656</v>
      </c>
      <c r="R2208" s="2">
        <f t="shared" si="208"/>
        <v>39.121666666666663</v>
      </c>
      <c r="S2208" s="2">
        <f t="shared" si="209"/>
        <v>7.8728752183359605</v>
      </c>
    </row>
    <row r="2209" spans="1:19" hidden="1">
      <c r="A2209" t="s">
        <v>2262</v>
      </c>
      <c r="B2209" t="s">
        <v>30</v>
      </c>
      <c r="C2209">
        <v>94</v>
      </c>
      <c r="D2209">
        <v>4457</v>
      </c>
      <c r="E2209" s="2">
        <v>246.18</v>
      </c>
      <c r="F2209">
        <v>14</v>
      </c>
      <c r="G2209">
        <v>6</v>
      </c>
      <c r="H2209">
        <v>5.2999999999999999E-2</v>
      </c>
      <c r="I2209" s="3">
        <v>1492</v>
      </c>
      <c r="J2209" s="1">
        <v>45611</v>
      </c>
      <c r="K2209" t="s">
        <v>31</v>
      </c>
      <c r="L2209" t="s">
        <v>9</v>
      </c>
      <c r="M2209" t="s">
        <v>37</v>
      </c>
      <c r="N2209" s="1">
        <f t="shared" si="204"/>
        <v>45611</v>
      </c>
      <c r="O2209" s="4">
        <f t="shared" si="205"/>
        <v>2.1090419564729637E-2</v>
      </c>
      <c r="P2209">
        <f t="shared" si="206"/>
        <v>2.6189361702127658</v>
      </c>
      <c r="Q2209" s="2">
        <f t="shared" si="207"/>
        <v>17.584285714285716</v>
      </c>
      <c r="R2209" s="2">
        <f t="shared" si="208"/>
        <v>41.03</v>
      </c>
      <c r="S2209" s="2">
        <f t="shared" si="209"/>
        <v>6.0606060606060606</v>
      </c>
    </row>
    <row r="2210" spans="1:19" hidden="1">
      <c r="A2210" t="s">
        <v>2263</v>
      </c>
      <c r="B2210" t="s">
        <v>30</v>
      </c>
      <c r="C2210">
        <v>139</v>
      </c>
      <c r="D2210">
        <v>5528</v>
      </c>
      <c r="E2210" s="2">
        <v>185.93</v>
      </c>
      <c r="F2210">
        <v>21</v>
      </c>
      <c r="G2210">
        <v>5</v>
      </c>
      <c r="H2210">
        <v>4.4999999999999998E-2</v>
      </c>
      <c r="I2210" s="3">
        <v>1719</v>
      </c>
      <c r="J2210" s="1" t="s">
        <v>89</v>
      </c>
      <c r="K2210" t="s">
        <v>31</v>
      </c>
      <c r="L2210" t="s">
        <v>8</v>
      </c>
      <c r="M2210" t="s">
        <v>39</v>
      </c>
      <c r="N2210" s="1">
        <f t="shared" si="204"/>
        <v>45611</v>
      </c>
      <c r="O2210" s="4">
        <f t="shared" si="205"/>
        <v>2.5144717800289436E-2</v>
      </c>
      <c r="P2210">
        <f t="shared" si="206"/>
        <v>1.3376258992805756</v>
      </c>
      <c r="Q2210" s="2">
        <f t="shared" si="207"/>
        <v>8.8538095238095238</v>
      </c>
      <c r="R2210" s="2">
        <f t="shared" si="208"/>
        <v>37.186</v>
      </c>
      <c r="S2210" s="2">
        <f t="shared" si="209"/>
        <v>9.2454149411068673</v>
      </c>
    </row>
    <row r="2211" spans="1:19">
      <c r="A2211" t="s">
        <v>2264</v>
      </c>
      <c r="B2211" t="s">
        <v>30</v>
      </c>
      <c r="C2211">
        <v>146</v>
      </c>
      <c r="D2211">
        <v>4474</v>
      </c>
      <c r="E2211" s="2">
        <v>190.94</v>
      </c>
      <c r="F2211">
        <v>18</v>
      </c>
      <c r="G2211">
        <v>10</v>
      </c>
      <c r="H2211">
        <v>4.5999999999999999E-2</v>
      </c>
      <c r="I2211" s="3">
        <v>1872</v>
      </c>
      <c r="J2211" s="1">
        <v>45603</v>
      </c>
      <c r="K2211" t="s">
        <v>31</v>
      </c>
      <c r="L2211" t="s">
        <v>9</v>
      </c>
      <c r="M2211" t="s">
        <v>37</v>
      </c>
      <c r="N2211" s="1">
        <f t="shared" si="204"/>
        <v>45603</v>
      </c>
      <c r="O2211" s="4">
        <f t="shared" si="205"/>
        <v>3.2632990612427359E-2</v>
      </c>
      <c r="P2211">
        <f t="shared" si="206"/>
        <v>1.3078082191780822</v>
      </c>
      <c r="Q2211" s="2">
        <f t="shared" si="207"/>
        <v>10.607777777777777</v>
      </c>
      <c r="R2211" s="2">
        <f t="shared" si="208"/>
        <v>19.094000000000001</v>
      </c>
      <c r="S2211" s="2">
        <f t="shared" si="209"/>
        <v>9.8041269508746201</v>
      </c>
    </row>
    <row r="2212" spans="1:19" hidden="1">
      <c r="A2212" t="s">
        <v>2265</v>
      </c>
      <c r="B2212" t="s">
        <v>30</v>
      </c>
      <c r="C2212">
        <v>193</v>
      </c>
      <c r="D2212">
        <v>5129</v>
      </c>
      <c r="E2212" s="2">
        <v>243.78</v>
      </c>
      <c r="F2212">
        <v>13</v>
      </c>
      <c r="G2212">
        <v>10</v>
      </c>
      <c r="H2212">
        <v>5.1999999999999998E-2</v>
      </c>
      <c r="I2212" s="3">
        <v>1583</v>
      </c>
      <c r="J2212" s="1">
        <v>45602</v>
      </c>
      <c r="K2212" t="s">
        <v>31</v>
      </c>
      <c r="L2212" t="s">
        <v>9</v>
      </c>
      <c r="M2212" t="s">
        <v>35</v>
      </c>
      <c r="N2212" s="1">
        <f t="shared" si="204"/>
        <v>45602</v>
      </c>
      <c r="O2212" s="4">
        <f t="shared" si="205"/>
        <v>3.762916747904075E-2</v>
      </c>
      <c r="P2212">
        <f t="shared" si="206"/>
        <v>1.2631088082901554</v>
      </c>
      <c r="Q2212" s="2">
        <f t="shared" si="207"/>
        <v>18.752307692307692</v>
      </c>
      <c r="R2212" s="2">
        <f t="shared" si="208"/>
        <v>24.378</v>
      </c>
      <c r="S2212" s="2">
        <f t="shared" si="209"/>
        <v>6.4935597670030356</v>
      </c>
    </row>
    <row r="2213" spans="1:19" hidden="1">
      <c r="A2213" t="s">
        <v>2266</v>
      </c>
      <c r="B2213" t="s">
        <v>30</v>
      </c>
      <c r="C2213">
        <v>96</v>
      </c>
      <c r="D2213">
        <v>5210</v>
      </c>
      <c r="E2213" s="2">
        <v>223.05</v>
      </c>
      <c r="F2213">
        <v>10</v>
      </c>
      <c r="G2213">
        <v>8</v>
      </c>
      <c r="H2213">
        <v>8.3000000000000004E-2</v>
      </c>
      <c r="I2213" s="3">
        <v>1483</v>
      </c>
      <c r="J2213" s="1">
        <v>45625</v>
      </c>
      <c r="K2213" t="s">
        <v>31</v>
      </c>
      <c r="L2213" t="s">
        <v>9</v>
      </c>
      <c r="M2213" t="s">
        <v>41</v>
      </c>
      <c r="N2213" s="1">
        <f t="shared" si="204"/>
        <v>45625</v>
      </c>
      <c r="O2213" s="4">
        <f t="shared" si="205"/>
        <v>1.8426103646833013E-2</v>
      </c>
      <c r="P2213">
        <f t="shared" si="206"/>
        <v>2.3234375000000003</v>
      </c>
      <c r="Q2213" s="2">
        <f t="shared" si="207"/>
        <v>22.305</v>
      </c>
      <c r="R2213" s="2">
        <f t="shared" si="208"/>
        <v>27.881250000000001</v>
      </c>
      <c r="S2213" s="2">
        <f t="shared" si="209"/>
        <v>6.648733467832324</v>
      </c>
    </row>
    <row r="2214" spans="1:19" hidden="1">
      <c r="A2214" t="s">
        <v>2267</v>
      </c>
      <c r="B2214" t="s">
        <v>30</v>
      </c>
      <c r="C2214">
        <v>150</v>
      </c>
      <c r="D2214">
        <v>3456</v>
      </c>
      <c r="E2214" s="2">
        <v>242.22</v>
      </c>
      <c r="F2214">
        <v>16</v>
      </c>
      <c r="G2214">
        <v>7</v>
      </c>
      <c r="H2214">
        <v>4.7E-2</v>
      </c>
      <c r="I2214" s="3">
        <v>1215</v>
      </c>
      <c r="J2214" s="1">
        <v>45598</v>
      </c>
      <c r="K2214" t="s">
        <v>31</v>
      </c>
      <c r="L2214" t="s">
        <v>7</v>
      </c>
      <c r="M2214" t="s">
        <v>39</v>
      </c>
      <c r="N2214" s="1">
        <f t="shared" si="204"/>
        <v>45598</v>
      </c>
      <c r="O2214" s="4">
        <f t="shared" si="205"/>
        <v>4.3402777777777776E-2</v>
      </c>
      <c r="P2214">
        <f t="shared" si="206"/>
        <v>1.6148</v>
      </c>
      <c r="Q2214" s="2">
        <f t="shared" si="207"/>
        <v>15.13875</v>
      </c>
      <c r="R2214" s="2">
        <f t="shared" si="208"/>
        <v>34.60285714285714</v>
      </c>
      <c r="S2214" s="2">
        <f t="shared" si="209"/>
        <v>5.016101065147387</v>
      </c>
    </row>
    <row r="2215" spans="1:19" hidden="1">
      <c r="A2215" t="s">
        <v>2268</v>
      </c>
      <c r="B2215" t="s">
        <v>30</v>
      </c>
      <c r="C2215">
        <v>130</v>
      </c>
      <c r="D2215">
        <v>4109</v>
      </c>
      <c r="E2215" s="2">
        <v>207.1</v>
      </c>
      <c r="F2215">
        <v>19</v>
      </c>
      <c r="G2215">
        <v>6</v>
      </c>
      <c r="H2215">
        <v>4.5999999999999999E-2</v>
      </c>
      <c r="I2215" s="3">
        <v>1521</v>
      </c>
      <c r="J2215" s="1">
        <v>45612</v>
      </c>
      <c r="K2215" t="s">
        <v>31</v>
      </c>
      <c r="L2215" t="s">
        <v>8</v>
      </c>
      <c r="M2215" t="s">
        <v>32</v>
      </c>
      <c r="N2215" s="1">
        <f t="shared" si="204"/>
        <v>45612</v>
      </c>
      <c r="O2215" s="4">
        <f t="shared" si="205"/>
        <v>3.1637868094426869E-2</v>
      </c>
      <c r="P2215">
        <f t="shared" si="206"/>
        <v>1.5930769230769231</v>
      </c>
      <c r="Q2215" s="2">
        <f t="shared" si="207"/>
        <v>10.9</v>
      </c>
      <c r="R2215" s="2">
        <f t="shared" si="208"/>
        <v>34.516666666666666</v>
      </c>
      <c r="S2215" s="2">
        <f t="shared" si="209"/>
        <v>7.3442781265089332</v>
      </c>
    </row>
    <row r="2216" spans="1:19" hidden="1">
      <c r="A2216" t="s">
        <v>2269</v>
      </c>
      <c r="B2216" t="s">
        <v>30</v>
      </c>
      <c r="C2216">
        <v>99</v>
      </c>
      <c r="D2216">
        <v>3522</v>
      </c>
      <c r="E2216" s="2">
        <v>210.01</v>
      </c>
      <c r="F2216">
        <v>28</v>
      </c>
      <c r="G2216">
        <v>9</v>
      </c>
      <c r="H2216">
        <v>3.4000000000000002E-2</v>
      </c>
      <c r="I2216" s="3">
        <v>1932</v>
      </c>
      <c r="J2216" s="1">
        <v>45619</v>
      </c>
      <c r="K2216" t="s">
        <v>31</v>
      </c>
      <c r="L2216" t="s">
        <v>8</v>
      </c>
      <c r="M2216" t="s">
        <v>46</v>
      </c>
      <c r="N2216" s="1">
        <f t="shared" si="204"/>
        <v>45619</v>
      </c>
      <c r="O2216" s="4">
        <f t="shared" si="205"/>
        <v>2.8109028960817718E-2</v>
      </c>
      <c r="P2216">
        <f t="shared" si="206"/>
        <v>2.1213131313131313</v>
      </c>
      <c r="Q2216" s="2">
        <f t="shared" si="207"/>
        <v>7.5003571428571423</v>
      </c>
      <c r="R2216" s="2">
        <f t="shared" si="208"/>
        <v>23.334444444444443</v>
      </c>
      <c r="S2216" s="2">
        <f t="shared" si="209"/>
        <v>9.1995619256225893</v>
      </c>
    </row>
    <row r="2217" spans="1:19" hidden="1">
      <c r="A2217" t="s">
        <v>2270</v>
      </c>
      <c r="B2217" t="s">
        <v>30</v>
      </c>
      <c r="C2217">
        <v>143</v>
      </c>
      <c r="D2217">
        <v>3600</v>
      </c>
      <c r="E2217" s="2">
        <v>238.14</v>
      </c>
      <c r="F2217">
        <v>26</v>
      </c>
      <c r="G2217">
        <v>7</v>
      </c>
      <c r="H2217">
        <v>4.9000000000000002E-2</v>
      </c>
      <c r="I2217" s="3">
        <v>1891</v>
      </c>
      <c r="J2217" s="1">
        <v>45605</v>
      </c>
      <c r="K2217" t="s">
        <v>31</v>
      </c>
      <c r="L2217" t="s">
        <v>9</v>
      </c>
      <c r="M2217" t="s">
        <v>46</v>
      </c>
      <c r="N2217" s="1">
        <f t="shared" si="204"/>
        <v>45605</v>
      </c>
      <c r="O2217" s="4">
        <f t="shared" si="205"/>
        <v>3.9722222222222221E-2</v>
      </c>
      <c r="P2217">
        <f t="shared" si="206"/>
        <v>1.6653146853146852</v>
      </c>
      <c r="Q2217" s="2">
        <f t="shared" si="207"/>
        <v>9.1592307692307688</v>
      </c>
      <c r="R2217" s="2">
        <f t="shared" si="208"/>
        <v>34.019999999999996</v>
      </c>
      <c r="S2217" s="2">
        <f t="shared" si="209"/>
        <v>7.9407071470563535</v>
      </c>
    </row>
    <row r="2218" spans="1:19">
      <c r="A2218" t="s">
        <v>2271</v>
      </c>
      <c r="B2218" t="s">
        <v>30</v>
      </c>
      <c r="C2218">
        <v>116</v>
      </c>
      <c r="D2218">
        <v>3026</v>
      </c>
      <c r="E2218" s="2">
        <v>209.03</v>
      </c>
      <c r="F2218">
        <v>24</v>
      </c>
      <c r="G2218">
        <v>9</v>
      </c>
      <c r="H2218">
        <v>4.5999999999999999E-2</v>
      </c>
      <c r="I2218" s="3">
        <v>1819</v>
      </c>
      <c r="J2218" s="1">
        <v>45576</v>
      </c>
      <c r="K2218" t="s">
        <v>31</v>
      </c>
      <c r="L2218" t="s">
        <v>7</v>
      </c>
      <c r="M2218" t="s">
        <v>37</v>
      </c>
      <c r="N2218" s="1">
        <f t="shared" si="204"/>
        <v>45576</v>
      </c>
      <c r="O2218" s="4">
        <f t="shared" si="205"/>
        <v>3.8334434897554524E-2</v>
      </c>
      <c r="P2218">
        <f t="shared" si="206"/>
        <v>1.8019827586206896</v>
      </c>
      <c r="Q2218" s="2">
        <f t="shared" si="207"/>
        <v>8.7095833333333328</v>
      </c>
      <c r="R2218" s="2">
        <f t="shared" si="208"/>
        <v>23.225555555555555</v>
      </c>
      <c r="S2218" s="2">
        <f t="shared" si="209"/>
        <v>8.7021001770080844</v>
      </c>
    </row>
    <row r="2219" spans="1:19" hidden="1">
      <c r="A2219" t="s">
        <v>2272</v>
      </c>
      <c r="B2219" t="s">
        <v>30</v>
      </c>
      <c r="C2219">
        <v>120</v>
      </c>
      <c r="D2219">
        <v>4518.5</v>
      </c>
      <c r="E2219" s="2">
        <v>214.76</v>
      </c>
      <c r="F2219">
        <v>29</v>
      </c>
      <c r="G2219">
        <v>5</v>
      </c>
      <c r="H2219">
        <v>4.2000000000000003E-2</v>
      </c>
      <c r="I2219" s="3">
        <v>1926</v>
      </c>
      <c r="J2219" s="1">
        <v>45626</v>
      </c>
      <c r="K2219" t="s">
        <v>31</v>
      </c>
      <c r="L2219" t="s">
        <v>8</v>
      </c>
      <c r="M2219" t="s">
        <v>39</v>
      </c>
      <c r="N2219" s="1">
        <f t="shared" si="204"/>
        <v>45626</v>
      </c>
      <c r="O2219" s="4">
        <f t="shared" si="205"/>
        <v>2.6557485891335619E-2</v>
      </c>
      <c r="P2219">
        <f t="shared" si="206"/>
        <v>1.7896666666666665</v>
      </c>
      <c r="Q2219" s="2">
        <f t="shared" si="207"/>
        <v>7.40551724137931</v>
      </c>
      <c r="R2219" s="2">
        <f t="shared" si="208"/>
        <v>42.951999999999998</v>
      </c>
      <c r="S2219" s="2">
        <f t="shared" si="209"/>
        <v>8.9681504935742229</v>
      </c>
    </row>
    <row r="2220" spans="1:19" hidden="1">
      <c r="A2220" t="s">
        <v>2273</v>
      </c>
      <c r="B2220" t="s">
        <v>30</v>
      </c>
      <c r="C2220">
        <v>115</v>
      </c>
      <c r="D2220">
        <v>4857</v>
      </c>
      <c r="E2220" s="2">
        <v>195.05</v>
      </c>
      <c r="F2220">
        <v>29</v>
      </c>
      <c r="G2220">
        <v>9</v>
      </c>
      <c r="H2220">
        <v>7.8E-2</v>
      </c>
      <c r="I2220" s="3">
        <v>1644</v>
      </c>
      <c r="J2220" s="1">
        <v>45613</v>
      </c>
      <c r="K2220" t="s">
        <v>31</v>
      </c>
      <c r="L2220" t="s">
        <v>7</v>
      </c>
      <c r="M2220" t="s">
        <v>39</v>
      </c>
      <c r="N2220" s="1">
        <f t="shared" si="204"/>
        <v>45613</v>
      </c>
      <c r="O2220" s="4">
        <f t="shared" si="205"/>
        <v>2.3677166975499278E-2</v>
      </c>
      <c r="P2220">
        <f t="shared" si="206"/>
        <v>1.6960869565217391</v>
      </c>
      <c r="Q2220" s="2">
        <f t="shared" si="207"/>
        <v>6.725862068965518</v>
      </c>
      <c r="R2220" s="2">
        <f t="shared" si="208"/>
        <v>21.672222222222224</v>
      </c>
      <c r="S2220" s="2">
        <f t="shared" si="209"/>
        <v>8.4286080492181483</v>
      </c>
    </row>
    <row r="2221" spans="1:19" hidden="1">
      <c r="A2221" t="s">
        <v>2274</v>
      </c>
      <c r="B2221" t="s">
        <v>30</v>
      </c>
      <c r="C2221">
        <v>175</v>
      </c>
      <c r="D2221">
        <v>5915</v>
      </c>
      <c r="E2221" s="2">
        <v>223.39</v>
      </c>
      <c r="F2221">
        <v>23</v>
      </c>
      <c r="G2221">
        <v>8</v>
      </c>
      <c r="H2221">
        <v>4.2000000000000003E-2</v>
      </c>
      <c r="I2221" s="3">
        <v>1595</v>
      </c>
      <c r="J2221" s="1">
        <v>45604</v>
      </c>
      <c r="K2221" t="s">
        <v>31</v>
      </c>
      <c r="L2221" t="s">
        <v>9</v>
      </c>
      <c r="M2221" t="s">
        <v>32</v>
      </c>
      <c r="N2221" s="1">
        <f t="shared" si="204"/>
        <v>45604</v>
      </c>
      <c r="O2221" s="4">
        <f t="shared" si="205"/>
        <v>2.9585798816568046E-2</v>
      </c>
      <c r="P2221">
        <f t="shared" si="206"/>
        <v>1.2765142857142857</v>
      </c>
      <c r="Q2221" s="2">
        <f t="shared" si="207"/>
        <v>9.7126086956521736</v>
      </c>
      <c r="R2221" s="2">
        <f t="shared" si="208"/>
        <v>27.923749999999998</v>
      </c>
      <c r="S2221" s="2">
        <f t="shared" si="209"/>
        <v>7.1399794082098573</v>
      </c>
    </row>
    <row r="2222" spans="1:19">
      <c r="A2222" t="s">
        <v>2275</v>
      </c>
      <c r="B2222" t="s">
        <v>30</v>
      </c>
      <c r="C2222">
        <v>100</v>
      </c>
      <c r="D2222">
        <v>3948</v>
      </c>
      <c r="E2222" s="2">
        <v>230.56</v>
      </c>
      <c r="F2222">
        <v>30</v>
      </c>
      <c r="G2222">
        <v>6</v>
      </c>
      <c r="H2222">
        <v>4.5999999999999999E-2</v>
      </c>
      <c r="I2222" s="3">
        <v>1234</v>
      </c>
      <c r="J2222" s="1">
        <v>45608</v>
      </c>
      <c r="K2222" t="s">
        <v>31</v>
      </c>
      <c r="L2222" t="s">
        <v>9</v>
      </c>
      <c r="M2222" t="s">
        <v>46</v>
      </c>
      <c r="N2222" s="1">
        <f t="shared" si="204"/>
        <v>45608</v>
      </c>
      <c r="O2222" s="4">
        <f t="shared" si="205"/>
        <v>2.5329280648429583E-2</v>
      </c>
      <c r="P2222">
        <f t="shared" si="206"/>
        <v>2.3056000000000001</v>
      </c>
      <c r="Q2222" s="2">
        <f t="shared" si="207"/>
        <v>7.6853333333333333</v>
      </c>
      <c r="R2222" s="2">
        <f t="shared" si="208"/>
        <v>38.426666666666669</v>
      </c>
      <c r="S2222" s="2">
        <f t="shared" si="209"/>
        <v>5.3521859819569739</v>
      </c>
    </row>
    <row r="2223" spans="1:19">
      <c r="A2223" t="s">
        <v>2276</v>
      </c>
      <c r="B2223" t="s">
        <v>30</v>
      </c>
      <c r="C2223">
        <v>114</v>
      </c>
      <c r="D2223">
        <v>5446</v>
      </c>
      <c r="E2223" s="2">
        <v>207.62</v>
      </c>
      <c r="F2223">
        <v>11</v>
      </c>
      <c r="G2223">
        <v>8</v>
      </c>
      <c r="H2223">
        <v>4.5999999999999999E-2</v>
      </c>
      <c r="I2223" s="3">
        <v>1355</v>
      </c>
      <c r="J2223" s="1">
        <v>45608</v>
      </c>
      <c r="K2223" t="s">
        <v>31</v>
      </c>
      <c r="L2223" t="s">
        <v>8</v>
      </c>
      <c r="M2223" t="s">
        <v>37</v>
      </c>
      <c r="N2223" s="1">
        <f t="shared" si="204"/>
        <v>45608</v>
      </c>
      <c r="O2223" s="4">
        <f t="shared" si="205"/>
        <v>2.0932794711715021E-2</v>
      </c>
      <c r="P2223">
        <f t="shared" si="206"/>
        <v>1.8212280701754386</v>
      </c>
      <c r="Q2223" s="2">
        <f t="shared" si="207"/>
        <v>18.874545454545455</v>
      </c>
      <c r="R2223" s="2">
        <f t="shared" si="208"/>
        <v>25.952500000000001</v>
      </c>
      <c r="S2223" s="2">
        <f t="shared" si="209"/>
        <v>6.5263462094210576</v>
      </c>
    </row>
    <row r="2224" spans="1:19" hidden="1">
      <c r="A2224" t="s">
        <v>2277</v>
      </c>
      <c r="B2224" t="s">
        <v>30</v>
      </c>
      <c r="C2224">
        <v>109</v>
      </c>
      <c r="D2224">
        <v>5388</v>
      </c>
      <c r="E2224" s="2">
        <v>205.68</v>
      </c>
      <c r="F2224">
        <v>22</v>
      </c>
      <c r="G2224">
        <v>6</v>
      </c>
      <c r="H2224">
        <v>5.5E-2</v>
      </c>
      <c r="I2224" s="3">
        <v>1339</v>
      </c>
      <c r="J2224" s="1" t="s">
        <v>348</v>
      </c>
      <c r="K2224" t="s">
        <v>31</v>
      </c>
      <c r="L2224" t="s">
        <v>7</v>
      </c>
      <c r="M2224" t="s">
        <v>39</v>
      </c>
      <c r="N2224" s="1">
        <f t="shared" si="204"/>
        <v>45615</v>
      </c>
      <c r="O2224" s="4">
        <f t="shared" si="205"/>
        <v>2.0230141054194507E-2</v>
      </c>
      <c r="P2224">
        <f t="shared" si="206"/>
        <v>1.8869724770642202</v>
      </c>
      <c r="Q2224" s="2">
        <f t="shared" si="207"/>
        <v>9.3490909090909096</v>
      </c>
      <c r="R2224" s="2">
        <f t="shared" si="208"/>
        <v>34.28</v>
      </c>
      <c r="S2224" s="2">
        <f t="shared" si="209"/>
        <v>6.5101127965772072</v>
      </c>
    </row>
    <row r="2225" spans="1:19" hidden="1">
      <c r="A2225" t="s">
        <v>2278</v>
      </c>
      <c r="B2225" t="s">
        <v>30</v>
      </c>
      <c r="C2225">
        <v>154</v>
      </c>
      <c r="D2225">
        <v>5138</v>
      </c>
      <c r="E2225" s="2">
        <v>194.15</v>
      </c>
      <c r="F2225">
        <v>17</v>
      </c>
      <c r="G2225">
        <v>7</v>
      </c>
      <c r="H2225">
        <v>4.4999999999999998E-2</v>
      </c>
      <c r="I2225" s="3">
        <v>1295</v>
      </c>
      <c r="J2225" s="1">
        <v>45613</v>
      </c>
      <c r="K2225" t="s">
        <v>31</v>
      </c>
      <c r="L2225" t="s">
        <v>8</v>
      </c>
      <c r="M2225" t="s">
        <v>35</v>
      </c>
      <c r="N2225" s="1">
        <f t="shared" si="204"/>
        <v>45613</v>
      </c>
      <c r="O2225" s="4">
        <f t="shared" si="205"/>
        <v>2.9972752043596729E-2</v>
      </c>
      <c r="P2225">
        <f t="shared" si="206"/>
        <v>1.2607142857142857</v>
      </c>
      <c r="Q2225" s="2">
        <f t="shared" si="207"/>
        <v>11.420588235294119</v>
      </c>
      <c r="R2225" s="2">
        <f t="shared" si="208"/>
        <v>27.735714285714288</v>
      </c>
      <c r="S2225" s="2">
        <f t="shared" si="209"/>
        <v>6.6701004378058197</v>
      </c>
    </row>
    <row r="2226" spans="1:19" hidden="1">
      <c r="A2226" t="s">
        <v>2279</v>
      </c>
      <c r="B2226" t="s">
        <v>30</v>
      </c>
      <c r="C2226">
        <v>199</v>
      </c>
      <c r="D2226">
        <v>3534</v>
      </c>
      <c r="E2226" s="2">
        <v>238.67</v>
      </c>
      <c r="F2226">
        <v>24</v>
      </c>
      <c r="G2226">
        <v>5</v>
      </c>
      <c r="H2226">
        <v>2.5000000000000001E-2</v>
      </c>
      <c r="I2226" s="3">
        <v>1776</v>
      </c>
      <c r="J2226" s="1">
        <v>45617</v>
      </c>
      <c r="K2226" t="s">
        <v>31</v>
      </c>
      <c r="L2226" t="s">
        <v>8</v>
      </c>
      <c r="M2226" t="s">
        <v>39</v>
      </c>
      <c r="N2226" s="1">
        <f t="shared" si="204"/>
        <v>45617</v>
      </c>
      <c r="O2226" s="4">
        <f t="shared" si="205"/>
        <v>5.6310130164119974E-2</v>
      </c>
      <c r="P2226">
        <f t="shared" si="206"/>
        <v>1.1993467336683417</v>
      </c>
      <c r="Q2226" s="2">
        <f t="shared" si="207"/>
        <v>9.9445833333333322</v>
      </c>
      <c r="R2226" s="2">
        <f t="shared" si="208"/>
        <v>47.733999999999995</v>
      </c>
      <c r="S2226" s="2">
        <f t="shared" si="209"/>
        <v>7.44123685423388</v>
      </c>
    </row>
    <row r="2227" spans="1:19" hidden="1">
      <c r="A2227" t="s">
        <v>2280</v>
      </c>
      <c r="B2227" t="s">
        <v>30</v>
      </c>
      <c r="C2227">
        <v>98</v>
      </c>
      <c r="D2227">
        <v>4302</v>
      </c>
      <c r="E2227" s="2">
        <v>183.4</v>
      </c>
      <c r="F2227">
        <v>16</v>
      </c>
      <c r="G2227">
        <v>9</v>
      </c>
      <c r="H2227">
        <v>9.1999999999999998E-2</v>
      </c>
      <c r="I2227" s="3">
        <v>1765</v>
      </c>
      <c r="J2227" s="1">
        <v>45615</v>
      </c>
      <c r="K2227" t="s">
        <v>31</v>
      </c>
      <c r="L2227" t="s">
        <v>7</v>
      </c>
      <c r="M2227" t="s">
        <v>35</v>
      </c>
      <c r="N2227" s="1">
        <f t="shared" si="204"/>
        <v>45615</v>
      </c>
      <c r="O2227" s="4">
        <f t="shared" si="205"/>
        <v>2.2780102278010229E-2</v>
      </c>
      <c r="P2227">
        <f t="shared" si="206"/>
        <v>1.8714285714285714</v>
      </c>
      <c r="Q2227" s="2">
        <f t="shared" si="207"/>
        <v>11.4625</v>
      </c>
      <c r="R2227" s="2">
        <f t="shared" si="208"/>
        <v>20.37777777777778</v>
      </c>
      <c r="S2227" s="2">
        <f t="shared" si="209"/>
        <v>9.6237731733914931</v>
      </c>
    </row>
    <row r="2228" spans="1:19">
      <c r="A2228" t="s">
        <v>2281</v>
      </c>
      <c r="B2228" t="s">
        <v>30</v>
      </c>
      <c r="C2228">
        <v>196</v>
      </c>
      <c r="D2228">
        <v>4367</v>
      </c>
      <c r="E2228" s="2">
        <v>238.44</v>
      </c>
      <c r="F2228">
        <v>20</v>
      </c>
      <c r="G2228">
        <v>7</v>
      </c>
      <c r="H2228">
        <v>4.5999999999999999E-2</v>
      </c>
      <c r="I2228" s="3">
        <v>1931</v>
      </c>
      <c r="J2228" s="1" t="s">
        <v>115</v>
      </c>
      <c r="K2228" t="s">
        <v>31</v>
      </c>
      <c r="L2228" t="s">
        <v>7</v>
      </c>
      <c r="M2228" t="s">
        <v>37</v>
      </c>
      <c r="N2228" s="1">
        <f t="shared" si="204"/>
        <v>45623</v>
      </c>
      <c r="O2228" s="4">
        <f t="shared" si="205"/>
        <v>4.4882070070986949E-2</v>
      </c>
      <c r="P2228">
        <f t="shared" si="206"/>
        <v>1.216530612244898</v>
      </c>
      <c r="Q2228" s="2">
        <f t="shared" si="207"/>
        <v>11.922000000000001</v>
      </c>
      <c r="R2228" s="2">
        <f t="shared" si="208"/>
        <v>34.062857142857141</v>
      </c>
      <c r="S2228" s="2">
        <f t="shared" si="209"/>
        <v>8.0984734105015939</v>
      </c>
    </row>
    <row r="2229" spans="1:19" hidden="1">
      <c r="A2229" t="s">
        <v>2282</v>
      </c>
      <c r="B2229" t="s">
        <v>30</v>
      </c>
      <c r="C2229">
        <v>81</v>
      </c>
      <c r="D2229">
        <v>3721</v>
      </c>
      <c r="E2229" s="2">
        <v>222.89</v>
      </c>
      <c r="F2229">
        <v>17</v>
      </c>
      <c r="G2229">
        <v>4</v>
      </c>
      <c r="H2229">
        <v>4.5999999999999999E-2</v>
      </c>
      <c r="I2229" s="3">
        <v>1690</v>
      </c>
      <c r="J2229" s="1">
        <v>45611</v>
      </c>
      <c r="K2229" t="s">
        <v>31</v>
      </c>
      <c r="L2229" t="s">
        <v>7</v>
      </c>
      <c r="M2229" t="s">
        <v>35</v>
      </c>
      <c r="N2229" s="1">
        <f t="shared" si="204"/>
        <v>45611</v>
      </c>
      <c r="O2229" s="4">
        <f t="shared" si="205"/>
        <v>2.1768341843590434E-2</v>
      </c>
      <c r="P2229">
        <f t="shared" si="206"/>
        <v>2.7517283950617282</v>
      </c>
      <c r="Q2229" s="2">
        <f t="shared" si="207"/>
        <v>13.111176470588234</v>
      </c>
      <c r="R2229" s="2">
        <f t="shared" si="208"/>
        <v>55.722499999999997</v>
      </c>
      <c r="S2229" s="2">
        <f t="shared" si="209"/>
        <v>7.5822154425950021</v>
      </c>
    </row>
    <row r="2230" spans="1:19">
      <c r="A2230" t="s">
        <v>2283</v>
      </c>
      <c r="B2230" t="s">
        <v>30</v>
      </c>
      <c r="C2230">
        <v>150</v>
      </c>
      <c r="D2230">
        <v>4351</v>
      </c>
      <c r="E2230" s="2">
        <v>203.7</v>
      </c>
      <c r="F2230">
        <v>26</v>
      </c>
      <c r="G2230">
        <v>8</v>
      </c>
      <c r="H2230">
        <v>4.5999999999999999E-2</v>
      </c>
      <c r="I2230" s="3">
        <v>1765</v>
      </c>
      <c r="J2230" s="1">
        <v>45614</v>
      </c>
      <c r="K2230" t="s">
        <v>31</v>
      </c>
      <c r="L2230" t="s">
        <v>7</v>
      </c>
      <c r="M2230" t="s">
        <v>39</v>
      </c>
      <c r="N2230" s="1">
        <f t="shared" si="204"/>
        <v>45614</v>
      </c>
      <c r="O2230" s="4">
        <f t="shared" si="205"/>
        <v>3.4474833371638702E-2</v>
      </c>
      <c r="P2230">
        <f t="shared" si="206"/>
        <v>1.3579999999999999</v>
      </c>
      <c r="Q2230" s="2">
        <f t="shared" si="207"/>
        <v>7.8346153846153843</v>
      </c>
      <c r="R2230" s="2">
        <f t="shared" si="208"/>
        <v>25.462499999999999</v>
      </c>
      <c r="S2230" s="2">
        <f t="shared" si="209"/>
        <v>8.664702994599903</v>
      </c>
    </row>
    <row r="2231" spans="1:19" hidden="1">
      <c r="A2231" t="s">
        <v>2284</v>
      </c>
      <c r="B2231" t="s">
        <v>30</v>
      </c>
      <c r="C2231">
        <v>121</v>
      </c>
      <c r="D2231">
        <v>3122</v>
      </c>
      <c r="E2231" s="2">
        <v>237.57</v>
      </c>
      <c r="F2231">
        <v>29</v>
      </c>
      <c r="G2231">
        <v>6</v>
      </c>
      <c r="H2231">
        <v>0.05</v>
      </c>
      <c r="I2231" s="3">
        <v>1796</v>
      </c>
      <c r="J2231" s="1">
        <v>45484</v>
      </c>
      <c r="K2231" t="s">
        <v>31</v>
      </c>
      <c r="L2231" t="s">
        <v>8</v>
      </c>
      <c r="M2231" t="s">
        <v>32</v>
      </c>
      <c r="N2231" s="1">
        <f t="shared" si="204"/>
        <v>45484</v>
      </c>
      <c r="O2231" s="4">
        <f t="shared" si="205"/>
        <v>3.8757206918641894E-2</v>
      </c>
      <c r="P2231">
        <f t="shared" si="206"/>
        <v>1.9633884297520661</v>
      </c>
      <c r="Q2231" s="2">
        <f t="shared" si="207"/>
        <v>8.1920689655172403</v>
      </c>
      <c r="R2231" s="2">
        <f t="shared" si="208"/>
        <v>39.594999999999999</v>
      </c>
      <c r="S2231" s="2">
        <f t="shared" si="209"/>
        <v>7.5598770888580207</v>
      </c>
    </row>
    <row r="2232" spans="1:19" hidden="1">
      <c r="A2232" t="s">
        <v>2285</v>
      </c>
      <c r="B2232" t="s">
        <v>30</v>
      </c>
      <c r="C2232">
        <v>124</v>
      </c>
      <c r="D2232">
        <v>3924</v>
      </c>
      <c r="E2232" s="2">
        <v>188.66</v>
      </c>
      <c r="F2232">
        <v>24</v>
      </c>
      <c r="G2232">
        <v>6</v>
      </c>
      <c r="H2232">
        <v>4.1000000000000002E-2</v>
      </c>
      <c r="I2232" s="3">
        <v>1472</v>
      </c>
      <c r="J2232" s="1">
        <v>45600</v>
      </c>
      <c r="K2232" t="s">
        <v>31</v>
      </c>
      <c r="L2232" t="s">
        <v>9</v>
      </c>
      <c r="M2232" t="s">
        <v>39</v>
      </c>
      <c r="N2232" s="1">
        <f t="shared" si="204"/>
        <v>45600</v>
      </c>
      <c r="O2232" s="4">
        <f t="shared" si="205"/>
        <v>3.1600407747196739E-2</v>
      </c>
      <c r="P2232">
        <f t="shared" si="206"/>
        <v>1.5214516129032258</v>
      </c>
      <c r="Q2232" s="2">
        <f t="shared" si="207"/>
        <v>7.8608333333333329</v>
      </c>
      <c r="R2232" s="2">
        <f t="shared" si="208"/>
        <v>31.443333333333332</v>
      </c>
      <c r="S2232" s="2">
        <f t="shared" si="209"/>
        <v>7.8023958443761261</v>
      </c>
    </row>
    <row r="2233" spans="1:19" hidden="1">
      <c r="A2233" t="s">
        <v>2286</v>
      </c>
      <c r="B2233" t="s">
        <v>30</v>
      </c>
      <c r="C2233">
        <v>108</v>
      </c>
      <c r="D2233">
        <v>4126</v>
      </c>
      <c r="E2233" s="2">
        <v>219.33</v>
      </c>
      <c r="F2233">
        <v>22</v>
      </c>
      <c r="G2233">
        <v>3</v>
      </c>
      <c r="H2233">
        <v>2.8000000000000001E-2</v>
      </c>
      <c r="I2233" s="3">
        <v>1275</v>
      </c>
      <c r="J2233" s="1">
        <v>45625</v>
      </c>
      <c r="K2233" t="s">
        <v>31</v>
      </c>
      <c r="L2233" t="s">
        <v>8</v>
      </c>
      <c r="M2233" t="s">
        <v>35</v>
      </c>
      <c r="N2233" s="1">
        <f t="shared" si="204"/>
        <v>45625</v>
      </c>
      <c r="O2233" s="4">
        <f t="shared" si="205"/>
        <v>2.6175472612699952E-2</v>
      </c>
      <c r="P2233">
        <f t="shared" si="206"/>
        <v>2.0308333333333333</v>
      </c>
      <c r="Q2233" s="2">
        <f t="shared" si="207"/>
        <v>9.9695454545454556</v>
      </c>
      <c r="R2233" s="2">
        <f t="shared" si="208"/>
        <v>73.11</v>
      </c>
      <c r="S2233" s="2">
        <f t="shared" si="209"/>
        <v>5.8131582546847209</v>
      </c>
    </row>
    <row r="2234" spans="1:19" hidden="1">
      <c r="A2234" t="s">
        <v>2287</v>
      </c>
      <c r="B2234" t="s">
        <v>30</v>
      </c>
      <c r="C2234">
        <v>192</v>
      </c>
      <c r="D2234">
        <v>3499</v>
      </c>
      <c r="E2234" s="2">
        <v>237.83</v>
      </c>
      <c r="F2234">
        <v>20</v>
      </c>
      <c r="G2234">
        <v>10</v>
      </c>
      <c r="H2234">
        <v>4.2999999999999997E-2</v>
      </c>
      <c r="I2234" s="3">
        <v>1505</v>
      </c>
      <c r="J2234" s="1">
        <v>45608</v>
      </c>
      <c r="K2234" t="s">
        <v>31</v>
      </c>
      <c r="L2234" t="s">
        <v>9</v>
      </c>
      <c r="M2234" t="s">
        <v>46</v>
      </c>
      <c r="N2234" s="1">
        <f t="shared" si="204"/>
        <v>45608</v>
      </c>
      <c r="O2234" s="4">
        <f t="shared" si="205"/>
        <v>5.4872820805944557E-2</v>
      </c>
      <c r="P2234">
        <f t="shared" si="206"/>
        <v>1.2386979166666667</v>
      </c>
      <c r="Q2234" s="2">
        <f t="shared" si="207"/>
        <v>11.891500000000001</v>
      </c>
      <c r="R2234" s="2">
        <f t="shared" si="208"/>
        <v>23.783000000000001</v>
      </c>
      <c r="S2234" s="2">
        <f t="shared" si="209"/>
        <v>6.3280494470840516</v>
      </c>
    </row>
    <row r="2235" spans="1:19" hidden="1">
      <c r="A2235" t="s">
        <v>2288</v>
      </c>
      <c r="B2235" t="s">
        <v>30</v>
      </c>
      <c r="C2235">
        <v>178</v>
      </c>
      <c r="D2235">
        <v>3708</v>
      </c>
      <c r="E2235" s="2">
        <v>192.77</v>
      </c>
      <c r="F2235">
        <v>20</v>
      </c>
      <c r="G2235">
        <v>10</v>
      </c>
      <c r="H2235">
        <v>5.6000000000000001E-2</v>
      </c>
      <c r="I2235" s="3">
        <v>1292</v>
      </c>
      <c r="J2235" s="1" t="s">
        <v>43</v>
      </c>
      <c r="K2235" t="s">
        <v>31</v>
      </c>
      <c r="L2235" t="s">
        <v>9</v>
      </c>
      <c r="M2235" t="s">
        <v>37</v>
      </c>
      <c r="N2235" s="1">
        <f t="shared" si="204"/>
        <v>45612</v>
      </c>
      <c r="O2235" s="4">
        <f t="shared" si="205"/>
        <v>4.8004314994606258E-2</v>
      </c>
      <c r="P2235">
        <f t="shared" si="206"/>
        <v>1.0829775280898877</v>
      </c>
      <c r="Q2235" s="2">
        <f t="shared" si="207"/>
        <v>9.6385000000000005</v>
      </c>
      <c r="R2235" s="2">
        <f t="shared" si="208"/>
        <v>19.277000000000001</v>
      </c>
      <c r="S2235" s="2">
        <f t="shared" si="209"/>
        <v>6.7022877003683146</v>
      </c>
    </row>
    <row r="2236" spans="1:19" hidden="1">
      <c r="A2236" t="s">
        <v>2289</v>
      </c>
      <c r="B2236" t="s">
        <v>30</v>
      </c>
      <c r="C2236">
        <v>191</v>
      </c>
      <c r="D2236">
        <v>3302</v>
      </c>
      <c r="E2236" s="2">
        <v>207.75</v>
      </c>
      <c r="F2236">
        <v>18</v>
      </c>
      <c r="G2236">
        <v>9</v>
      </c>
      <c r="H2236">
        <v>4.7E-2</v>
      </c>
      <c r="I2236" s="3">
        <v>1505</v>
      </c>
      <c r="J2236" s="1" t="s">
        <v>100</v>
      </c>
      <c r="K2236" t="s">
        <v>31</v>
      </c>
      <c r="L2236" t="s">
        <v>8</v>
      </c>
      <c r="M2236" t="s">
        <v>32</v>
      </c>
      <c r="N2236" s="1">
        <f t="shared" si="204"/>
        <v>45622</v>
      </c>
      <c r="O2236" s="4">
        <f t="shared" si="205"/>
        <v>5.7843731072077527E-2</v>
      </c>
      <c r="P2236">
        <f t="shared" si="206"/>
        <v>1.087696335078534</v>
      </c>
      <c r="Q2236" s="2">
        <f t="shared" si="207"/>
        <v>11.541666666666666</v>
      </c>
      <c r="R2236" s="2">
        <f t="shared" si="208"/>
        <v>23.083333333333332</v>
      </c>
      <c r="S2236" s="2">
        <f t="shared" si="209"/>
        <v>7.2442839951865219</v>
      </c>
    </row>
    <row r="2237" spans="1:19">
      <c r="A2237" t="s">
        <v>2290</v>
      </c>
      <c r="B2237" t="s">
        <v>30</v>
      </c>
      <c r="C2237">
        <v>147</v>
      </c>
      <c r="D2237">
        <v>3131</v>
      </c>
      <c r="E2237" s="2">
        <v>242.53</v>
      </c>
      <c r="F2237">
        <v>10</v>
      </c>
      <c r="G2237">
        <v>4</v>
      </c>
      <c r="H2237">
        <v>4.5999999999999999E-2</v>
      </c>
      <c r="I2237" s="3">
        <v>1231</v>
      </c>
      <c r="J2237" s="1">
        <v>45614</v>
      </c>
      <c r="K2237" t="s">
        <v>31</v>
      </c>
      <c r="L2237" t="s">
        <v>7</v>
      </c>
      <c r="M2237" t="s">
        <v>35</v>
      </c>
      <c r="N2237" s="1">
        <f t="shared" si="204"/>
        <v>45614</v>
      </c>
      <c r="O2237" s="4">
        <f t="shared" si="205"/>
        <v>4.6949856275950178E-2</v>
      </c>
      <c r="P2237">
        <f t="shared" si="206"/>
        <v>1.6498639455782314</v>
      </c>
      <c r="Q2237" s="2">
        <f t="shared" si="207"/>
        <v>24.253</v>
      </c>
      <c r="R2237" s="2">
        <f t="shared" si="208"/>
        <v>60.6325</v>
      </c>
      <c r="S2237" s="2">
        <f t="shared" si="209"/>
        <v>5.0756607430008662</v>
      </c>
    </row>
    <row r="2238" spans="1:19" hidden="1">
      <c r="A2238" t="s">
        <v>2291</v>
      </c>
      <c r="B2238" t="s">
        <v>30</v>
      </c>
      <c r="C2238">
        <v>88</v>
      </c>
      <c r="D2238">
        <v>5145</v>
      </c>
      <c r="E2238" s="2">
        <v>242.9</v>
      </c>
      <c r="F2238">
        <v>16</v>
      </c>
      <c r="G2238">
        <v>10</v>
      </c>
      <c r="H2238">
        <v>4.2999999999999997E-2</v>
      </c>
      <c r="I2238" s="3">
        <v>1963</v>
      </c>
      <c r="J2238" s="1">
        <v>45610</v>
      </c>
      <c r="K2238" t="s">
        <v>31</v>
      </c>
      <c r="L2238" t="s">
        <v>9</v>
      </c>
      <c r="M2238" t="s">
        <v>46</v>
      </c>
      <c r="N2238" s="1">
        <f t="shared" si="204"/>
        <v>45610</v>
      </c>
      <c r="O2238" s="4">
        <f t="shared" si="205"/>
        <v>1.7103984450923225E-2</v>
      </c>
      <c r="P2238">
        <f t="shared" si="206"/>
        <v>2.7602272727272728</v>
      </c>
      <c r="Q2238" s="2">
        <f t="shared" si="207"/>
        <v>15.18125</v>
      </c>
      <c r="R2238" s="2">
        <f t="shared" si="208"/>
        <v>24.29</v>
      </c>
      <c r="S2238" s="2">
        <f t="shared" si="209"/>
        <v>8.081515026759984</v>
      </c>
    </row>
    <row r="2239" spans="1:19">
      <c r="A2239" t="s">
        <v>2292</v>
      </c>
      <c r="B2239" t="s">
        <v>30</v>
      </c>
      <c r="C2239">
        <v>92</v>
      </c>
      <c r="D2239">
        <v>5241</v>
      </c>
      <c r="E2239" s="2">
        <v>223.48</v>
      </c>
      <c r="F2239">
        <v>23</v>
      </c>
      <c r="G2239">
        <v>9</v>
      </c>
      <c r="H2239">
        <v>4.5999999999999999E-2</v>
      </c>
      <c r="I2239" s="3">
        <v>1050</v>
      </c>
      <c r="J2239" s="1">
        <v>45614</v>
      </c>
      <c r="K2239" t="s">
        <v>31</v>
      </c>
      <c r="L2239" t="s">
        <v>7</v>
      </c>
      <c r="M2239" t="s">
        <v>37</v>
      </c>
      <c r="N2239" s="1">
        <f t="shared" si="204"/>
        <v>45614</v>
      </c>
      <c r="O2239" s="4">
        <f t="shared" si="205"/>
        <v>1.7553901927113147E-2</v>
      </c>
      <c r="P2239">
        <f t="shared" si="206"/>
        <v>2.4291304347826084</v>
      </c>
      <c r="Q2239" s="2">
        <f t="shared" si="207"/>
        <v>9.7165217391304335</v>
      </c>
      <c r="R2239" s="2">
        <f t="shared" si="208"/>
        <v>24.83111111111111</v>
      </c>
      <c r="S2239" s="2">
        <f t="shared" si="209"/>
        <v>4.6984070162878115</v>
      </c>
    </row>
    <row r="2240" spans="1:19" hidden="1">
      <c r="A2240" t="s">
        <v>2293</v>
      </c>
      <c r="B2240" t="s">
        <v>30</v>
      </c>
      <c r="C2240">
        <v>148</v>
      </c>
      <c r="D2240">
        <v>4149</v>
      </c>
      <c r="E2240" s="2">
        <v>223.33</v>
      </c>
      <c r="F2240">
        <v>30</v>
      </c>
      <c r="G2240">
        <v>6</v>
      </c>
      <c r="H2240">
        <v>4.1000000000000002E-2</v>
      </c>
      <c r="I2240" s="3">
        <v>1318</v>
      </c>
      <c r="J2240" s="1">
        <v>45604</v>
      </c>
      <c r="K2240" t="s">
        <v>31</v>
      </c>
      <c r="L2240" t="s">
        <v>9</v>
      </c>
      <c r="M2240" t="s">
        <v>35</v>
      </c>
      <c r="N2240" s="1">
        <f t="shared" si="204"/>
        <v>45604</v>
      </c>
      <c r="O2240" s="4">
        <f t="shared" si="205"/>
        <v>3.5671246083393587E-2</v>
      </c>
      <c r="P2240">
        <f t="shared" si="206"/>
        <v>1.5089864864864866</v>
      </c>
      <c r="Q2240" s="2">
        <f t="shared" si="207"/>
        <v>7.4443333333333337</v>
      </c>
      <c r="R2240" s="2">
        <f t="shared" si="208"/>
        <v>37.221666666666671</v>
      </c>
      <c r="S2240" s="2">
        <f t="shared" si="209"/>
        <v>5.9015806206062775</v>
      </c>
    </row>
    <row r="2241" spans="1:19">
      <c r="A2241" t="s">
        <v>2294</v>
      </c>
      <c r="B2241" t="s">
        <v>30</v>
      </c>
      <c r="C2241">
        <v>127</v>
      </c>
      <c r="D2241">
        <v>3791</v>
      </c>
      <c r="E2241" s="2">
        <v>231.06</v>
      </c>
      <c r="F2241">
        <v>11</v>
      </c>
      <c r="G2241">
        <v>6</v>
      </c>
      <c r="H2241">
        <v>4.5999999999999999E-2</v>
      </c>
      <c r="I2241" s="3">
        <v>1351</v>
      </c>
      <c r="J2241" s="1">
        <v>45362</v>
      </c>
      <c r="K2241" t="s">
        <v>31</v>
      </c>
      <c r="L2241" t="s">
        <v>7</v>
      </c>
      <c r="M2241" t="s">
        <v>41</v>
      </c>
      <c r="N2241" s="1">
        <f t="shared" si="204"/>
        <v>45362</v>
      </c>
      <c r="O2241" s="4">
        <f t="shared" si="205"/>
        <v>3.350039567396465E-2</v>
      </c>
      <c r="P2241">
        <f t="shared" si="206"/>
        <v>1.8193700787401574</v>
      </c>
      <c r="Q2241" s="2">
        <f t="shared" si="207"/>
        <v>21.005454545454544</v>
      </c>
      <c r="R2241" s="2">
        <f t="shared" si="208"/>
        <v>38.51</v>
      </c>
      <c r="S2241" s="2">
        <f t="shared" si="209"/>
        <v>5.8469661559768022</v>
      </c>
    </row>
    <row r="2242" spans="1:19" hidden="1">
      <c r="A2242" t="s">
        <v>2295</v>
      </c>
      <c r="B2242" t="s">
        <v>30</v>
      </c>
      <c r="C2242">
        <v>156</v>
      </c>
      <c r="D2242">
        <v>4375</v>
      </c>
      <c r="E2242" s="2">
        <v>249.33</v>
      </c>
      <c r="F2242">
        <v>26</v>
      </c>
      <c r="G2242">
        <v>6</v>
      </c>
      <c r="H2242">
        <v>3.7999999999999999E-2</v>
      </c>
      <c r="I2242" s="3">
        <v>1663</v>
      </c>
      <c r="J2242" s="1" t="s">
        <v>89</v>
      </c>
      <c r="K2242" t="s">
        <v>31</v>
      </c>
      <c r="L2242" t="s">
        <v>9</v>
      </c>
      <c r="M2242" t="s">
        <v>35</v>
      </c>
      <c r="N2242" s="1">
        <f t="shared" ref="N2242:N2305" si="210">IF(A2242="","",IF(ISNUMBER(J2242),J2242,IF(MID(J2242,5,1)="-",DATE(LEFT(J2242,4),MID(J2242,6,2),RIGHT(J2242,2)),IF(MID(J2242,5,1)="/",DATE(LEFT(J2242,4),MID(J2242,6,2),RIGHT(J2242,2)),DATE(RIGHT(J2242,4),MID(J2242,4,2),LEFT(J2242,2))))))</f>
        <v>45611</v>
      </c>
      <c r="O2242" s="4">
        <f t="shared" ref="O2242:O2305" si="211">IFERROR(C2242/D2242,0)</f>
        <v>3.5657142857142859E-2</v>
      </c>
      <c r="P2242">
        <f t="shared" ref="P2242:P2305" si="212">IFERROR(E2242/C2242,0)</f>
        <v>1.5982692307692308</v>
      </c>
      <c r="Q2242" s="2">
        <f t="shared" ref="Q2242:Q2305" si="213">IFERROR(E2242/F2242,0)</f>
        <v>9.5896153846153851</v>
      </c>
      <c r="R2242" s="2">
        <f t="shared" ref="R2242:R2305" si="214">IFERROR(E2242/G2242,0)</f>
        <v>41.555</v>
      </c>
      <c r="S2242" s="2">
        <f t="shared" ref="S2242:S2305" si="215">IFERROR(I2242/E2242,0)</f>
        <v>6.6698752657121085</v>
      </c>
    </row>
    <row r="2243" spans="1:19" hidden="1">
      <c r="A2243" t="s">
        <v>2296</v>
      </c>
      <c r="B2243" t="s">
        <v>30</v>
      </c>
      <c r="C2243">
        <v>176</v>
      </c>
      <c r="D2243">
        <v>3753</v>
      </c>
      <c r="E2243" s="2">
        <v>201.76</v>
      </c>
      <c r="F2243">
        <v>11</v>
      </c>
      <c r="G2243">
        <v>4</v>
      </c>
      <c r="H2243">
        <v>2.3E-2</v>
      </c>
      <c r="I2243" s="3">
        <v>1070</v>
      </c>
      <c r="J2243" s="1">
        <v>45603</v>
      </c>
      <c r="K2243" t="s">
        <v>31</v>
      </c>
      <c r="L2243" t="s">
        <v>8</v>
      </c>
      <c r="M2243" t="s">
        <v>39</v>
      </c>
      <c r="N2243" s="1">
        <f t="shared" si="210"/>
        <v>45603</v>
      </c>
      <c r="O2243" s="4">
        <f t="shared" si="211"/>
        <v>4.6895816679989343E-2</v>
      </c>
      <c r="P2243">
        <f t="shared" si="212"/>
        <v>1.1463636363636363</v>
      </c>
      <c r="Q2243" s="2">
        <f t="shared" si="213"/>
        <v>18.34181818181818</v>
      </c>
      <c r="R2243" s="2">
        <f t="shared" si="214"/>
        <v>50.44</v>
      </c>
      <c r="S2243" s="2">
        <f t="shared" si="215"/>
        <v>5.3033306899286279</v>
      </c>
    </row>
    <row r="2244" spans="1:19" hidden="1">
      <c r="A2244" t="s">
        <v>2297</v>
      </c>
      <c r="B2244" t="s">
        <v>30</v>
      </c>
      <c r="C2244">
        <v>145</v>
      </c>
      <c r="D2244">
        <v>4275</v>
      </c>
      <c r="E2244" s="2">
        <v>185.05</v>
      </c>
      <c r="F2244">
        <v>25</v>
      </c>
      <c r="G2244">
        <v>7</v>
      </c>
      <c r="H2244">
        <v>3.5999999999999997E-2</v>
      </c>
      <c r="I2244" s="3">
        <v>1574</v>
      </c>
      <c r="J2244" s="1">
        <v>45546</v>
      </c>
      <c r="K2244" t="s">
        <v>31</v>
      </c>
      <c r="L2244" t="s">
        <v>7</v>
      </c>
      <c r="M2244" t="s">
        <v>39</v>
      </c>
      <c r="N2244" s="1">
        <f t="shared" si="210"/>
        <v>45546</v>
      </c>
      <c r="O2244" s="4">
        <f t="shared" si="211"/>
        <v>3.3918128654970757E-2</v>
      </c>
      <c r="P2244">
        <f t="shared" si="212"/>
        <v>1.2762068965517241</v>
      </c>
      <c r="Q2244" s="2">
        <f t="shared" si="213"/>
        <v>7.4020000000000001</v>
      </c>
      <c r="R2244" s="2">
        <f t="shared" si="214"/>
        <v>26.435714285714287</v>
      </c>
      <c r="S2244" s="2">
        <f t="shared" si="215"/>
        <v>8.5058092407457444</v>
      </c>
    </row>
    <row r="2245" spans="1:19" hidden="1">
      <c r="A2245" t="s">
        <v>2298</v>
      </c>
      <c r="B2245" t="s">
        <v>30</v>
      </c>
      <c r="C2245">
        <v>136</v>
      </c>
      <c r="D2245">
        <v>4332</v>
      </c>
      <c r="E2245" s="2">
        <v>234.52</v>
      </c>
      <c r="F2245">
        <v>19</v>
      </c>
      <c r="G2245">
        <v>6</v>
      </c>
      <c r="H2245">
        <v>4.2999999999999997E-2</v>
      </c>
      <c r="I2245" s="3">
        <v>1162</v>
      </c>
      <c r="J2245" s="1">
        <v>45614</v>
      </c>
      <c r="K2245" t="s">
        <v>31</v>
      </c>
      <c r="L2245" t="s">
        <v>7</v>
      </c>
      <c r="M2245" t="s">
        <v>32</v>
      </c>
      <c r="N2245" s="1">
        <f t="shared" si="210"/>
        <v>45614</v>
      </c>
      <c r="O2245" s="4">
        <f t="shared" si="211"/>
        <v>3.139427516158818E-2</v>
      </c>
      <c r="P2245">
        <f t="shared" si="212"/>
        <v>1.7244117647058825</v>
      </c>
      <c r="Q2245" s="2">
        <f t="shared" si="213"/>
        <v>12.343157894736843</v>
      </c>
      <c r="R2245" s="2">
        <f t="shared" si="214"/>
        <v>39.086666666666666</v>
      </c>
      <c r="S2245" s="2">
        <f t="shared" si="215"/>
        <v>4.9548012962647103</v>
      </c>
    </row>
    <row r="2246" spans="1:19">
      <c r="A2246" t="s">
        <v>2299</v>
      </c>
      <c r="B2246" t="s">
        <v>30</v>
      </c>
      <c r="C2246">
        <v>150</v>
      </c>
      <c r="D2246">
        <v>4001</v>
      </c>
      <c r="E2246" s="2">
        <v>219.1</v>
      </c>
      <c r="F2246">
        <v>25</v>
      </c>
      <c r="G2246">
        <v>6</v>
      </c>
      <c r="H2246">
        <v>4.5999999999999999E-2</v>
      </c>
      <c r="I2246" s="3">
        <v>1365</v>
      </c>
      <c r="J2246" s="1">
        <v>45605</v>
      </c>
      <c r="K2246" t="s">
        <v>31</v>
      </c>
      <c r="L2246" t="s">
        <v>9</v>
      </c>
      <c r="M2246" t="s">
        <v>41</v>
      </c>
      <c r="N2246" s="1">
        <f t="shared" si="210"/>
        <v>45605</v>
      </c>
      <c r="O2246" s="4">
        <f t="shared" si="211"/>
        <v>3.7490627343164211E-2</v>
      </c>
      <c r="P2246">
        <f t="shared" si="212"/>
        <v>1.4606666666666666</v>
      </c>
      <c r="Q2246" s="2">
        <f t="shared" si="213"/>
        <v>8.7639999999999993</v>
      </c>
      <c r="R2246" s="2">
        <f t="shared" si="214"/>
        <v>36.516666666666666</v>
      </c>
      <c r="S2246" s="2">
        <f t="shared" si="215"/>
        <v>6.2300319488817895</v>
      </c>
    </row>
    <row r="2247" spans="1:19" hidden="1">
      <c r="A2247" t="s">
        <v>2300</v>
      </c>
      <c r="B2247" t="s">
        <v>30</v>
      </c>
      <c r="C2247">
        <v>145</v>
      </c>
      <c r="D2247">
        <v>4436</v>
      </c>
      <c r="E2247" s="2">
        <v>190.63</v>
      </c>
      <c r="F2247">
        <v>13</v>
      </c>
      <c r="G2247">
        <v>10</v>
      </c>
      <c r="H2247">
        <v>6.9000000000000006E-2</v>
      </c>
      <c r="I2247" s="3">
        <v>1502</v>
      </c>
      <c r="J2247" s="1">
        <v>45617</v>
      </c>
      <c r="K2247" t="s">
        <v>31</v>
      </c>
      <c r="L2247" t="s">
        <v>9</v>
      </c>
      <c r="M2247" t="s">
        <v>35</v>
      </c>
      <c r="N2247" s="1">
        <f t="shared" si="210"/>
        <v>45617</v>
      </c>
      <c r="O2247" s="4">
        <f t="shared" si="211"/>
        <v>3.2687105500450855E-2</v>
      </c>
      <c r="P2247">
        <f t="shared" si="212"/>
        <v>1.3146896551724137</v>
      </c>
      <c r="Q2247" s="2">
        <f t="shared" si="213"/>
        <v>14.663846153846153</v>
      </c>
      <c r="R2247" s="2">
        <f t="shared" si="214"/>
        <v>19.062999999999999</v>
      </c>
      <c r="S2247" s="2">
        <f t="shared" si="215"/>
        <v>7.8791375963909145</v>
      </c>
    </row>
    <row r="2248" spans="1:19" hidden="1">
      <c r="A2248" t="s">
        <v>2301</v>
      </c>
      <c r="B2248" t="s">
        <v>30</v>
      </c>
      <c r="C2248">
        <v>165</v>
      </c>
      <c r="D2248">
        <v>5661</v>
      </c>
      <c r="E2248" s="2">
        <v>215.57</v>
      </c>
      <c r="F2248">
        <v>28</v>
      </c>
      <c r="G2248">
        <v>6</v>
      </c>
      <c r="H2248">
        <v>3.5999999999999997E-2</v>
      </c>
      <c r="I2248" s="3">
        <v>1848</v>
      </c>
      <c r="J2248" s="1">
        <v>45598</v>
      </c>
      <c r="K2248" t="s">
        <v>31</v>
      </c>
      <c r="L2248" t="s">
        <v>7</v>
      </c>
      <c r="M2248" t="s">
        <v>37</v>
      </c>
      <c r="N2248" s="1">
        <f t="shared" si="210"/>
        <v>45598</v>
      </c>
      <c r="O2248" s="4">
        <f t="shared" si="211"/>
        <v>2.9146793852676205E-2</v>
      </c>
      <c r="P2248">
        <f t="shared" si="212"/>
        <v>1.3064848484848484</v>
      </c>
      <c r="Q2248" s="2">
        <f t="shared" si="213"/>
        <v>7.6989285714285716</v>
      </c>
      <c r="R2248" s="2">
        <f t="shared" si="214"/>
        <v>35.928333333333335</v>
      </c>
      <c r="S2248" s="2">
        <f t="shared" si="215"/>
        <v>8.5726214222758266</v>
      </c>
    </row>
    <row r="2249" spans="1:19" hidden="1">
      <c r="A2249" t="s">
        <v>2302</v>
      </c>
      <c r="B2249" t="s">
        <v>30</v>
      </c>
      <c r="C2249">
        <v>183</v>
      </c>
      <c r="D2249">
        <v>5746</v>
      </c>
      <c r="E2249" s="2">
        <v>248.15</v>
      </c>
      <c r="F2249">
        <v>14</v>
      </c>
      <c r="G2249">
        <v>5</v>
      </c>
      <c r="H2249">
        <v>5.2999999999999999E-2</v>
      </c>
      <c r="I2249" s="3">
        <v>1012</v>
      </c>
      <c r="J2249" s="1" t="s">
        <v>206</v>
      </c>
      <c r="K2249" t="s">
        <v>31</v>
      </c>
      <c r="L2249" t="s">
        <v>9</v>
      </c>
      <c r="M2249" t="s">
        <v>35</v>
      </c>
      <c r="N2249" s="1">
        <f t="shared" si="210"/>
        <v>45621</v>
      </c>
      <c r="O2249" s="4">
        <f t="shared" si="211"/>
        <v>3.1848242255482072E-2</v>
      </c>
      <c r="P2249">
        <f t="shared" si="212"/>
        <v>1.3560109289617486</v>
      </c>
      <c r="Q2249" s="2">
        <f t="shared" si="213"/>
        <v>17.725000000000001</v>
      </c>
      <c r="R2249" s="2">
        <f t="shared" si="214"/>
        <v>49.63</v>
      </c>
      <c r="S2249" s="2">
        <f t="shared" si="215"/>
        <v>4.078178521055813</v>
      </c>
    </row>
    <row r="2250" spans="1:19" hidden="1">
      <c r="A2250" t="s">
        <v>2303</v>
      </c>
      <c r="B2250" t="s">
        <v>30</v>
      </c>
      <c r="C2250">
        <v>176</v>
      </c>
      <c r="D2250">
        <v>3906</v>
      </c>
      <c r="E2250" s="2">
        <v>214</v>
      </c>
      <c r="F2250">
        <v>29</v>
      </c>
      <c r="G2250">
        <v>4</v>
      </c>
      <c r="H2250">
        <v>3.6999999999999998E-2</v>
      </c>
      <c r="I2250" s="3">
        <v>1382</v>
      </c>
      <c r="J2250" s="1" t="s">
        <v>206</v>
      </c>
      <c r="K2250" t="s">
        <v>31</v>
      </c>
      <c r="L2250" t="s">
        <v>9</v>
      </c>
      <c r="M2250" t="s">
        <v>41</v>
      </c>
      <c r="N2250" s="1">
        <f t="shared" si="210"/>
        <v>45621</v>
      </c>
      <c r="O2250" s="4">
        <f t="shared" si="211"/>
        <v>4.5058883768561188E-2</v>
      </c>
      <c r="P2250">
        <f t="shared" si="212"/>
        <v>1.2159090909090908</v>
      </c>
      <c r="Q2250" s="2">
        <f t="shared" si="213"/>
        <v>7.3793103448275863</v>
      </c>
      <c r="R2250" s="2">
        <f t="shared" si="214"/>
        <v>53.5</v>
      </c>
      <c r="S2250" s="2">
        <f t="shared" si="215"/>
        <v>6.4579439252336446</v>
      </c>
    </row>
    <row r="2251" spans="1:19">
      <c r="A2251" t="s">
        <v>2304</v>
      </c>
      <c r="B2251" t="s">
        <v>30</v>
      </c>
      <c r="C2251">
        <v>164</v>
      </c>
      <c r="D2251">
        <v>5127</v>
      </c>
      <c r="E2251" s="2">
        <v>194.76</v>
      </c>
      <c r="F2251">
        <v>20</v>
      </c>
      <c r="G2251">
        <v>5</v>
      </c>
      <c r="H2251">
        <v>4.5999999999999999E-2</v>
      </c>
      <c r="I2251" s="3">
        <v>1505</v>
      </c>
      <c r="J2251" s="1">
        <v>45608</v>
      </c>
      <c r="K2251" t="s">
        <v>31</v>
      </c>
      <c r="L2251" t="s">
        <v>9</v>
      </c>
      <c r="M2251" t="s">
        <v>46</v>
      </c>
      <c r="N2251" s="1">
        <f t="shared" si="210"/>
        <v>45608</v>
      </c>
      <c r="O2251" s="4">
        <f t="shared" si="211"/>
        <v>3.198751706651063E-2</v>
      </c>
      <c r="P2251">
        <f t="shared" si="212"/>
        <v>1.187560975609756</v>
      </c>
      <c r="Q2251" s="2">
        <f t="shared" si="213"/>
        <v>9.7379999999999995</v>
      </c>
      <c r="R2251" s="2">
        <f t="shared" si="214"/>
        <v>38.951999999999998</v>
      </c>
      <c r="S2251" s="2">
        <f t="shared" si="215"/>
        <v>7.7274594372561101</v>
      </c>
    </row>
    <row r="2252" spans="1:19">
      <c r="A2252" t="s">
        <v>2305</v>
      </c>
      <c r="B2252" t="s">
        <v>30</v>
      </c>
      <c r="C2252">
        <v>139</v>
      </c>
      <c r="D2252">
        <v>4093</v>
      </c>
      <c r="E2252" s="2">
        <v>230.81</v>
      </c>
      <c r="F2252">
        <v>15</v>
      </c>
      <c r="G2252">
        <v>6</v>
      </c>
      <c r="H2252">
        <v>4.5999999999999999E-2</v>
      </c>
      <c r="I2252" s="3">
        <v>1713</v>
      </c>
      <c r="J2252" s="1">
        <v>45333</v>
      </c>
      <c r="K2252" t="s">
        <v>31</v>
      </c>
      <c r="L2252" t="s">
        <v>7</v>
      </c>
      <c r="M2252" t="s">
        <v>35</v>
      </c>
      <c r="N2252" s="1">
        <f t="shared" si="210"/>
        <v>45333</v>
      </c>
      <c r="O2252" s="4">
        <f t="shared" si="211"/>
        <v>3.3960420229660393E-2</v>
      </c>
      <c r="P2252">
        <f t="shared" si="212"/>
        <v>1.6605035971223021</v>
      </c>
      <c r="Q2252" s="2">
        <f t="shared" si="213"/>
        <v>15.387333333333334</v>
      </c>
      <c r="R2252" s="2">
        <f t="shared" si="214"/>
        <v>38.468333333333334</v>
      </c>
      <c r="S2252" s="2">
        <f t="shared" si="215"/>
        <v>7.4216888349724881</v>
      </c>
    </row>
    <row r="2253" spans="1:19">
      <c r="A2253" t="s">
        <v>2306</v>
      </c>
      <c r="B2253" t="s">
        <v>30</v>
      </c>
      <c r="C2253">
        <v>95</v>
      </c>
      <c r="D2253">
        <v>4933</v>
      </c>
      <c r="E2253" s="2">
        <v>220.04</v>
      </c>
      <c r="F2253">
        <v>15</v>
      </c>
      <c r="G2253">
        <v>3</v>
      </c>
      <c r="H2253">
        <v>4.5999999999999999E-2</v>
      </c>
      <c r="I2253" s="3">
        <v>1366</v>
      </c>
      <c r="J2253" s="1">
        <v>45600</v>
      </c>
      <c r="K2253" t="s">
        <v>31</v>
      </c>
      <c r="L2253" t="s">
        <v>8</v>
      </c>
      <c r="M2253" t="s">
        <v>39</v>
      </c>
      <c r="N2253" s="1">
        <f t="shared" si="210"/>
        <v>45600</v>
      </c>
      <c r="O2253" s="4">
        <f t="shared" si="211"/>
        <v>1.9258057976890331E-2</v>
      </c>
      <c r="P2253">
        <f t="shared" si="212"/>
        <v>2.3162105263157895</v>
      </c>
      <c r="Q2253" s="2">
        <f t="shared" si="213"/>
        <v>14.669333333333332</v>
      </c>
      <c r="R2253" s="2">
        <f t="shared" si="214"/>
        <v>73.346666666666664</v>
      </c>
      <c r="S2253" s="2">
        <f t="shared" si="215"/>
        <v>6.2079621886929655</v>
      </c>
    </row>
    <row r="2254" spans="1:19">
      <c r="A2254" t="s">
        <v>2307</v>
      </c>
      <c r="B2254" t="s">
        <v>30</v>
      </c>
      <c r="C2254">
        <v>83</v>
      </c>
      <c r="D2254">
        <v>5180</v>
      </c>
      <c r="E2254" s="2">
        <v>209.62</v>
      </c>
      <c r="F2254">
        <v>30</v>
      </c>
      <c r="G2254">
        <v>4</v>
      </c>
      <c r="H2254">
        <v>4.5999999999999999E-2</v>
      </c>
      <c r="I2254" s="3">
        <v>1972</v>
      </c>
      <c r="J2254" s="1">
        <v>45609</v>
      </c>
      <c r="K2254" t="s">
        <v>31</v>
      </c>
      <c r="L2254" t="s">
        <v>7</v>
      </c>
      <c r="M2254" t="s">
        <v>46</v>
      </c>
      <c r="N2254" s="1">
        <f t="shared" si="210"/>
        <v>45609</v>
      </c>
      <c r="O2254" s="4">
        <f t="shared" si="211"/>
        <v>1.6023166023166023E-2</v>
      </c>
      <c r="P2254">
        <f t="shared" si="212"/>
        <v>2.5255421686746988</v>
      </c>
      <c r="Q2254" s="2">
        <f t="shared" si="213"/>
        <v>6.9873333333333338</v>
      </c>
      <c r="R2254" s="2">
        <f t="shared" si="214"/>
        <v>52.405000000000001</v>
      </c>
      <c r="S2254" s="2">
        <f t="shared" si="215"/>
        <v>9.4074992844194263</v>
      </c>
    </row>
    <row r="2255" spans="1:19" hidden="1">
      <c r="A2255" t="s">
        <v>2308</v>
      </c>
      <c r="B2255" t="s">
        <v>30</v>
      </c>
      <c r="C2255">
        <v>91</v>
      </c>
      <c r="D2255">
        <v>4988</v>
      </c>
      <c r="E2255" s="2">
        <v>217.34</v>
      </c>
      <c r="F2255">
        <v>10</v>
      </c>
      <c r="G2255">
        <v>10</v>
      </c>
      <c r="H2255">
        <v>0.11</v>
      </c>
      <c r="I2255" s="3">
        <v>1508</v>
      </c>
      <c r="J2255" s="1" t="s">
        <v>86</v>
      </c>
      <c r="K2255" t="s">
        <v>31</v>
      </c>
      <c r="L2255" t="s">
        <v>8</v>
      </c>
      <c r="M2255" t="s">
        <v>32</v>
      </c>
      <c r="N2255" s="1">
        <f t="shared" si="210"/>
        <v>45625</v>
      </c>
      <c r="O2255" s="4">
        <f t="shared" si="211"/>
        <v>1.8243785084202085E-2</v>
      </c>
      <c r="P2255">
        <f t="shared" si="212"/>
        <v>2.3883516483516485</v>
      </c>
      <c r="Q2255" s="2">
        <f t="shared" si="213"/>
        <v>21.734000000000002</v>
      </c>
      <c r="R2255" s="2">
        <f t="shared" si="214"/>
        <v>21.734000000000002</v>
      </c>
      <c r="S2255" s="2">
        <f t="shared" si="215"/>
        <v>6.9384374712432129</v>
      </c>
    </row>
    <row r="2256" spans="1:19" hidden="1">
      <c r="A2256" t="s">
        <v>2309</v>
      </c>
      <c r="B2256" t="s">
        <v>30</v>
      </c>
      <c r="C2256">
        <v>107</v>
      </c>
      <c r="D2256">
        <v>5510</v>
      </c>
      <c r="E2256" s="2">
        <v>216.1</v>
      </c>
      <c r="F2256">
        <v>14</v>
      </c>
      <c r="G2256">
        <v>8</v>
      </c>
      <c r="H2256">
        <v>7.4999999999999997E-2</v>
      </c>
      <c r="I2256" s="3">
        <v>1857</v>
      </c>
      <c r="J2256" s="1" t="s">
        <v>348</v>
      </c>
      <c r="K2256" t="s">
        <v>31</v>
      </c>
      <c r="L2256" t="s">
        <v>8</v>
      </c>
      <c r="M2256" t="s">
        <v>41</v>
      </c>
      <c r="N2256" s="1">
        <f t="shared" si="210"/>
        <v>45615</v>
      </c>
      <c r="O2256" s="4">
        <f t="shared" si="211"/>
        <v>1.9419237749546278E-2</v>
      </c>
      <c r="P2256">
        <f t="shared" si="212"/>
        <v>2.0196261682242991</v>
      </c>
      <c r="Q2256" s="2">
        <f t="shared" si="213"/>
        <v>15.435714285714285</v>
      </c>
      <c r="R2256" s="2">
        <f t="shared" si="214"/>
        <v>27.012499999999999</v>
      </c>
      <c r="S2256" s="2">
        <f t="shared" si="215"/>
        <v>8.5932438685793624</v>
      </c>
    </row>
    <row r="2257" spans="1:19" hidden="1">
      <c r="A2257" t="s">
        <v>2310</v>
      </c>
      <c r="B2257" t="s">
        <v>30</v>
      </c>
      <c r="C2257">
        <v>83</v>
      </c>
      <c r="D2257">
        <v>3187</v>
      </c>
      <c r="E2257" s="2">
        <v>215.57</v>
      </c>
      <c r="F2257">
        <v>25</v>
      </c>
      <c r="G2257">
        <v>10</v>
      </c>
      <c r="H2257">
        <v>3.4000000000000002E-2</v>
      </c>
      <c r="I2257" s="3">
        <v>1571</v>
      </c>
      <c r="J2257" s="1">
        <v>45603</v>
      </c>
      <c r="K2257" t="s">
        <v>31</v>
      </c>
      <c r="L2257" t="s">
        <v>8</v>
      </c>
      <c r="M2257" t="s">
        <v>32</v>
      </c>
      <c r="N2257" s="1">
        <f t="shared" si="210"/>
        <v>45603</v>
      </c>
      <c r="O2257" s="4">
        <f t="shared" si="211"/>
        <v>2.6043300909946658E-2</v>
      </c>
      <c r="P2257">
        <f t="shared" si="212"/>
        <v>2.5972289156626505</v>
      </c>
      <c r="Q2257" s="2">
        <f t="shared" si="213"/>
        <v>8.6227999999999998</v>
      </c>
      <c r="R2257" s="2">
        <f t="shared" si="214"/>
        <v>21.556999999999999</v>
      </c>
      <c r="S2257" s="2">
        <f t="shared" si="215"/>
        <v>7.2876559818156519</v>
      </c>
    </row>
    <row r="2258" spans="1:19" hidden="1">
      <c r="A2258" t="s">
        <v>2311</v>
      </c>
      <c r="B2258" t="s">
        <v>30</v>
      </c>
      <c r="C2258">
        <v>166</v>
      </c>
      <c r="D2258">
        <v>3788</v>
      </c>
      <c r="E2258" s="2">
        <v>238.56</v>
      </c>
      <c r="F2258">
        <v>18</v>
      </c>
      <c r="G2258">
        <v>8</v>
      </c>
      <c r="H2258">
        <v>4.8000000000000001E-2</v>
      </c>
      <c r="I2258" s="3">
        <v>1657</v>
      </c>
      <c r="J2258" s="1">
        <v>45454</v>
      </c>
      <c r="K2258" t="s">
        <v>31</v>
      </c>
      <c r="L2258" t="s">
        <v>8</v>
      </c>
      <c r="M2258" t="s">
        <v>32</v>
      </c>
      <c r="N2258" s="1">
        <f t="shared" si="210"/>
        <v>45454</v>
      </c>
      <c r="O2258" s="4">
        <f t="shared" si="211"/>
        <v>4.3822597676874339E-2</v>
      </c>
      <c r="P2258">
        <f t="shared" si="212"/>
        <v>1.4371084337349398</v>
      </c>
      <c r="Q2258" s="2">
        <f t="shared" si="213"/>
        <v>13.253333333333334</v>
      </c>
      <c r="R2258" s="2">
        <f t="shared" si="214"/>
        <v>29.82</v>
      </c>
      <c r="S2258" s="2">
        <f t="shared" si="215"/>
        <v>6.9458417169684772</v>
      </c>
    </row>
    <row r="2259" spans="1:19">
      <c r="A2259" t="s">
        <v>2312</v>
      </c>
      <c r="B2259" t="s">
        <v>30</v>
      </c>
      <c r="C2259">
        <v>182</v>
      </c>
      <c r="D2259">
        <v>4575</v>
      </c>
      <c r="E2259" s="2">
        <v>233.74</v>
      </c>
      <c r="F2259">
        <v>24</v>
      </c>
      <c r="G2259">
        <v>10</v>
      </c>
      <c r="H2259">
        <v>4.5999999999999999E-2</v>
      </c>
      <c r="I2259" s="3">
        <v>1844</v>
      </c>
      <c r="J2259" s="1">
        <v>45609</v>
      </c>
      <c r="K2259" t="s">
        <v>31</v>
      </c>
      <c r="L2259" t="s">
        <v>8</v>
      </c>
      <c r="M2259" t="s">
        <v>32</v>
      </c>
      <c r="N2259" s="1">
        <f t="shared" si="210"/>
        <v>45609</v>
      </c>
      <c r="O2259" s="4">
        <f t="shared" si="211"/>
        <v>3.9781420765027324E-2</v>
      </c>
      <c r="P2259">
        <f t="shared" si="212"/>
        <v>1.2842857142857143</v>
      </c>
      <c r="Q2259" s="2">
        <f t="shared" si="213"/>
        <v>9.7391666666666676</v>
      </c>
      <c r="R2259" s="2">
        <f t="shared" si="214"/>
        <v>23.374000000000002</v>
      </c>
      <c r="S2259" s="2">
        <f t="shared" si="215"/>
        <v>7.8891075554034398</v>
      </c>
    </row>
    <row r="2260" spans="1:19" hidden="1">
      <c r="A2260" t="s">
        <v>2313</v>
      </c>
      <c r="B2260" t="s">
        <v>30</v>
      </c>
      <c r="C2260">
        <v>188</v>
      </c>
      <c r="D2260">
        <v>4382</v>
      </c>
      <c r="E2260" s="2">
        <v>249.5</v>
      </c>
      <c r="F2260">
        <v>12</v>
      </c>
      <c r="G2260">
        <v>9</v>
      </c>
      <c r="H2260">
        <v>4.9000000000000002E-2</v>
      </c>
      <c r="I2260" s="3">
        <v>1746</v>
      </c>
      <c r="J2260" s="1" t="s">
        <v>217</v>
      </c>
      <c r="K2260" t="s">
        <v>31</v>
      </c>
      <c r="L2260" t="s">
        <v>7</v>
      </c>
      <c r="M2260" t="s">
        <v>46</v>
      </c>
      <c r="N2260" s="1">
        <f t="shared" si="210"/>
        <v>45609</v>
      </c>
      <c r="O2260" s="4">
        <f t="shared" si="211"/>
        <v>4.2902784116841626E-2</v>
      </c>
      <c r="P2260">
        <f t="shared" si="212"/>
        <v>1.3271276595744681</v>
      </c>
      <c r="Q2260" s="2">
        <f t="shared" si="213"/>
        <v>20.791666666666668</v>
      </c>
      <c r="R2260" s="2">
        <f t="shared" si="214"/>
        <v>27.722222222222221</v>
      </c>
      <c r="S2260" s="2">
        <f t="shared" si="215"/>
        <v>6.9979959919839683</v>
      </c>
    </row>
    <row r="2261" spans="1:19">
      <c r="A2261" t="s">
        <v>2314</v>
      </c>
      <c r="B2261" t="s">
        <v>30</v>
      </c>
      <c r="C2261">
        <v>107</v>
      </c>
      <c r="D2261">
        <v>4605</v>
      </c>
      <c r="E2261" s="2">
        <v>230.74</v>
      </c>
      <c r="F2261">
        <v>17</v>
      </c>
      <c r="G2261">
        <v>7</v>
      </c>
      <c r="H2261">
        <v>4.5999999999999999E-2</v>
      </c>
      <c r="I2261" s="3">
        <v>1590</v>
      </c>
      <c r="J2261" s="1">
        <v>45614</v>
      </c>
      <c r="K2261" t="s">
        <v>31</v>
      </c>
      <c r="L2261" t="s">
        <v>9</v>
      </c>
      <c r="M2261" t="s">
        <v>41</v>
      </c>
      <c r="N2261" s="1">
        <f t="shared" si="210"/>
        <v>45614</v>
      </c>
      <c r="O2261" s="4">
        <f t="shared" si="211"/>
        <v>2.3235613463626494E-2</v>
      </c>
      <c r="P2261">
        <f t="shared" si="212"/>
        <v>2.156448598130841</v>
      </c>
      <c r="Q2261" s="2">
        <f t="shared" si="213"/>
        <v>13.572941176470589</v>
      </c>
      <c r="R2261" s="2">
        <f t="shared" si="214"/>
        <v>32.962857142857146</v>
      </c>
      <c r="S2261" s="2">
        <f t="shared" si="215"/>
        <v>6.8908728438935594</v>
      </c>
    </row>
    <row r="2262" spans="1:19" hidden="1">
      <c r="A2262" t="s">
        <v>2315</v>
      </c>
      <c r="B2262" t="s">
        <v>30</v>
      </c>
      <c r="C2262">
        <v>169</v>
      </c>
      <c r="D2262">
        <v>4857</v>
      </c>
      <c r="E2262" s="2">
        <v>194.79</v>
      </c>
      <c r="F2262">
        <v>18</v>
      </c>
      <c r="G2262">
        <v>7</v>
      </c>
      <c r="H2262">
        <v>4.1000000000000002E-2</v>
      </c>
      <c r="I2262" s="3">
        <v>1391</v>
      </c>
      <c r="J2262" s="1">
        <v>45618</v>
      </c>
      <c r="K2262" t="s">
        <v>31</v>
      </c>
      <c r="L2262" t="s">
        <v>8</v>
      </c>
      <c r="M2262" t="s">
        <v>37</v>
      </c>
      <c r="N2262" s="1">
        <f t="shared" si="210"/>
        <v>45618</v>
      </c>
      <c r="O2262" s="4">
        <f t="shared" si="211"/>
        <v>3.4795141033559809E-2</v>
      </c>
      <c r="P2262">
        <f t="shared" si="212"/>
        <v>1.152603550295858</v>
      </c>
      <c r="Q2262" s="2">
        <f t="shared" si="213"/>
        <v>10.821666666666665</v>
      </c>
      <c r="R2262" s="2">
        <f t="shared" si="214"/>
        <v>27.827142857142857</v>
      </c>
      <c r="S2262" s="2">
        <f t="shared" si="215"/>
        <v>7.1410236665126545</v>
      </c>
    </row>
    <row r="2263" spans="1:19" hidden="1">
      <c r="A2263" t="s">
        <v>2316</v>
      </c>
      <c r="B2263" t="s">
        <v>30</v>
      </c>
      <c r="C2263">
        <v>165</v>
      </c>
      <c r="D2263">
        <v>3150</v>
      </c>
      <c r="E2263" s="2">
        <v>190.3</v>
      </c>
      <c r="F2263">
        <v>18</v>
      </c>
      <c r="G2263">
        <v>3</v>
      </c>
      <c r="H2263">
        <v>1.7999999999999999E-2</v>
      </c>
      <c r="I2263" s="3">
        <v>1129</v>
      </c>
      <c r="J2263" s="1">
        <v>45614</v>
      </c>
      <c r="K2263" t="s">
        <v>31</v>
      </c>
      <c r="L2263" t="s">
        <v>7</v>
      </c>
      <c r="M2263" t="s">
        <v>39</v>
      </c>
      <c r="N2263" s="1">
        <f t="shared" si="210"/>
        <v>45614</v>
      </c>
      <c r="O2263" s="4">
        <f t="shared" si="211"/>
        <v>5.2380952380952382E-2</v>
      </c>
      <c r="P2263">
        <f t="shared" si="212"/>
        <v>1.1533333333333333</v>
      </c>
      <c r="Q2263" s="2">
        <f t="shared" si="213"/>
        <v>10.572222222222223</v>
      </c>
      <c r="R2263" s="2">
        <f t="shared" si="214"/>
        <v>63.433333333333337</v>
      </c>
      <c r="S2263" s="2">
        <f t="shared" si="215"/>
        <v>5.9327377824487648</v>
      </c>
    </row>
    <row r="2264" spans="1:19" hidden="1">
      <c r="A2264" t="s">
        <v>2317</v>
      </c>
      <c r="B2264" t="s">
        <v>30</v>
      </c>
      <c r="C2264">
        <v>137</v>
      </c>
      <c r="D2264">
        <v>4630</v>
      </c>
      <c r="E2264" s="2">
        <v>201.14</v>
      </c>
      <c r="F2264">
        <v>10</v>
      </c>
      <c r="G2264">
        <v>4</v>
      </c>
      <c r="H2264">
        <v>2.9000000000000001E-2</v>
      </c>
      <c r="I2264" s="3">
        <v>1680</v>
      </c>
      <c r="J2264" s="1" t="s">
        <v>115</v>
      </c>
      <c r="K2264" t="s">
        <v>31</v>
      </c>
      <c r="L2264" t="s">
        <v>9</v>
      </c>
      <c r="M2264" t="s">
        <v>32</v>
      </c>
      <c r="N2264" s="1">
        <f t="shared" si="210"/>
        <v>45623</v>
      </c>
      <c r="O2264" s="4">
        <f t="shared" si="211"/>
        <v>2.9589632829373651E-2</v>
      </c>
      <c r="P2264">
        <f t="shared" si="212"/>
        <v>1.4681751824817517</v>
      </c>
      <c r="Q2264" s="2">
        <f t="shared" si="213"/>
        <v>20.113999999999997</v>
      </c>
      <c r="R2264" s="2">
        <f t="shared" si="214"/>
        <v>50.284999999999997</v>
      </c>
      <c r="S2264" s="2">
        <f t="shared" si="215"/>
        <v>8.3523913691955851</v>
      </c>
    </row>
    <row r="2265" spans="1:19" hidden="1">
      <c r="A2265" t="s">
        <v>2318</v>
      </c>
      <c r="B2265" t="s">
        <v>30</v>
      </c>
      <c r="C2265">
        <v>135</v>
      </c>
      <c r="D2265">
        <v>3712</v>
      </c>
      <c r="E2265" s="2">
        <v>207.14</v>
      </c>
      <c r="F2265">
        <v>14</v>
      </c>
      <c r="G2265">
        <v>3</v>
      </c>
      <c r="H2265">
        <v>4.8000000000000001E-2</v>
      </c>
      <c r="I2265" s="3">
        <v>1788</v>
      </c>
      <c r="J2265" s="1">
        <v>45617</v>
      </c>
      <c r="K2265" t="s">
        <v>31</v>
      </c>
      <c r="L2265" t="s">
        <v>9</v>
      </c>
      <c r="M2265" t="s">
        <v>39</v>
      </c>
      <c r="N2265" s="1">
        <f t="shared" si="210"/>
        <v>45617</v>
      </c>
      <c r="O2265" s="4">
        <f t="shared" si="211"/>
        <v>3.6368534482758619E-2</v>
      </c>
      <c r="P2265">
        <f t="shared" si="212"/>
        <v>1.5343703703703702</v>
      </c>
      <c r="Q2265" s="2">
        <f t="shared" si="213"/>
        <v>14.795714285714284</v>
      </c>
      <c r="R2265" s="2">
        <f t="shared" si="214"/>
        <v>69.046666666666667</v>
      </c>
      <c r="S2265" s="2">
        <f t="shared" si="215"/>
        <v>8.6318431978372114</v>
      </c>
    </row>
    <row r="2266" spans="1:19" hidden="1">
      <c r="A2266" t="s">
        <v>2319</v>
      </c>
      <c r="B2266" t="s">
        <v>30</v>
      </c>
      <c r="C2266">
        <v>130</v>
      </c>
      <c r="D2266">
        <v>5739</v>
      </c>
      <c r="E2266" s="2">
        <v>215.57</v>
      </c>
      <c r="F2266">
        <v>23</v>
      </c>
      <c r="G2266">
        <v>8</v>
      </c>
      <c r="H2266">
        <v>6.2E-2</v>
      </c>
      <c r="I2266" s="3">
        <v>1505</v>
      </c>
      <c r="J2266" s="1" t="s">
        <v>64</v>
      </c>
      <c r="K2266" t="s">
        <v>31</v>
      </c>
      <c r="L2266" t="s">
        <v>8</v>
      </c>
      <c r="M2266" t="s">
        <v>37</v>
      </c>
      <c r="N2266" s="1">
        <f t="shared" si="210"/>
        <v>45626</v>
      </c>
      <c r="O2266" s="4">
        <f t="shared" si="211"/>
        <v>2.2652029970378115E-2</v>
      </c>
      <c r="P2266">
        <f t="shared" si="212"/>
        <v>1.6582307692307692</v>
      </c>
      <c r="Q2266" s="2">
        <f t="shared" si="213"/>
        <v>9.3726086956521737</v>
      </c>
      <c r="R2266" s="2">
        <f t="shared" si="214"/>
        <v>26.946249999999999</v>
      </c>
      <c r="S2266" s="2">
        <f t="shared" si="215"/>
        <v>6.9814909310200868</v>
      </c>
    </row>
    <row r="2267" spans="1:19" hidden="1">
      <c r="A2267" t="s">
        <v>2320</v>
      </c>
      <c r="B2267" t="s">
        <v>30</v>
      </c>
      <c r="C2267">
        <v>193</v>
      </c>
      <c r="D2267">
        <v>4518.5</v>
      </c>
      <c r="E2267" s="2">
        <v>230.95</v>
      </c>
      <c r="F2267">
        <v>26</v>
      </c>
      <c r="G2267">
        <v>8</v>
      </c>
      <c r="H2267">
        <v>4.1000000000000002E-2</v>
      </c>
      <c r="I2267" s="3">
        <v>1055</v>
      </c>
      <c r="J2267" s="1">
        <v>45607</v>
      </c>
      <c r="K2267" t="s">
        <v>31</v>
      </c>
      <c r="L2267" t="s">
        <v>7</v>
      </c>
      <c r="M2267" t="s">
        <v>37</v>
      </c>
      <c r="N2267" s="1">
        <f t="shared" si="210"/>
        <v>45607</v>
      </c>
      <c r="O2267" s="4">
        <f t="shared" si="211"/>
        <v>4.2713289808564786E-2</v>
      </c>
      <c r="P2267">
        <f t="shared" si="212"/>
        <v>1.1966321243523315</v>
      </c>
      <c r="Q2267" s="2">
        <f t="shared" si="213"/>
        <v>8.8826923076923077</v>
      </c>
      <c r="R2267" s="2">
        <f t="shared" si="214"/>
        <v>28.868749999999999</v>
      </c>
      <c r="S2267" s="2">
        <f t="shared" si="215"/>
        <v>4.5680883308075346</v>
      </c>
    </row>
    <row r="2268" spans="1:19" hidden="1">
      <c r="A2268" t="s">
        <v>2321</v>
      </c>
      <c r="B2268" t="s">
        <v>30</v>
      </c>
      <c r="C2268">
        <v>122</v>
      </c>
      <c r="D2268">
        <v>4556</v>
      </c>
      <c r="E2268" s="2">
        <v>243.84</v>
      </c>
      <c r="F2268">
        <v>26</v>
      </c>
      <c r="G2268">
        <v>4</v>
      </c>
      <c r="H2268">
        <v>5.1999999999999998E-2</v>
      </c>
      <c r="I2268" s="3">
        <v>1164</v>
      </c>
      <c r="J2268" s="1">
        <v>45620</v>
      </c>
      <c r="K2268" t="s">
        <v>31</v>
      </c>
      <c r="L2268" t="s">
        <v>8</v>
      </c>
      <c r="M2268" t="s">
        <v>41</v>
      </c>
      <c r="N2268" s="1">
        <f t="shared" si="210"/>
        <v>45620</v>
      </c>
      <c r="O2268" s="4">
        <f t="shared" si="211"/>
        <v>2.6777875329236173E-2</v>
      </c>
      <c r="P2268">
        <f t="shared" si="212"/>
        <v>1.998688524590164</v>
      </c>
      <c r="Q2268" s="2">
        <f t="shared" si="213"/>
        <v>9.3784615384615382</v>
      </c>
      <c r="R2268" s="2">
        <f t="shared" si="214"/>
        <v>60.96</v>
      </c>
      <c r="S2268" s="2">
        <f t="shared" si="215"/>
        <v>4.7736220472440944</v>
      </c>
    </row>
    <row r="2269" spans="1:19">
      <c r="A2269" t="s">
        <v>2322</v>
      </c>
      <c r="B2269" t="s">
        <v>30</v>
      </c>
      <c r="C2269">
        <v>167</v>
      </c>
      <c r="D2269">
        <v>5824</v>
      </c>
      <c r="E2269" s="2">
        <v>204.18</v>
      </c>
      <c r="F2269">
        <v>20</v>
      </c>
      <c r="G2269">
        <v>7</v>
      </c>
      <c r="H2269">
        <v>4.5999999999999999E-2</v>
      </c>
      <c r="I2269" s="3">
        <v>1452</v>
      </c>
      <c r="J2269" s="1">
        <v>45605</v>
      </c>
      <c r="K2269" t="s">
        <v>31</v>
      </c>
      <c r="L2269" t="s">
        <v>8</v>
      </c>
      <c r="M2269" t="s">
        <v>35</v>
      </c>
      <c r="N2269" s="1">
        <f t="shared" si="210"/>
        <v>45605</v>
      </c>
      <c r="O2269" s="4">
        <f t="shared" si="211"/>
        <v>2.8674450549450548E-2</v>
      </c>
      <c r="P2269">
        <f t="shared" si="212"/>
        <v>1.2226347305389222</v>
      </c>
      <c r="Q2269" s="2">
        <f t="shared" si="213"/>
        <v>10.209</v>
      </c>
      <c r="R2269" s="2">
        <f t="shared" si="214"/>
        <v>29.168571428571429</v>
      </c>
      <c r="S2269" s="2">
        <f t="shared" si="215"/>
        <v>7.111372318542462</v>
      </c>
    </row>
    <row r="2270" spans="1:19" hidden="1">
      <c r="A2270" t="s">
        <v>2323</v>
      </c>
      <c r="B2270" t="s">
        <v>30</v>
      </c>
      <c r="C2270">
        <v>145</v>
      </c>
      <c r="D2270">
        <v>5765</v>
      </c>
      <c r="E2270" s="2">
        <v>240.62</v>
      </c>
      <c r="F2270">
        <v>18</v>
      </c>
      <c r="G2270">
        <v>6</v>
      </c>
      <c r="H2270">
        <v>4.1000000000000002E-2</v>
      </c>
      <c r="I2270" s="3">
        <v>1056</v>
      </c>
      <c r="J2270" s="1" t="s">
        <v>348</v>
      </c>
      <c r="K2270" t="s">
        <v>31</v>
      </c>
      <c r="L2270" t="s">
        <v>7</v>
      </c>
      <c r="M2270" t="s">
        <v>39</v>
      </c>
      <c r="N2270" s="1">
        <f t="shared" si="210"/>
        <v>45615</v>
      </c>
      <c r="O2270" s="4">
        <f t="shared" si="211"/>
        <v>2.5151777970511709E-2</v>
      </c>
      <c r="P2270">
        <f t="shared" si="212"/>
        <v>1.659448275862069</v>
      </c>
      <c r="Q2270" s="2">
        <f t="shared" si="213"/>
        <v>13.367777777777778</v>
      </c>
      <c r="R2270" s="2">
        <f t="shared" si="214"/>
        <v>40.103333333333332</v>
      </c>
      <c r="S2270" s="2">
        <f t="shared" si="215"/>
        <v>4.3886626215609672</v>
      </c>
    </row>
    <row r="2271" spans="1:19" hidden="1">
      <c r="A2271" t="s">
        <v>2324</v>
      </c>
      <c r="B2271" t="s">
        <v>30</v>
      </c>
      <c r="C2271">
        <v>80</v>
      </c>
      <c r="D2271">
        <v>5653</v>
      </c>
      <c r="E2271" s="2">
        <v>228.06</v>
      </c>
      <c r="F2271">
        <v>19</v>
      </c>
      <c r="G2271">
        <v>8</v>
      </c>
      <c r="H2271">
        <v>0.1</v>
      </c>
      <c r="I2271" s="3">
        <v>1795</v>
      </c>
      <c r="J2271" s="1">
        <v>45609</v>
      </c>
      <c r="K2271" t="s">
        <v>31</v>
      </c>
      <c r="L2271" t="s">
        <v>9</v>
      </c>
      <c r="M2271" t="s">
        <v>46</v>
      </c>
      <c r="N2271" s="1">
        <f t="shared" si="210"/>
        <v>45609</v>
      </c>
      <c r="O2271" s="4">
        <f t="shared" si="211"/>
        <v>1.4151777817088271E-2</v>
      </c>
      <c r="P2271">
        <f t="shared" si="212"/>
        <v>2.8507500000000001</v>
      </c>
      <c r="Q2271" s="2">
        <f t="shared" si="213"/>
        <v>12.003157894736843</v>
      </c>
      <c r="R2271" s="2">
        <f t="shared" si="214"/>
        <v>28.5075</v>
      </c>
      <c r="S2271" s="2">
        <f t="shared" si="215"/>
        <v>7.8707357712882571</v>
      </c>
    </row>
    <row r="2272" spans="1:19">
      <c r="A2272" t="s">
        <v>2325</v>
      </c>
      <c r="B2272" t="s">
        <v>30</v>
      </c>
      <c r="C2272">
        <v>139</v>
      </c>
      <c r="D2272">
        <v>4379</v>
      </c>
      <c r="E2272" s="2">
        <v>238.75</v>
      </c>
      <c r="F2272">
        <v>24</v>
      </c>
      <c r="G2272">
        <v>8</v>
      </c>
      <c r="H2272">
        <v>4.5999999999999999E-2</v>
      </c>
      <c r="I2272" s="3">
        <v>1505</v>
      </c>
      <c r="J2272" s="1">
        <v>45606</v>
      </c>
      <c r="K2272" t="s">
        <v>31</v>
      </c>
      <c r="L2272" t="s">
        <v>8</v>
      </c>
      <c r="M2272" t="s">
        <v>39</v>
      </c>
      <c r="N2272" s="1">
        <f t="shared" si="210"/>
        <v>45606</v>
      </c>
      <c r="O2272" s="4">
        <f t="shared" si="211"/>
        <v>3.1742406942224251E-2</v>
      </c>
      <c r="P2272">
        <f t="shared" si="212"/>
        <v>1.7176258992805755</v>
      </c>
      <c r="Q2272" s="2">
        <f t="shared" si="213"/>
        <v>9.9479166666666661</v>
      </c>
      <c r="R2272" s="2">
        <f t="shared" si="214"/>
        <v>29.84375</v>
      </c>
      <c r="S2272" s="2">
        <f t="shared" si="215"/>
        <v>6.3036649214659688</v>
      </c>
    </row>
    <row r="2273" spans="1:19">
      <c r="A2273" t="s">
        <v>2326</v>
      </c>
      <c r="B2273" t="s">
        <v>30</v>
      </c>
      <c r="C2273">
        <v>141</v>
      </c>
      <c r="D2273">
        <v>5612</v>
      </c>
      <c r="E2273" s="2">
        <v>224.45</v>
      </c>
      <c r="F2273">
        <v>19</v>
      </c>
      <c r="G2273">
        <v>5</v>
      </c>
      <c r="H2273">
        <v>4.5999999999999999E-2</v>
      </c>
      <c r="I2273" s="3">
        <v>1150</v>
      </c>
      <c r="J2273" s="1" t="s">
        <v>43</v>
      </c>
      <c r="K2273" t="s">
        <v>31</v>
      </c>
      <c r="L2273" t="s">
        <v>8</v>
      </c>
      <c r="M2273" t="s">
        <v>41</v>
      </c>
      <c r="N2273" s="1">
        <f t="shared" si="210"/>
        <v>45612</v>
      </c>
      <c r="O2273" s="4">
        <f t="shared" si="211"/>
        <v>2.5124732715609409E-2</v>
      </c>
      <c r="P2273">
        <f t="shared" si="212"/>
        <v>1.5918439716312056</v>
      </c>
      <c r="Q2273" s="2">
        <f t="shared" si="213"/>
        <v>11.813157894736841</v>
      </c>
      <c r="R2273" s="2">
        <f t="shared" si="214"/>
        <v>44.89</v>
      </c>
      <c r="S2273" s="2">
        <f t="shared" si="215"/>
        <v>5.123635553575407</v>
      </c>
    </row>
    <row r="2274" spans="1:19">
      <c r="A2274" t="s">
        <v>2327</v>
      </c>
      <c r="B2274" t="s">
        <v>30</v>
      </c>
      <c r="C2274">
        <v>180</v>
      </c>
      <c r="D2274">
        <v>3102</v>
      </c>
      <c r="E2274" s="2">
        <v>198.37</v>
      </c>
      <c r="F2274">
        <v>19</v>
      </c>
      <c r="G2274">
        <v>3</v>
      </c>
      <c r="H2274">
        <v>4.5999999999999999E-2</v>
      </c>
      <c r="I2274" s="3">
        <v>1505</v>
      </c>
      <c r="J2274" s="1">
        <v>45625</v>
      </c>
      <c r="K2274" t="s">
        <v>31</v>
      </c>
      <c r="L2274" t="s">
        <v>8</v>
      </c>
      <c r="M2274" t="s">
        <v>41</v>
      </c>
      <c r="N2274" s="1">
        <f t="shared" si="210"/>
        <v>45625</v>
      </c>
      <c r="O2274" s="4">
        <f t="shared" si="211"/>
        <v>5.8027079303675046E-2</v>
      </c>
      <c r="P2274">
        <f t="shared" si="212"/>
        <v>1.1020555555555556</v>
      </c>
      <c r="Q2274" s="2">
        <f t="shared" si="213"/>
        <v>10.440526315789475</v>
      </c>
      <c r="R2274" s="2">
        <f t="shared" si="214"/>
        <v>66.123333333333335</v>
      </c>
      <c r="S2274" s="2">
        <f t="shared" si="215"/>
        <v>7.5868326863941116</v>
      </c>
    </row>
    <row r="2275" spans="1:19" hidden="1">
      <c r="A2275" t="s">
        <v>2328</v>
      </c>
      <c r="B2275" t="s">
        <v>30</v>
      </c>
      <c r="C2275">
        <v>196</v>
      </c>
      <c r="D2275">
        <v>5812</v>
      </c>
      <c r="E2275" s="2">
        <v>246.88</v>
      </c>
      <c r="F2275">
        <v>22</v>
      </c>
      <c r="G2275">
        <v>9</v>
      </c>
      <c r="H2275">
        <v>4.5999999999999999E-2</v>
      </c>
      <c r="I2275" s="3">
        <v>1715</v>
      </c>
      <c r="J2275" s="1">
        <v>45610</v>
      </c>
      <c r="K2275" t="s">
        <v>31</v>
      </c>
      <c r="L2275" t="s">
        <v>8</v>
      </c>
      <c r="M2275" t="s">
        <v>41</v>
      </c>
      <c r="N2275" s="1">
        <f t="shared" si="210"/>
        <v>45610</v>
      </c>
      <c r="O2275" s="4">
        <f t="shared" si="211"/>
        <v>3.3723331039229178E-2</v>
      </c>
      <c r="P2275">
        <f t="shared" si="212"/>
        <v>1.2595918367346939</v>
      </c>
      <c r="Q2275" s="2">
        <f t="shared" si="213"/>
        <v>11.221818181818181</v>
      </c>
      <c r="R2275" s="2">
        <f t="shared" si="214"/>
        <v>27.431111111111111</v>
      </c>
      <c r="S2275" s="2">
        <f t="shared" si="215"/>
        <v>6.9466947504860661</v>
      </c>
    </row>
    <row r="2276" spans="1:19" hidden="1">
      <c r="A2276" t="s">
        <v>2329</v>
      </c>
      <c r="B2276" t="s">
        <v>30</v>
      </c>
      <c r="C2276">
        <v>168</v>
      </c>
      <c r="D2276">
        <v>4904</v>
      </c>
      <c r="E2276" s="2">
        <v>219</v>
      </c>
      <c r="F2276">
        <v>22</v>
      </c>
      <c r="G2276">
        <v>5</v>
      </c>
      <c r="H2276">
        <v>0.03</v>
      </c>
      <c r="I2276" s="3">
        <v>1541</v>
      </c>
      <c r="J2276" s="1" t="s">
        <v>89</v>
      </c>
      <c r="K2276" t="s">
        <v>31</v>
      </c>
      <c r="L2276" t="s">
        <v>9</v>
      </c>
      <c r="M2276" t="s">
        <v>41</v>
      </c>
      <c r="N2276" s="1">
        <f t="shared" si="210"/>
        <v>45611</v>
      </c>
      <c r="O2276" s="4">
        <f t="shared" si="211"/>
        <v>3.4257748776508973E-2</v>
      </c>
      <c r="P2276">
        <f t="shared" si="212"/>
        <v>1.3035714285714286</v>
      </c>
      <c r="Q2276" s="2">
        <f t="shared" si="213"/>
        <v>9.954545454545455</v>
      </c>
      <c r="R2276" s="2">
        <f t="shared" si="214"/>
        <v>43.8</v>
      </c>
      <c r="S2276" s="2">
        <f t="shared" si="215"/>
        <v>7.0365296803652972</v>
      </c>
    </row>
    <row r="2277" spans="1:19">
      <c r="A2277" t="s">
        <v>2330</v>
      </c>
      <c r="B2277" t="s">
        <v>30</v>
      </c>
      <c r="C2277">
        <v>139</v>
      </c>
      <c r="D2277">
        <v>4562</v>
      </c>
      <c r="E2277" s="2">
        <v>183.58</v>
      </c>
      <c r="F2277">
        <v>17</v>
      </c>
      <c r="G2277">
        <v>9</v>
      </c>
      <c r="H2277">
        <v>4.5999999999999999E-2</v>
      </c>
      <c r="I2277" s="3">
        <v>1668</v>
      </c>
      <c r="J2277" s="1" t="s">
        <v>64</v>
      </c>
      <c r="K2277" t="s">
        <v>31</v>
      </c>
      <c r="L2277" t="s">
        <v>7</v>
      </c>
      <c r="M2277" t="s">
        <v>35</v>
      </c>
      <c r="N2277" s="1">
        <f t="shared" si="210"/>
        <v>45626</v>
      </c>
      <c r="O2277" s="4">
        <f t="shared" si="211"/>
        <v>3.0469092503288032E-2</v>
      </c>
      <c r="P2277">
        <f t="shared" si="212"/>
        <v>1.3207194244604317</v>
      </c>
      <c r="Q2277" s="2">
        <f t="shared" si="213"/>
        <v>10.798823529411765</v>
      </c>
      <c r="R2277" s="2">
        <f t="shared" si="214"/>
        <v>20.39777777777778</v>
      </c>
      <c r="S2277" s="2">
        <f t="shared" si="215"/>
        <v>9.0859570759341963</v>
      </c>
    </row>
    <row r="2278" spans="1:19">
      <c r="A2278" t="s">
        <v>2331</v>
      </c>
      <c r="B2278" t="s">
        <v>30</v>
      </c>
      <c r="C2278">
        <v>178</v>
      </c>
      <c r="D2278">
        <v>4708</v>
      </c>
      <c r="E2278" s="2">
        <v>237.77</v>
      </c>
      <c r="F2278">
        <v>14</v>
      </c>
      <c r="G2278">
        <v>10</v>
      </c>
      <c r="H2278">
        <v>4.5999999999999999E-2</v>
      </c>
      <c r="I2278" s="3">
        <v>1449</v>
      </c>
      <c r="J2278" s="1" t="s">
        <v>94</v>
      </c>
      <c r="K2278" t="s">
        <v>31</v>
      </c>
      <c r="L2278" t="s">
        <v>8</v>
      </c>
      <c r="M2278" t="s">
        <v>32</v>
      </c>
      <c r="N2278" s="1">
        <f t="shared" si="210"/>
        <v>45617</v>
      </c>
      <c r="O2278" s="4">
        <f t="shared" si="211"/>
        <v>3.7807986406117246E-2</v>
      </c>
      <c r="P2278">
        <f t="shared" si="212"/>
        <v>1.3357865168539327</v>
      </c>
      <c r="Q2278" s="2">
        <f t="shared" si="213"/>
        <v>16.98357142857143</v>
      </c>
      <c r="R2278" s="2">
        <f t="shared" si="214"/>
        <v>23.777000000000001</v>
      </c>
      <c r="S2278" s="2">
        <f t="shared" si="215"/>
        <v>6.0941245741683137</v>
      </c>
    </row>
    <row r="2279" spans="1:19" hidden="1">
      <c r="A2279" t="s">
        <v>2332</v>
      </c>
      <c r="B2279" t="s">
        <v>30</v>
      </c>
      <c r="C2279">
        <v>93</v>
      </c>
      <c r="D2279">
        <v>3945</v>
      </c>
      <c r="E2279" s="2">
        <v>189.53</v>
      </c>
      <c r="F2279">
        <v>27</v>
      </c>
      <c r="G2279">
        <v>3</v>
      </c>
      <c r="H2279">
        <v>3.2000000000000001E-2</v>
      </c>
      <c r="I2279" s="3">
        <v>1560</v>
      </c>
      <c r="J2279" s="1">
        <v>45614</v>
      </c>
      <c r="K2279" t="s">
        <v>31</v>
      </c>
      <c r="L2279" t="s">
        <v>9</v>
      </c>
      <c r="M2279" t="s">
        <v>32</v>
      </c>
      <c r="N2279" s="1">
        <f t="shared" si="210"/>
        <v>45614</v>
      </c>
      <c r="O2279" s="4">
        <f t="shared" si="211"/>
        <v>2.3574144486692015E-2</v>
      </c>
      <c r="P2279">
        <f t="shared" si="212"/>
        <v>2.0379569892473119</v>
      </c>
      <c r="Q2279" s="2">
        <f t="shared" si="213"/>
        <v>7.0196296296296294</v>
      </c>
      <c r="R2279" s="2">
        <f t="shared" si="214"/>
        <v>63.176666666666669</v>
      </c>
      <c r="S2279" s="2">
        <f t="shared" si="215"/>
        <v>8.230886930828893</v>
      </c>
    </row>
    <row r="2280" spans="1:19" hidden="1">
      <c r="A2280" t="s">
        <v>2333</v>
      </c>
      <c r="B2280" t="s">
        <v>30</v>
      </c>
      <c r="C2280">
        <v>138</v>
      </c>
      <c r="D2280">
        <v>5863</v>
      </c>
      <c r="E2280" s="2">
        <v>201.19</v>
      </c>
      <c r="F2280">
        <v>30</v>
      </c>
      <c r="G2280">
        <v>10</v>
      </c>
      <c r="H2280">
        <v>7.1999999999999995E-2</v>
      </c>
      <c r="I2280" s="3">
        <v>1898</v>
      </c>
      <c r="J2280" s="1">
        <v>45614</v>
      </c>
      <c r="K2280" t="s">
        <v>31</v>
      </c>
      <c r="L2280" t="s">
        <v>7</v>
      </c>
      <c r="M2280" t="s">
        <v>46</v>
      </c>
      <c r="N2280" s="1">
        <f t="shared" si="210"/>
        <v>45614</v>
      </c>
      <c r="O2280" s="4">
        <f t="shared" si="211"/>
        <v>2.3537438171584515E-2</v>
      </c>
      <c r="P2280">
        <f t="shared" si="212"/>
        <v>1.4578985507246376</v>
      </c>
      <c r="Q2280" s="2">
        <f t="shared" si="213"/>
        <v>6.7063333333333333</v>
      </c>
      <c r="R2280" s="2">
        <f t="shared" si="214"/>
        <v>20.119</v>
      </c>
      <c r="S2280" s="2">
        <f t="shared" si="215"/>
        <v>9.4338684825289523</v>
      </c>
    </row>
    <row r="2281" spans="1:19" hidden="1">
      <c r="A2281" t="s">
        <v>2334</v>
      </c>
      <c r="B2281" t="s">
        <v>30</v>
      </c>
      <c r="C2281">
        <v>143</v>
      </c>
      <c r="D2281">
        <v>4470</v>
      </c>
      <c r="E2281" s="2">
        <v>214.42</v>
      </c>
      <c r="F2281">
        <v>14</v>
      </c>
      <c r="G2281">
        <v>8</v>
      </c>
      <c r="H2281">
        <v>5.6000000000000001E-2</v>
      </c>
      <c r="I2281" s="3">
        <v>1353</v>
      </c>
      <c r="J2281" s="1">
        <v>45618</v>
      </c>
      <c r="K2281" t="s">
        <v>31</v>
      </c>
      <c r="L2281" t="s">
        <v>8</v>
      </c>
      <c r="M2281" t="s">
        <v>35</v>
      </c>
      <c r="N2281" s="1">
        <f t="shared" si="210"/>
        <v>45618</v>
      </c>
      <c r="O2281" s="4">
        <f t="shared" si="211"/>
        <v>3.1991051454138705E-2</v>
      </c>
      <c r="P2281">
        <f t="shared" si="212"/>
        <v>1.4994405594405593</v>
      </c>
      <c r="Q2281" s="2">
        <f t="shared" si="213"/>
        <v>15.315714285714284</v>
      </c>
      <c r="R2281" s="2">
        <f t="shared" si="214"/>
        <v>26.802499999999998</v>
      </c>
      <c r="S2281" s="2">
        <f t="shared" si="215"/>
        <v>6.3100457046917269</v>
      </c>
    </row>
    <row r="2282" spans="1:19">
      <c r="A2282" t="s">
        <v>2335</v>
      </c>
      <c r="B2282" t="s">
        <v>30</v>
      </c>
      <c r="C2282">
        <v>139</v>
      </c>
      <c r="D2282">
        <v>5800</v>
      </c>
      <c r="E2282" s="2">
        <v>215.57</v>
      </c>
      <c r="F2282">
        <v>22</v>
      </c>
      <c r="G2282">
        <v>9</v>
      </c>
      <c r="H2282">
        <v>4.5999999999999999E-2</v>
      </c>
      <c r="I2282" s="3">
        <v>1369</v>
      </c>
      <c r="J2282" s="1">
        <v>45610</v>
      </c>
      <c r="K2282" t="s">
        <v>31</v>
      </c>
      <c r="L2282" t="s">
        <v>9</v>
      </c>
      <c r="M2282" t="s">
        <v>35</v>
      </c>
      <c r="N2282" s="1">
        <f t="shared" si="210"/>
        <v>45610</v>
      </c>
      <c r="O2282" s="4">
        <f t="shared" si="211"/>
        <v>2.3965517241379311E-2</v>
      </c>
      <c r="P2282">
        <f t="shared" si="212"/>
        <v>1.5508633093525179</v>
      </c>
      <c r="Q2282" s="2">
        <f t="shared" si="213"/>
        <v>9.7986363636363638</v>
      </c>
      <c r="R2282" s="2">
        <f t="shared" si="214"/>
        <v>23.952222222222222</v>
      </c>
      <c r="S2282" s="2">
        <f t="shared" si="215"/>
        <v>6.3506053718049822</v>
      </c>
    </row>
    <row r="2283" spans="1:19" hidden="1">
      <c r="A2283" t="s">
        <v>2336</v>
      </c>
      <c r="B2283" t="s">
        <v>30</v>
      </c>
      <c r="C2283">
        <v>147</v>
      </c>
      <c r="D2283">
        <v>4041</v>
      </c>
      <c r="E2283" s="2">
        <v>229.19</v>
      </c>
      <c r="F2283">
        <v>16</v>
      </c>
      <c r="G2283">
        <v>10</v>
      </c>
      <c r="H2283">
        <v>5.5E-2</v>
      </c>
      <c r="I2283" s="3">
        <v>1558</v>
      </c>
      <c r="J2283" s="1" t="s">
        <v>115</v>
      </c>
      <c r="K2283" t="s">
        <v>31</v>
      </c>
      <c r="L2283" t="s">
        <v>7</v>
      </c>
      <c r="M2283" t="s">
        <v>46</v>
      </c>
      <c r="N2283" s="1">
        <f t="shared" si="210"/>
        <v>45623</v>
      </c>
      <c r="O2283" s="4">
        <f t="shared" si="211"/>
        <v>3.6377134372680031E-2</v>
      </c>
      <c r="P2283">
        <f t="shared" si="212"/>
        <v>1.5591156462585034</v>
      </c>
      <c r="Q2283" s="2">
        <f t="shared" si="213"/>
        <v>14.324375</v>
      </c>
      <c r="R2283" s="2">
        <f t="shared" si="214"/>
        <v>22.919</v>
      </c>
      <c r="S2283" s="2">
        <f t="shared" si="215"/>
        <v>6.7978533094812166</v>
      </c>
    </row>
    <row r="2284" spans="1:19" hidden="1">
      <c r="A2284" t="s">
        <v>2337</v>
      </c>
      <c r="B2284" t="s">
        <v>30</v>
      </c>
      <c r="C2284">
        <v>101</v>
      </c>
      <c r="D2284">
        <v>3449</v>
      </c>
      <c r="E2284" s="2">
        <v>188.39</v>
      </c>
      <c r="F2284">
        <v>16</v>
      </c>
      <c r="G2284">
        <v>10</v>
      </c>
      <c r="H2284">
        <v>9.9000000000000005E-2</v>
      </c>
      <c r="I2284" s="3">
        <v>1318</v>
      </c>
      <c r="J2284" s="1">
        <v>45604</v>
      </c>
      <c r="K2284" t="s">
        <v>31</v>
      </c>
      <c r="L2284" t="s">
        <v>7</v>
      </c>
      <c r="M2284" t="s">
        <v>41</v>
      </c>
      <c r="N2284" s="1">
        <f t="shared" si="210"/>
        <v>45604</v>
      </c>
      <c r="O2284" s="4">
        <f t="shared" si="211"/>
        <v>2.9283850391417801E-2</v>
      </c>
      <c r="P2284">
        <f t="shared" si="212"/>
        <v>1.8652475247524751</v>
      </c>
      <c r="Q2284" s="2">
        <f t="shared" si="213"/>
        <v>11.774374999999999</v>
      </c>
      <c r="R2284" s="2">
        <f t="shared" si="214"/>
        <v>18.838999999999999</v>
      </c>
      <c r="S2284" s="2">
        <f t="shared" si="215"/>
        <v>6.9961250597165456</v>
      </c>
    </row>
    <row r="2285" spans="1:19" hidden="1">
      <c r="A2285" t="s">
        <v>2338</v>
      </c>
      <c r="B2285" t="s">
        <v>30</v>
      </c>
      <c r="C2285">
        <v>195</v>
      </c>
      <c r="D2285">
        <v>4195</v>
      </c>
      <c r="E2285" s="2">
        <v>231.87</v>
      </c>
      <c r="F2285">
        <v>13</v>
      </c>
      <c r="G2285">
        <v>10</v>
      </c>
      <c r="H2285">
        <v>3.4000000000000002E-2</v>
      </c>
      <c r="I2285" s="3">
        <v>1834</v>
      </c>
      <c r="J2285" s="1">
        <v>45621</v>
      </c>
      <c r="K2285" t="s">
        <v>31</v>
      </c>
      <c r="L2285" t="s">
        <v>7</v>
      </c>
      <c r="M2285" t="s">
        <v>32</v>
      </c>
      <c r="N2285" s="1">
        <f t="shared" si="210"/>
        <v>45621</v>
      </c>
      <c r="O2285" s="4">
        <f t="shared" si="211"/>
        <v>4.6483909415971393E-2</v>
      </c>
      <c r="P2285">
        <f t="shared" si="212"/>
        <v>1.1890769230769231</v>
      </c>
      <c r="Q2285" s="2">
        <f t="shared" si="213"/>
        <v>17.836153846153845</v>
      </c>
      <c r="R2285" s="2">
        <f t="shared" si="214"/>
        <v>23.187000000000001</v>
      </c>
      <c r="S2285" s="2">
        <f t="shared" si="215"/>
        <v>7.9096045197740112</v>
      </c>
    </row>
    <row r="2286" spans="1:19" hidden="1">
      <c r="A2286" t="s">
        <v>2339</v>
      </c>
      <c r="B2286" t="s">
        <v>30</v>
      </c>
      <c r="C2286">
        <v>142</v>
      </c>
      <c r="D2286">
        <v>5365</v>
      </c>
      <c r="E2286" s="2">
        <v>237.95</v>
      </c>
      <c r="F2286">
        <v>17</v>
      </c>
      <c r="G2286">
        <v>10</v>
      </c>
      <c r="H2286">
        <v>7.0000000000000007E-2</v>
      </c>
      <c r="I2286" s="3">
        <v>1548</v>
      </c>
      <c r="J2286" s="1">
        <v>45623</v>
      </c>
      <c r="K2286" t="s">
        <v>31</v>
      </c>
      <c r="L2286" t="s">
        <v>9</v>
      </c>
      <c r="M2286" t="s">
        <v>37</v>
      </c>
      <c r="N2286" s="1">
        <f t="shared" si="210"/>
        <v>45623</v>
      </c>
      <c r="O2286" s="4">
        <f t="shared" si="211"/>
        <v>2.646784715750233E-2</v>
      </c>
      <c r="P2286">
        <f t="shared" si="212"/>
        <v>1.6757042253521126</v>
      </c>
      <c r="Q2286" s="2">
        <f t="shared" si="213"/>
        <v>13.997058823529411</v>
      </c>
      <c r="R2286" s="2">
        <f t="shared" si="214"/>
        <v>23.794999999999998</v>
      </c>
      <c r="S2286" s="2">
        <f t="shared" si="215"/>
        <v>6.5055683967220004</v>
      </c>
    </row>
    <row r="2287" spans="1:19" hidden="1">
      <c r="A2287" t="s">
        <v>2340</v>
      </c>
      <c r="B2287" t="s">
        <v>30</v>
      </c>
      <c r="C2287">
        <v>139</v>
      </c>
      <c r="D2287">
        <v>3854</v>
      </c>
      <c r="E2287" s="2">
        <v>234.73</v>
      </c>
      <c r="F2287">
        <v>10</v>
      </c>
      <c r="G2287">
        <v>3</v>
      </c>
      <c r="H2287">
        <v>2.1999999999999999E-2</v>
      </c>
      <c r="I2287" s="3">
        <v>1802</v>
      </c>
      <c r="J2287" s="1">
        <v>45614</v>
      </c>
      <c r="K2287" t="s">
        <v>31</v>
      </c>
      <c r="L2287" t="s">
        <v>9</v>
      </c>
      <c r="M2287" t="s">
        <v>32</v>
      </c>
      <c r="N2287" s="1">
        <f t="shared" si="210"/>
        <v>45614</v>
      </c>
      <c r="O2287" s="4">
        <f t="shared" si="211"/>
        <v>3.6066424494032176E-2</v>
      </c>
      <c r="P2287">
        <f t="shared" si="212"/>
        <v>1.688705035971223</v>
      </c>
      <c r="Q2287" s="2">
        <f t="shared" si="213"/>
        <v>23.472999999999999</v>
      </c>
      <c r="R2287" s="2">
        <f t="shared" si="214"/>
        <v>78.243333333333325</v>
      </c>
      <c r="S2287" s="2">
        <f t="shared" si="215"/>
        <v>7.6769053806501093</v>
      </c>
    </row>
    <row r="2288" spans="1:19">
      <c r="A2288" t="s">
        <v>2341</v>
      </c>
      <c r="B2288" t="s">
        <v>30</v>
      </c>
      <c r="C2288">
        <v>84</v>
      </c>
      <c r="D2288">
        <v>5597</v>
      </c>
      <c r="E2288" s="2">
        <v>244.39</v>
      </c>
      <c r="F2288">
        <v>22</v>
      </c>
      <c r="G2288">
        <v>10</v>
      </c>
      <c r="H2288">
        <v>4.5999999999999999E-2</v>
      </c>
      <c r="I2288" s="3">
        <v>1685</v>
      </c>
      <c r="J2288" s="1">
        <v>45599</v>
      </c>
      <c r="K2288" t="s">
        <v>31</v>
      </c>
      <c r="L2288" t="s">
        <v>9</v>
      </c>
      <c r="M2288" t="s">
        <v>39</v>
      </c>
      <c r="N2288" s="1">
        <f t="shared" si="210"/>
        <v>45599</v>
      </c>
      <c r="O2288" s="4">
        <f t="shared" si="211"/>
        <v>1.5008040021440057E-2</v>
      </c>
      <c r="P2288">
        <f t="shared" si="212"/>
        <v>2.9094047619047618</v>
      </c>
      <c r="Q2288" s="2">
        <f t="shared" si="213"/>
        <v>11.108636363636363</v>
      </c>
      <c r="R2288" s="2">
        <f t="shared" si="214"/>
        <v>24.439</v>
      </c>
      <c r="S2288" s="2">
        <f t="shared" si="215"/>
        <v>6.8947174597978647</v>
      </c>
    </row>
    <row r="2289" spans="1:19" hidden="1">
      <c r="A2289" t="s">
        <v>2342</v>
      </c>
      <c r="B2289" t="s">
        <v>30</v>
      </c>
      <c r="C2289">
        <v>103</v>
      </c>
      <c r="D2289">
        <v>5488</v>
      </c>
      <c r="E2289" s="2">
        <v>237.06</v>
      </c>
      <c r="F2289">
        <v>21</v>
      </c>
      <c r="G2289">
        <v>7</v>
      </c>
      <c r="H2289">
        <v>4.9000000000000002E-2</v>
      </c>
      <c r="I2289" s="3">
        <v>1874</v>
      </c>
      <c r="J2289" s="1">
        <v>45618</v>
      </c>
      <c r="K2289" t="s">
        <v>31</v>
      </c>
      <c r="L2289" t="s">
        <v>9</v>
      </c>
      <c r="M2289" t="s">
        <v>46</v>
      </c>
      <c r="N2289" s="1">
        <f t="shared" si="210"/>
        <v>45618</v>
      </c>
      <c r="O2289" s="4">
        <f t="shared" si="211"/>
        <v>1.8768221574344022E-2</v>
      </c>
      <c r="P2289">
        <f t="shared" si="212"/>
        <v>2.3015533980582523</v>
      </c>
      <c r="Q2289" s="2">
        <f t="shared" si="213"/>
        <v>11.288571428571428</v>
      </c>
      <c r="R2289" s="2">
        <f t="shared" si="214"/>
        <v>33.865714285714283</v>
      </c>
      <c r="S2289" s="2">
        <f t="shared" si="215"/>
        <v>7.9051716864928707</v>
      </c>
    </row>
    <row r="2290" spans="1:19" hidden="1">
      <c r="A2290" t="s">
        <v>2343</v>
      </c>
      <c r="B2290" t="s">
        <v>30</v>
      </c>
      <c r="C2290">
        <v>108</v>
      </c>
      <c r="D2290">
        <v>3676</v>
      </c>
      <c r="E2290" s="2">
        <v>203.45</v>
      </c>
      <c r="F2290">
        <v>29</v>
      </c>
      <c r="G2290">
        <v>8</v>
      </c>
      <c r="H2290">
        <v>7.3999999999999996E-2</v>
      </c>
      <c r="I2290" s="3">
        <v>1369</v>
      </c>
      <c r="J2290" s="1">
        <v>45302</v>
      </c>
      <c r="K2290" t="s">
        <v>31</v>
      </c>
      <c r="L2290" t="s">
        <v>8</v>
      </c>
      <c r="M2290" t="s">
        <v>37</v>
      </c>
      <c r="N2290" s="1">
        <f t="shared" si="210"/>
        <v>45302</v>
      </c>
      <c r="O2290" s="4">
        <f t="shared" si="211"/>
        <v>2.9379760609357999E-2</v>
      </c>
      <c r="P2290">
        <f t="shared" si="212"/>
        <v>1.8837962962962962</v>
      </c>
      <c r="Q2290" s="2">
        <f t="shared" si="213"/>
        <v>7.0155172413793103</v>
      </c>
      <c r="R2290" s="2">
        <f t="shared" si="214"/>
        <v>25.431249999999999</v>
      </c>
      <c r="S2290" s="2">
        <f t="shared" si="215"/>
        <v>6.728926026050627</v>
      </c>
    </row>
    <row r="2291" spans="1:19" hidden="1">
      <c r="A2291" t="s">
        <v>2344</v>
      </c>
      <c r="B2291" t="s">
        <v>30</v>
      </c>
      <c r="C2291">
        <v>171</v>
      </c>
      <c r="D2291">
        <v>4307</v>
      </c>
      <c r="E2291" s="2">
        <v>220.89</v>
      </c>
      <c r="F2291">
        <v>20</v>
      </c>
      <c r="G2291">
        <v>8</v>
      </c>
      <c r="H2291">
        <v>3.7999999999999999E-2</v>
      </c>
      <c r="I2291" s="3">
        <v>1187</v>
      </c>
      <c r="J2291" s="1">
        <v>45597</v>
      </c>
      <c r="K2291" t="s">
        <v>31</v>
      </c>
      <c r="L2291" t="s">
        <v>9</v>
      </c>
      <c r="M2291" t="s">
        <v>37</v>
      </c>
      <c r="N2291" s="1">
        <f t="shared" si="210"/>
        <v>45597</v>
      </c>
      <c r="O2291" s="4">
        <f t="shared" si="211"/>
        <v>3.9702809380078939E-2</v>
      </c>
      <c r="P2291">
        <f t="shared" si="212"/>
        <v>1.2917543859649121</v>
      </c>
      <c r="Q2291" s="2">
        <f t="shared" si="213"/>
        <v>11.044499999999999</v>
      </c>
      <c r="R2291" s="2">
        <f t="shared" si="214"/>
        <v>27.611249999999998</v>
      </c>
      <c r="S2291" s="2">
        <f t="shared" si="215"/>
        <v>5.3737154239666802</v>
      </c>
    </row>
    <row r="2292" spans="1:19" hidden="1">
      <c r="A2292" t="s">
        <v>2345</v>
      </c>
      <c r="B2292" t="s">
        <v>30</v>
      </c>
      <c r="C2292">
        <v>80</v>
      </c>
      <c r="D2292">
        <v>4204</v>
      </c>
      <c r="E2292" s="2">
        <v>226.79</v>
      </c>
      <c r="F2292">
        <v>14</v>
      </c>
      <c r="G2292">
        <v>3</v>
      </c>
      <c r="H2292">
        <v>3.6999999999999998E-2</v>
      </c>
      <c r="I2292" s="3">
        <v>1434</v>
      </c>
      <c r="J2292" s="1" t="s">
        <v>94</v>
      </c>
      <c r="K2292" t="s">
        <v>31</v>
      </c>
      <c r="L2292" t="s">
        <v>9</v>
      </c>
      <c r="M2292" t="s">
        <v>35</v>
      </c>
      <c r="N2292" s="1">
        <f t="shared" si="210"/>
        <v>45617</v>
      </c>
      <c r="O2292" s="4">
        <f t="shared" si="211"/>
        <v>1.9029495718363463E-2</v>
      </c>
      <c r="P2292">
        <f t="shared" si="212"/>
        <v>2.8348749999999998</v>
      </c>
      <c r="Q2292" s="2">
        <f t="shared" si="213"/>
        <v>16.199285714285715</v>
      </c>
      <c r="R2292" s="2">
        <f t="shared" si="214"/>
        <v>75.596666666666664</v>
      </c>
      <c r="S2292" s="2">
        <f t="shared" si="215"/>
        <v>6.3230301159663123</v>
      </c>
    </row>
    <row r="2293" spans="1:19" hidden="1">
      <c r="A2293" t="s">
        <v>2346</v>
      </c>
      <c r="B2293" t="s">
        <v>30</v>
      </c>
      <c r="C2293">
        <v>169</v>
      </c>
      <c r="D2293">
        <v>3589</v>
      </c>
      <c r="E2293" s="2">
        <v>237.83</v>
      </c>
      <c r="F2293">
        <v>15</v>
      </c>
      <c r="G2293">
        <v>3</v>
      </c>
      <c r="H2293">
        <v>1.7999999999999999E-2</v>
      </c>
      <c r="I2293" s="3">
        <v>1754</v>
      </c>
      <c r="J2293" s="1">
        <v>45617</v>
      </c>
      <c r="K2293" t="s">
        <v>31</v>
      </c>
      <c r="L2293" t="s">
        <v>8</v>
      </c>
      <c r="M2293" t="s">
        <v>46</v>
      </c>
      <c r="N2293" s="1">
        <f t="shared" si="210"/>
        <v>45617</v>
      </c>
      <c r="O2293" s="4">
        <f t="shared" si="211"/>
        <v>4.7088325438840901E-2</v>
      </c>
      <c r="P2293">
        <f t="shared" si="212"/>
        <v>1.4072781065088757</v>
      </c>
      <c r="Q2293" s="2">
        <f t="shared" si="213"/>
        <v>15.855333333333334</v>
      </c>
      <c r="R2293" s="2">
        <f t="shared" si="214"/>
        <v>79.276666666666671</v>
      </c>
      <c r="S2293" s="2">
        <f t="shared" si="215"/>
        <v>7.3750157675650669</v>
      </c>
    </row>
    <row r="2294" spans="1:19">
      <c r="A2294" t="s">
        <v>2347</v>
      </c>
      <c r="B2294" t="s">
        <v>30</v>
      </c>
      <c r="C2294">
        <v>139</v>
      </c>
      <c r="D2294">
        <v>3048</v>
      </c>
      <c r="E2294" s="2">
        <v>189.48</v>
      </c>
      <c r="F2294">
        <v>22</v>
      </c>
      <c r="G2294">
        <v>7</v>
      </c>
      <c r="H2294">
        <v>4.5999999999999999E-2</v>
      </c>
      <c r="I2294" s="3">
        <v>1740</v>
      </c>
      <c r="J2294" s="1">
        <v>45614</v>
      </c>
      <c r="K2294" t="s">
        <v>31</v>
      </c>
      <c r="L2294" t="s">
        <v>8</v>
      </c>
      <c r="M2294" t="s">
        <v>46</v>
      </c>
      <c r="N2294" s="1">
        <f t="shared" si="210"/>
        <v>45614</v>
      </c>
      <c r="O2294" s="4">
        <f t="shared" si="211"/>
        <v>4.5603674540682412E-2</v>
      </c>
      <c r="P2294">
        <f t="shared" si="212"/>
        <v>1.3631654676258993</v>
      </c>
      <c r="Q2294" s="2">
        <f t="shared" si="213"/>
        <v>8.6127272727272715</v>
      </c>
      <c r="R2294" s="2">
        <f t="shared" si="214"/>
        <v>27.068571428571428</v>
      </c>
      <c r="S2294" s="2">
        <f t="shared" si="215"/>
        <v>9.1830272324255855</v>
      </c>
    </row>
    <row r="2295" spans="1:19" hidden="1">
      <c r="A2295" t="s">
        <v>2348</v>
      </c>
      <c r="B2295" t="s">
        <v>30</v>
      </c>
      <c r="C2295">
        <v>92</v>
      </c>
      <c r="D2295">
        <v>4631</v>
      </c>
      <c r="E2295" s="2">
        <v>233.3</v>
      </c>
      <c r="F2295">
        <v>19</v>
      </c>
      <c r="G2295">
        <v>10</v>
      </c>
      <c r="H2295">
        <v>0.109</v>
      </c>
      <c r="I2295" s="3">
        <v>1521</v>
      </c>
      <c r="J2295" s="1" t="s">
        <v>115</v>
      </c>
      <c r="K2295" t="s">
        <v>31</v>
      </c>
      <c r="L2295" t="s">
        <v>8</v>
      </c>
      <c r="M2295" t="s">
        <v>32</v>
      </c>
      <c r="N2295" s="1">
        <f t="shared" si="210"/>
        <v>45623</v>
      </c>
      <c r="O2295" s="4">
        <f t="shared" si="211"/>
        <v>1.9866119628589939E-2</v>
      </c>
      <c r="P2295">
        <f t="shared" si="212"/>
        <v>2.5358695652173915</v>
      </c>
      <c r="Q2295" s="2">
        <f t="shared" si="213"/>
        <v>12.278947368421052</v>
      </c>
      <c r="R2295" s="2">
        <f t="shared" si="214"/>
        <v>23.330000000000002</v>
      </c>
      <c r="S2295" s="2">
        <f t="shared" si="215"/>
        <v>6.5195027861123016</v>
      </c>
    </row>
    <row r="2296" spans="1:19" hidden="1">
      <c r="A2296" t="s">
        <v>2349</v>
      </c>
      <c r="B2296" t="s">
        <v>30</v>
      </c>
      <c r="C2296">
        <v>189</v>
      </c>
      <c r="D2296">
        <v>5624</v>
      </c>
      <c r="E2296" s="2">
        <v>248.03</v>
      </c>
      <c r="F2296">
        <v>23</v>
      </c>
      <c r="G2296">
        <v>7</v>
      </c>
      <c r="H2296">
        <v>3.6999999999999998E-2</v>
      </c>
      <c r="I2296" s="3">
        <v>1505</v>
      </c>
      <c r="J2296" s="1">
        <v>45606</v>
      </c>
      <c r="K2296" t="s">
        <v>31</v>
      </c>
      <c r="L2296" t="s">
        <v>9</v>
      </c>
      <c r="M2296" t="s">
        <v>46</v>
      </c>
      <c r="N2296" s="1">
        <f t="shared" si="210"/>
        <v>45606</v>
      </c>
      <c r="O2296" s="4">
        <f t="shared" si="211"/>
        <v>3.3605974395448081E-2</v>
      </c>
      <c r="P2296">
        <f t="shared" si="212"/>
        <v>1.3123280423280423</v>
      </c>
      <c r="Q2296" s="2">
        <f t="shared" si="213"/>
        <v>10.783913043478261</v>
      </c>
      <c r="R2296" s="2">
        <f t="shared" si="214"/>
        <v>35.432857142857145</v>
      </c>
      <c r="S2296" s="2">
        <f t="shared" si="215"/>
        <v>6.0678143772930691</v>
      </c>
    </row>
    <row r="2297" spans="1:19">
      <c r="A2297" t="s">
        <v>2350</v>
      </c>
      <c r="B2297" t="s">
        <v>30</v>
      </c>
      <c r="C2297">
        <v>124</v>
      </c>
      <c r="D2297">
        <v>5931</v>
      </c>
      <c r="E2297" s="2">
        <v>214.41</v>
      </c>
      <c r="F2297">
        <v>21</v>
      </c>
      <c r="G2297">
        <v>3</v>
      </c>
      <c r="H2297">
        <v>4.5999999999999999E-2</v>
      </c>
      <c r="I2297" s="3">
        <v>1906</v>
      </c>
      <c r="J2297" s="1">
        <v>45601</v>
      </c>
      <c r="K2297" t="s">
        <v>31</v>
      </c>
      <c r="L2297" t="s">
        <v>9</v>
      </c>
      <c r="M2297" t="s">
        <v>41</v>
      </c>
      <c r="N2297" s="1">
        <f t="shared" si="210"/>
        <v>45601</v>
      </c>
      <c r="O2297" s="4">
        <f t="shared" si="211"/>
        <v>2.0907098297083121E-2</v>
      </c>
      <c r="P2297">
        <f t="shared" si="212"/>
        <v>1.7291129032258064</v>
      </c>
      <c r="Q2297" s="2">
        <f t="shared" si="213"/>
        <v>10.209999999999999</v>
      </c>
      <c r="R2297" s="2">
        <f t="shared" si="214"/>
        <v>71.47</v>
      </c>
      <c r="S2297" s="2">
        <f t="shared" si="215"/>
        <v>8.8895107504314161</v>
      </c>
    </row>
    <row r="2298" spans="1:19" hidden="1">
      <c r="A2298" t="s">
        <v>2351</v>
      </c>
      <c r="B2298" t="s">
        <v>30</v>
      </c>
      <c r="C2298">
        <v>138</v>
      </c>
      <c r="D2298">
        <v>5891</v>
      </c>
      <c r="E2298" s="2">
        <v>247.47</v>
      </c>
      <c r="F2298">
        <v>14</v>
      </c>
      <c r="G2298">
        <v>7</v>
      </c>
      <c r="H2298">
        <v>5.0999999999999997E-2</v>
      </c>
      <c r="I2298" s="3">
        <v>1138</v>
      </c>
      <c r="J2298" s="1">
        <v>45610</v>
      </c>
      <c r="K2298" t="s">
        <v>31</v>
      </c>
      <c r="L2298" t="s">
        <v>7</v>
      </c>
      <c r="M2298" t="s">
        <v>41</v>
      </c>
      <c r="N2298" s="1">
        <f t="shared" si="210"/>
        <v>45610</v>
      </c>
      <c r="O2298" s="4">
        <f t="shared" si="211"/>
        <v>2.3425564420302157E-2</v>
      </c>
      <c r="P2298">
        <f t="shared" si="212"/>
        <v>1.7932608695652175</v>
      </c>
      <c r="Q2298" s="2">
        <f t="shared" si="213"/>
        <v>17.67642857142857</v>
      </c>
      <c r="R2298" s="2">
        <f t="shared" si="214"/>
        <v>35.35285714285714</v>
      </c>
      <c r="S2298" s="2">
        <f t="shared" si="215"/>
        <v>4.5985371964278503</v>
      </c>
    </row>
    <row r="2299" spans="1:19" hidden="1">
      <c r="A2299" t="s">
        <v>2352</v>
      </c>
      <c r="B2299" t="s">
        <v>30</v>
      </c>
      <c r="C2299">
        <v>186</v>
      </c>
      <c r="D2299">
        <v>5774</v>
      </c>
      <c r="E2299" s="2">
        <v>236.22</v>
      </c>
      <c r="F2299">
        <v>15</v>
      </c>
      <c r="G2299">
        <v>6</v>
      </c>
      <c r="H2299">
        <v>3.2000000000000001E-2</v>
      </c>
      <c r="I2299" s="3">
        <v>1288</v>
      </c>
      <c r="J2299" s="1">
        <v>45637</v>
      </c>
      <c r="K2299" t="s">
        <v>31</v>
      </c>
      <c r="L2299" t="s">
        <v>8</v>
      </c>
      <c r="M2299" t="s">
        <v>32</v>
      </c>
      <c r="N2299" s="1">
        <f t="shared" si="210"/>
        <v>45637</v>
      </c>
      <c r="O2299" s="4">
        <f t="shared" si="211"/>
        <v>3.2213370280568067E-2</v>
      </c>
      <c r="P2299">
        <f t="shared" si="212"/>
        <v>1.27</v>
      </c>
      <c r="Q2299" s="2">
        <f t="shared" si="213"/>
        <v>15.747999999999999</v>
      </c>
      <c r="R2299" s="2">
        <f t="shared" si="214"/>
        <v>39.369999999999997</v>
      </c>
      <c r="S2299" s="2">
        <f t="shared" si="215"/>
        <v>5.4525442384218099</v>
      </c>
    </row>
    <row r="2300" spans="1:19" hidden="1">
      <c r="A2300" t="s">
        <v>2353</v>
      </c>
      <c r="B2300" t="s">
        <v>30</v>
      </c>
      <c r="C2300">
        <v>100</v>
      </c>
      <c r="D2300">
        <v>4869</v>
      </c>
      <c r="E2300" s="2">
        <v>234.37</v>
      </c>
      <c r="F2300">
        <v>21</v>
      </c>
      <c r="G2300">
        <v>7</v>
      </c>
      <c r="H2300">
        <v>7.0000000000000007E-2</v>
      </c>
      <c r="I2300" s="3">
        <v>1890</v>
      </c>
      <c r="J2300" s="1">
        <v>45302</v>
      </c>
      <c r="K2300" t="s">
        <v>31</v>
      </c>
      <c r="L2300" t="s">
        <v>9</v>
      </c>
      <c r="M2300" t="s">
        <v>37</v>
      </c>
      <c r="N2300" s="1">
        <f t="shared" si="210"/>
        <v>45302</v>
      </c>
      <c r="O2300" s="4">
        <f t="shared" si="211"/>
        <v>2.0538098172109262E-2</v>
      </c>
      <c r="P2300">
        <f t="shared" si="212"/>
        <v>2.3437000000000001</v>
      </c>
      <c r="Q2300" s="2">
        <f t="shared" si="213"/>
        <v>11.16047619047619</v>
      </c>
      <c r="R2300" s="2">
        <f t="shared" si="214"/>
        <v>33.481428571428573</v>
      </c>
      <c r="S2300" s="2">
        <f t="shared" si="215"/>
        <v>8.0641720356700937</v>
      </c>
    </row>
    <row r="2301" spans="1:19" hidden="1">
      <c r="A2301" t="s">
        <v>2354</v>
      </c>
      <c r="B2301" t="s">
        <v>30</v>
      </c>
      <c r="C2301">
        <v>151</v>
      </c>
      <c r="D2301">
        <v>5403</v>
      </c>
      <c r="E2301" s="2">
        <v>180.74</v>
      </c>
      <c r="F2301">
        <v>22</v>
      </c>
      <c r="G2301">
        <v>3</v>
      </c>
      <c r="H2301">
        <v>4.5999999999999999E-2</v>
      </c>
      <c r="I2301" s="3">
        <v>1610</v>
      </c>
      <c r="J2301" s="1">
        <v>45625</v>
      </c>
      <c r="K2301" t="s">
        <v>31</v>
      </c>
      <c r="L2301" t="s">
        <v>9</v>
      </c>
      <c r="M2301" t="s">
        <v>37</v>
      </c>
      <c r="N2301" s="1">
        <f t="shared" si="210"/>
        <v>45625</v>
      </c>
      <c r="O2301" s="4">
        <f t="shared" si="211"/>
        <v>2.7947436609291134E-2</v>
      </c>
      <c r="P2301">
        <f t="shared" si="212"/>
        <v>1.1969536423841061</v>
      </c>
      <c r="Q2301" s="2">
        <f t="shared" si="213"/>
        <v>8.2154545454545467</v>
      </c>
      <c r="R2301" s="2">
        <f t="shared" si="214"/>
        <v>60.24666666666667</v>
      </c>
      <c r="S2301" s="2">
        <f t="shared" si="215"/>
        <v>8.9078233927188215</v>
      </c>
    </row>
    <row r="2302" spans="1:19">
      <c r="A2302" t="s">
        <v>2355</v>
      </c>
      <c r="B2302" t="s">
        <v>30</v>
      </c>
      <c r="C2302">
        <v>176</v>
      </c>
      <c r="D2302">
        <v>4577</v>
      </c>
      <c r="E2302" s="2">
        <v>207.98</v>
      </c>
      <c r="F2302">
        <v>23</v>
      </c>
      <c r="G2302">
        <v>7</v>
      </c>
      <c r="H2302">
        <v>4.5999999999999999E-2</v>
      </c>
      <c r="I2302" s="3">
        <v>1396</v>
      </c>
      <c r="J2302" s="1">
        <v>45625</v>
      </c>
      <c r="K2302" t="s">
        <v>31</v>
      </c>
      <c r="L2302" t="s">
        <v>9</v>
      </c>
      <c r="M2302" t="s">
        <v>39</v>
      </c>
      <c r="N2302" s="1">
        <f t="shared" si="210"/>
        <v>45625</v>
      </c>
      <c r="O2302" s="4">
        <f t="shared" si="211"/>
        <v>3.8453135241424512E-2</v>
      </c>
      <c r="P2302">
        <f t="shared" si="212"/>
        <v>1.1817045454545454</v>
      </c>
      <c r="Q2302" s="2">
        <f t="shared" si="213"/>
        <v>9.0426086956521736</v>
      </c>
      <c r="R2302" s="2">
        <f t="shared" si="214"/>
        <v>29.71142857142857</v>
      </c>
      <c r="S2302" s="2">
        <f t="shared" si="215"/>
        <v>6.7121838638330615</v>
      </c>
    </row>
    <row r="2303" spans="1:19">
      <c r="A2303" t="s">
        <v>2356</v>
      </c>
      <c r="B2303" t="s">
        <v>30</v>
      </c>
      <c r="C2303">
        <v>139</v>
      </c>
      <c r="D2303">
        <v>3978</v>
      </c>
      <c r="E2303" s="2">
        <v>230.19</v>
      </c>
      <c r="F2303">
        <v>23</v>
      </c>
      <c r="G2303">
        <v>9</v>
      </c>
      <c r="H2303">
        <v>4.5999999999999999E-2</v>
      </c>
      <c r="I2303" s="3">
        <v>1792</v>
      </c>
      <c r="J2303" s="1" t="s">
        <v>348</v>
      </c>
      <c r="K2303" t="s">
        <v>31</v>
      </c>
      <c r="L2303" t="s">
        <v>7</v>
      </c>
      <c r="M2303" t="s">
        <v>46</v>
      </c>
      <c r="N2303" s="1">
        <f t="shared" si="210"/>
        <v>45615</v>
      </c>
      <c r="O2303" s="4">
        <f t="shared" si="211"/>
        <v>3.4942182001005531E-2</v>
      </c>
      <c r="P2303">
        <f t="shared" si="212"/>
        <v>1.656043165467626</v>
      </c>
      <c r="Q2303" s="2">
        <f t="shared" si="213"/>
        <v>10.008260869565218</v>
      </c>
      <c r="R2303" s="2">
        <f t="shared" si="214"/>
        <v>25.576666666666668</v>
      </c>
      <c r="S2303" s="2">
        <f t="shared" si="215"/>
        <v>7.7848733654806903</v>
      </c>
    </row>
    <row r="2304" spans="1:19" hidden="1">
      <c r="A2304" t="s">
        <v>2357</v>
      </c>
      <c r="B2304" t="s">
        <v>30</v>
      </c>
      <c r="C2304">
        <v>141</v>
      </c>
      <c r="D2304">
        <v>4483</v>
      </c>
      <c r="E2304" s="2">
        <v>240.23</v>
      </c>
      <c r="F2304">
        <v>25</v>
      </c>
      <c r="G2304">
        <v>4</v>
      </c>
      <c r="H2304">
        <v>2.8000000000000001E-2</v>
      </c>
      <c r="I2304" s="3">
        <v>1516</v>
      </c>
      <c r="J2304" s="1" t="s">
        <v>50</v>
      </c>
      <c r="K2304" t="s">
        <v>31</v>
      </c>
      <c r="L2304" t="s">
        <v>9</v>
      </c>
      <c r="M2304" t="s">
        <v>46</v>
      </c>
      <c r="N2304" s="1">
        <f t="shared" si="210"/>
        <v>45610</v>
      </c>
      <c r="O2304" s="4">
        <f t="shared" si="211"/>
        <v>3.1452152576399731E-2</v>
      </c>
      <c r="P2304">
        <f t="shared" si="212"/>
        <v>1.703758865248227</v>
      </c>
      <c r="Q2304" s="2">
        <f t="shared" si="213"/>
        <v>9.6091999999999995</v>
      </c>
      <c r="R2304" s="2">
        <f t="shared" si="214"/>
        <v>60.057499999999997</v>
      </c>
      <c r="S2304" s="2">
        <f t="shared" si="215"/>
        <v>6.3106189901344552</v>
      </c>
    </row>
    <row r="2305" spans="1:19" hidden="1">
      <c r="A2305" t="s">
        <v>2358</v>
      </c>
      <c r="B2305" t="s">
        <v>30</v>
      </c>
      <c r="C2305">
        <v>117</v>
      </c>
      <c r="D2305">
        <v>5754</v>
      </c>
      <c r="E2305" s="2">
        <v>228.8</v>
      </c>
      <c r="F2305">
        <v>20</v>
      </c>
      <c r="G2305">
        <v>3</v>
      </c>
      <c r="H2305">
        <v>2.5999999999999999E-2</v>
      </c>
      <c r="I2305" s="3">
        <v>1505</v>
      </c>
      <c r="J2305" s="1" t="s">
        <v>50</v>
      </c>
      <c r="K2305" t="s">
        <v>31</v>
      </c>
      <c r="L2305" t="s">
        <v>8</v>
      </c>
      <c r="M2305" t="s">
        <v>37</v>
      </c>
      <c r="N2305" s="1">
        <f t="shared" si="210"/>
        <v>45610</v>
      </c>
      <c r="O2305" s="4">
        <f t="shared" si="211"/>
        <v>2.0333680917622523E-2</v>
      </c>
      <c r="P2305">
        <f t="shared" si="212"/>
        <v>1.9555555555555557</v>
      </c>
      <c r="Q2305" s="2">
        <f t="shared" si="213"/>
        <v>11.440000000000001</v>
      </c>
      <c r="R2305" s="2">
        <f t="shared" si="214"/>
        <v>76.266666666666666</v>
      </c>
      <c r="S2305" s="2">
        <f t="shared" si="215"/>
        <v>6.5777972027972025</v>
      </c>
    </row>
    <row r="2306" spans="1:19" hidden="1">
      <c r="A2306" t="s">
        <v>2359</v>
      </c>
      <c r="B2306" t="s">
        <v>30</v>
      </c>
      <c r="C2306">
        <v>131</v>
      </c>
      <c r="D2306">
        <v>5528</v>
      </c>
      <c r="E2306" s="2">
        <v>182.38</v>
      </c>
      <c r="F2306">
        <v>27</v>
      </c>
      <c r="G2306">
        <v>6</v>
      </c>
      <c r="H2306">
        <v>4.5999999999999999E-2</v>
      </c>
      <c r="I2306" s="3">
        <v>1168</v>
      </c>
      <c r="J2306" s="1">
        <v>45599</v>
      </c>
      <c r="K2306" t="s">
        <v>31</v>
      </c>
      <c r="L2306" t="s">
        <v>7</v>
      </c>
      <c r="M2306" t="s">
        <v>46</v>
      </c>
      <c r="N2306" s="1">
        <f t="shared" ref="N2306:N2369" si="216">IF(A2306="","",IF(ISNUMBER(J2306),J2306,IF(MID(J2306,5,1)="-",DATE(LEFT(J2306,4),MID(J2306,6,2),RIGHT(J2306,2)),IF(MID(J2306,5,1)="/",DATE(LEFT(J2306,4),MID(J2306,6,2),RIGHT(J2306,2)),DATE(RIGHT(J2306,4),MID(J2306,4,2),LEFT(J2306,2))))))</f>
        <v>45599</v>
      </c>
      <c r="O2306" s="4">
        <f t="shared" ref="O2306:O2369" si="217">IFERROR(C2306/D2306,0)</f>
        <v>2.3697539797395081E-2</v>
      </c>
      <c r="P2306">
        <f t="shared" ref="P2306:P2369" si="218">IFERROR(E2306/C2306,0)</f>
        <v>1.3922137404580153</v>
      </c>
      <c r="Q2306" s="2">
        <f t="shared" ref="Q2306:Q2369" si="219">IFERROR(E2306/F2306,0)</f>
        <v>6.7548148148148144</v>
      </c>
      <c r="R2306" s="2">
        <f t="shared" ref="R2306:R2369" si="220">IFERROR(E2306/G2306,0)</f>
        <v>30.396666666666665</v>
      </c>
      <c r="S2306" s="2">
        <f t="shared" ref="S2306:S2369" si="221">IFERROR(I2306/E2306,0)</f>
        <v>6.4042109880469349</v>
      </c>
    </row>
    <row r="2307" spans="1:19" hidden="1">
      <c r="A2307" t="s">
        <v>2360</v>
      </c>
      <c r="B2307" t="s">
        <v>30</v>
      </c>
      <c r="C2307">
        <v>173</v>
      </c>
      <c r="D2307">
        <v>3639</v>
      </c>
      <c r="E2307" s="2">
        <v>225.73</v>
      </c>
      <c r="F2307">
        <v>10</v>
      </c>
      <c r="G2307">
        <v>4</v>
      </c>
      <c r="H2307">
        <v>2.3E-2</v>
      </c>
      <c r="I2307" s="3">
        <v>1804</v>
      </c>
      <c r="J2307" s="1" t="s">
        <v>115</v>
      </c>
      <c r="K2307" t="s">
        <v>31</v>
      </c>
      <c r="L2307" t="s">
        <v>9</v>
      </c>
      <c r="M2307" t="s">
        <v>37</v>
      </c>
      <c r="N2307" s="1">
        <f t="shared" si="216"/>
        <v>45623</v>
      </c>
      <c r="O2307" s="4">
        <f t="shared" si="217"/>
        <v>4.7540533113492718E-2</v>
      </c>
      <c r="P2307">
        <f t="shared" si="218"/>
        <v>1.3047976878612717</v>
      </c>
      <c r="Q2307" s="2">
        <f t="shared" si="219"/>
        <v>22.573</v>
      </c>
      <c r="R2307" s="2">
        <f t="shared" si="220"/>
        <v>56.432499999999997</v>
      </c>
      <c r="S2307" s="2">
        <f t="shared" si="221"/>
        <v>7.9918486687635673</v>
      </c>
    </row>
    <row r="2308" spans="1:19" hidden="1">
      <c r="A2308" t="s">
        <v>2361</v>
      </c>
      <c r="B2308" t="s">
        <v>30</v>
      </c>
      <c r="C2308">
        <v>195</v>
      </c>
      <c r="D2308">
        <v>4067</v>
      </c>
      <c r="E2308" s="2">
        <v>220.61</v>
      </c>
      <c r="F2308">
        <v>20</v>
      </c>
      <c r="G2308">
        <v>8</v>
      </c>
      <c r="H2308">
        <v>4.1000000000000002E-2</v>
      </c>
      <c r="I2308" s="3">
        <v>1767</v>
      </c>
      <c r="J2308" s="1">
        <v>45515</v>
      </c>
      <c r="K2308" t="s">
        <v>31</v>
      </c>
      <c r="L2308" t="s">
        <v>7</v>
      </c>
      <c r="M2308" t="s">
        <v>35</v>
      </c>
      <c r="N2308" s="1">
        <f t="shared" si="216"/>
        <v>45515</v>
      </c>
      <c r="O2308" s="4">
        <f t="shared" si="217"/>
        <v>4.7946889599213179E-2</v>
      </c>
      <c r="P2308">
        <f t="shared" si="218"/>
        <v>1.1313333333333333</v>
      </c>
      <c r="Q2308" s="2">
        <f t="shared" si="219"/>
        <v>11.0305</v>
      </c>
      <c r="R2308" s="2">
        <f t="shared" si="220"/>
        <v>27.576250000000002</v>
      </c>
      <c r="S2308" s="2">
        <f t="shared" si="221"/>
        <v>8.0096097185077735</v>
      </c>
    </row>
    <row r="2309" spans="1:19" hidden="1">
      <c r="A2309" t="s">
        <v>2362</v>
      </c>
      <c r="B2309" t="s">
        <v>30</v>
      </c>
      <c r="C2309">
        <v>126</v>
      </c>
      <c r="D2309">
        <v>3931</v>
      </c>
      <c r="E2309" s="2">
        <v>212.16</v>
      </c>
      <c r="F2309">
        <v>20</v>
      </c>
      <c r="G2309">
        <v>9</v>
      </c>
      <c r="H2309">
        <v>5.8000000000000003E-2</v>
      </c>
      <c r="I2309" s="3">
        <v>1537</v>
      </c>
      <c r="J2309" s="1">
        <v>45546</v>
      </c>
      <c r="K2309" t="s">
        <v>31</v>
      </c>
      <c r="L2309" t="s">
        <v>7</v>
      </c>
      <c r="M2309" t="s">
        <v>32</v>
      </c>
      <c r="N2309" s="1">
        <f t="shared" si="216"/>
        <v>45546</v>
      </c>
      <c r="O2309" s="4">
        <f t="shared" si="217"/>
        <v>3.2052912744848637E-2</v>
      </c>
      <c r="P2309">
        <f t="shared" si="218"/>
        <v>1.6838095238095239</v>
      </c>
      <c r="Q2309" s="2">
        <f t="shared" si="219"/>
        <v>10.608000000000001</v>
      </c>
      <c r="R2309" s="2">
        <f t="shared" si="220"/>
        <v>23.573333333333334</v>
      </c>
      <c r="S2309" s="2">
        <f t="shared" si="221"/>
        <v>7.2445324283559582</v>
      </c>
    </row>
    <row r="2310" spans="1:19">
      <c r="A2310" t="s">
        <v>2363</v>
      </c>
      <c r="B2310" t="s">
        <v>30</v>
      </c>
      <c r="C2310">
        <v>119</v>
      </c>
      <c r="D2310">
        <v>3602</v>
      </c>
      <c r="E2310" s="2">
        <v>191.83</v>
      </c>
      <c r="F2310">
        <v>26</v>
      </c>
      <c r="G2310">
        <v>3</v>
      </c>
      <c r="H2310">
        <v>4.5999999999999999E-2</v>
      </c>
      <c r="I2310" s="3">
        <v>1052</v>
      </c>
      <c r="J2310" s="1">
        <v>45606</v>
      </c>
      <c r="K2310" t="s">
        <v>31</v>
      </c>
      <c r="L2310" t="s">
        <v>9</v>
      </c>
      <c r="M2310" t="s">
        <v>46</v>
      </c>
      <c r="N2310" s="1">
        <f t="shared" si="216"/>
        <v>45606</v>
      </c>
      <c r="O2310" s="4">
        <f t="shared" si="217"/>
        <v>3.3037201554691836E-2</v>
      </c>
      <c r="P2310">
        <f t="shared" si="218"/>
        <v>1.6120168067226892</v>
      </c>
      <c r="Q2310" s="2">
        <f t="shared" si="219"/>
        <v>7.3780769230769234</v>
      </c>
      <c r="R2310" s="2">
        <f t="shared" si="220"/>
        <v>63.943333333333335</v>
      </c>
      <c r="S2310" s="2">
        <f t="shared" si="221"/>
        <v>5.4840223114215707</v>
      </c>
    </row>
    <row r="2311" spans="1:19" hidden="1">
      <c r="A2311" t="s">
        <v>2364</v>
      </c>
      <c r="B2311" t="s">
        <v>30</v>
      </c>
      <c r="C2311">
        <v>141</v>
      </c>
      <c r="D2311">
        <v>5663</v>
      </c>
      <c r="E2311" s="2">
        <v>237.57</v>
      </c>
      <c r="F2311">
        <v>16</v>
      </c>
      <c r="G2311">
        <v>3</v>
      </c>
      <c r="H2311">
        <v>4.4999999999999998E-2</v>
      </c>
      <c r="I2311" s="3">
        <v>1269</v>
      </c>
      <c r="J2311" s="1">
        <v>45614</v>
      </c>
      <c r="K2311" t="s">
        <v>31</v>
      </c>
      <c r="L2311" t="s">
        <v>9</v>
      </c>
      <c r="M2311" t="s">
        <v>35</v>
      </c>
      <c r="N2311" s="1">
        <f t="shared" si="216"/>
        <v>45614</v>
      </c>
      <c r="O2311" s="4">
        <f t="shared" si="217"/>
        <v>2.4898463711813527E-2</v>
      </c>
      <c r="P2311">
        <f t="shared" si="218"/>
        <v>1.6848936170212765</v>
      </c>
      <c r="Q2311" s="2">
        <f t="shared" si="219"/>
        <v>14.848125</v>
      </c>
      <c r="R2311" s="2">
        <f t="shared" si="220"/>
        <v>79.19</v>
      </c>
      <c r="S2311" s="2">
        <f t="shared" si="221"/>
        <v>5.3415835332744033</v>
      </c>
    </row>
    <row r="2312" spans="1:19" hidden="1">
      <c r="A2312" t="s">
        <v>2365</v>
      </c>
      <c r="B2312" t="s">
        <v>30</v>
      </c>
      <c r="C2312">
        <v>182</v>
      </c>
      <c r="D2312">
        <v>4021</v>
      </c>
      <c r="E2312" s="2">
        <v>215.57</v>
      </c>
      <c r="F2312">
        <v>24</v>
      </c>
      <c r="G2312">
        <v>7</v>
      </c>
      <c r="H2312">
        <v>3.7999999999999999E-2</v>
      </c>
      <c r="I2312" s="3">
        <v>1444</v>
      </c>
      <c r="J2312" s="1" t="s">
        <v>64</v>
      </c>
      <c r="K2312" t="s">
        <v>31</v>
      </c>
      <c r="L2312" t="s">
        <v>9</v>
      </c>
      <c r="M2312" t="s">
        <v>41</v>
      </c>
      <c r="N2312" s="1">
        <f t="shared" si="216"/>
        <v>45626</v>
      </c>
      <c r="O2312" s="4">
        <f t="shared" si="217"/>
        <v>4.5262372544143246E-2</v>
      </c>
      <c r="P2312">
        <f t="shared" si="218"/>
        <v>1.1844505494505495</v>
      </c>
      <c r="Q2312" s="2">
        <f t="shared" si="219"/>
        <v>8.9820833333333336</v>
      </c>
      <c r="R2312" s="2">
        <f t="shared" si="220"/>
        <v>30.795714285714286</v>
      </c>
      <c r="S2312" s="2">
        <f t="shared" si="221"/>
        <v>6.6985202022544881</v>
      </c>
    </row>
    <row r="2313" spans="1:19" hidden="1">
      <c r="A2313" t="s">
        <v>2366</v>
      </c>
      <c r="B2313" t="s">
        <v>30</v>
      </c>
      <c r="C2313">
        <v>192</v>
      </c>
      <c r="D2313">
        <v>4551</v>
      </c>
      <c r="E2313" s="2">
        <v>223.93</v>
      </c>
      <c r="F2313">
        <v>22</v>
      </c>
      <c r="G2313">
        <v>10</v>
      </c>
      <c r="H2313">
        <v>5.1999999999999998E-2</v>
      </c>
      <c r="I2313" s="3">
        <v>1231</v>
      </c>
      <c r="J2313" s="1" t="s">
        <v>348</v>
      </c>
      <c r="K2313" t="s">
        <v>31</v>
      </c>
      <c r="L2313" t="s">
        <v>7</v>
      </c>
      <c r="M2313" t="s">
        <v>39</v>
      </c>
      <c r="N2313" s="1">
        <f t="shared" si="216"/>
        <v>45615</v>
      </c>
      <c r="O2313" s="4">
        <f t="shared" si="217"/>
        <v>4.2188529993408039E-2</v>
      </c>
      <c r="P2313">
        <f t="shared" si="218"/>
        <v>1.1663020833333333</v>
      </c>
      <c r="Q2313" s="2">
        <f t="shared" si="219"/>
        <v>10.178636363636365</v>
      </c>
      <c r="R2313" s="2">
        <f t="shared" si="220"/>
        <v>22.393000000000001</v>
      </c>
      <c r="S2313" s="2">
        <f t="shared" si="221"/>
        <v>5.4972536060376012</v>
      </c>
    </row>
    <row r="2314" spans="1:19">
      <c r="A2314" t="s">
        <v>2367</v>
      </c>
      <c r="B2314" t="s">
        <v>30</v>
      </c>
      <c r="C2314">
        <v>139</v>
      </c>
      <c r="D2314">
        <v>5123</v>
      </c>
      <c r="E2314" s="2">
        <v>231.93</v>
      </c>
      <c r="F2314">
        <v>18</v>
      </c>
      <c r="G2314">
        <v>9</v>
      </c>
      <c r="H2314">
        <v>4.5999999999999999E-2</v>
      </c>
      <c r="I2314" s="3">
        <v>1031</v>
      </c>
      <c r="J2314" s="1">
        <v>45614</v>
      </c>
      <c r="K2314" t="s">
        <v>31</v>
      </c>
      <c r="L2314" t="s">
        <v>7</v>
      </c>
      <c r="M2314" t="s">
        <v>46</v>
      </c>
      <c r="N2314" s="1">
        <f t="shared" si="216"/>
        <v>45614</v>
      </c>
      <c r="O2314" s="4">
        <f t="shared" si="217"/>
        <v>2.7132539527620535E-2</v>
      </c>
      <c r="P2314">
        <f t="shared" si="218"/>
        <v>1.6685611510791367</v>
      </c>
      <c r="Q2314" s="2">
        <f t="shared" si="219"/>
        <v>12.885</v>
      </c>
      <c r="R2314" s="2">
        <f t="shared" si="220"/>
        <v>25.77</v>
      </c>
      <c r="S2314" s="2">
        <f t="shared" si="221"/>
        <v>4.4453067735954814</v>
      </c>
    </row>
    <row r="2315" spans="1:19" hidden="1">
      <c r="A2315" t="s">
        <v>2368</v>
      </c>
      <c r="B2315" t="s">
        <v>30</v>
      </c>
      <c r="C2315">
        <v>160</v>
      </c>
      <c r="D2315">
        <v>3816</v>
      </c>
      <c r="E2315" s="2">
        <v>207.93</v>
      </c>
      <c r="F2315">
        <v>27</v>
      </c>
      <c r="G2315">
        <v>9</v>
      </c>
      <c r="H2315">
        <v>5.6000000000000001E-2</v>
      </c>
      <c r="I2315" s="3">
        <v>1884</v>
      </c>
      <c r="J2315" s="1">
        <v>45599</v>
      </c>
      <c r="K2315" t="s">
        <v>31</v>
      </c>
      <c r="L2315" t="s">
        <v>8</v>
      </c>
      <c r="M2315" t="s">
        <v>46</v>
      </c>
      <c r="N2315" s="1">
        <f t="shared" si="216"/>
        <v>45599</v>
      </c>
      <c r="O2315" s="4">
        <f t="shared" si="217"/>
        <v>4.1928721174004195E-2</v>
      </c>
      <c r="P2315">
        <f t="shared" si="218"/>
        <v>1.2995625</v>
      </c>
      <c r="Q2315" s="2">
        <f t="shared" si="219"/>
        <v>7.7011111111111115</v>
      </c>
      <c r="R2315" s="2">
        <f t="shared" si="220"/>
        <v>23.103333333333335</v>
      </c>
      <c r="S2315" s="2">
        <f t="shared" si="221"/>
        <v>9.0607415957293309</v>
      </c>
    </row>
    <row r="2316" spans="1:19" hidden="1">
      <c r="A2316" t="s">
        <v>2369</v>
      </c>
      <c r="B2316" t="s">
        <v>30</v>
      </c>
      <c r="C2316">
        <v>140</v>
      </c>
      <c r="D2316">
        <v>3154</v>
      </c>
      <c r="E2316" s="2">
        <v>212.73</v>
      </c>
      <c r="F2316">
        <v>21</v>
      </c>
      <c r="G2316">
        <v>4</v>
      </c>
      <c r="H2316">
        <v>2.9000000000000001E-2</v>
      </c>
      <c r="I2316" s="3">
        <v>1024</v>
      </c>
      <c r="J2316" s="1">
        <v>45610</v>
      </c>
      <c r="K2316" t="s">
        <v>31</v>
      </c>
      <c r="L2316" t="s">
        <v>9</v>
      </c>
      <c r="M2316" t="s">
        <v>32</v>
      </c>
      <c r="N2316" s="1">
        <f t="shared" si="216"/>
        <v>45610</v>
      </c>
      <c r="O2316" s="4">
        <f t="shared" si="217"/>
        <v>4.4388078630310718E-2</v>
      </c>
      <c r="P2316">
        <f t="shared" si="218"/>
        <v>1.5194999999999999</v>
      </c>
      <c r="Q2316" s="2">
        <f t="shared" si="219"/>
        <v>10.129999999999999</v>
      </c>
      <c r="R2316" s="2">
        <f t="shared" si="220"/>
        <v>53.182499999999997</v>
      </c>
      <c r="S2316" s="2">
        <f t="shared" si="221"/>
        <v>4.8136135006816154</v>
      </c>
    </row>
    <row r="2317" spans="1:19" hidden="1">
      <c r="A2317" t="s">
        <v>2370</v>
      </c>
      <c r="B2317" t="s">
        <v>30</v>
      </c>
      <c r="C2317">
        <v>134</v>
      </c>
      <c r="D2317">
        <v>3700</v>
      </c>
      <c r="E2317" s="2">
        <v>226.57</v>
      </c>
      <c r="F2317">
        <v>28</v>
      </c>
      <c r="G2317">
        <v>7</v>
      </c>
      <c r="H2317">
        <v>5.6000000000000001E-2</v>
      </c>
      <c r="I2317" s="3">
        <v>1836</v>
      </c>
      <c r="J2317" s="1">
        <v>45600</v>
      </c>
      <c r="K2317" t="s">
        <v>31</v>
      </c>
      <c r="L2317" t="s">
        <v>9</v>
      </c>
      <c r="M2317" t="s">
        <v>37</v>
      </c>
      <c r="N2317" s="1">
        <f t="shared" si="216"/>
        <v>45600</v>
      </c>
      <c r="O2317" s="4">
        <f t="shared" si="217"/>
        <v>3.6216216216216214E-2</v>
      </c>
      <c r="P2317">
        <f t="shared" si="218"/>
        <v>1.690820895522388</v>
      </c>
      <c r="Q2317" s="2">
        <f t="shared" si="219"/>
        <v>8.0917857142857148</v>
      </c>
      <c r="R2317" s="2">
        <f t="shared" si="220"/>
        <v>32.367142857142859</v>
      </c>
      <c r="S2317" s="2">
        <f t="shared" si="221"/>
        <v>8.1034558855982706</v>
      </c>
    </row>
    <row r="2318" spans="1:19">
      <c r="A2318" t="s">
        <v>2371</v>
      </c>
      <c r="B2318" t="s">
        <v>30</v>
      </c>
      <c r="C2318">
        <v>92</v>
      </c>
      <c r="D2318">
        <v>3963</v>
      </c>
      <c r="E2318" s="2">
        <v>219.39</v>
      </c>
      <c r="F2318">
        <v>22</v>
      </c>
      <c r="G2318">
        <v>10</v>
      </c>
      <c r="H2318">
        <v>4.5999999999999999E-2</v>
      </c>
      <c r="I2318" s="3">
        <v>1834</v>
      </c>
      <c r="J2318" s="1" t="s">
        <v>100</v>
      </c>
      <c r="K2318" t="s">
        <v>31</v>
      </c>
      <c r="L2318" t="s">
        <v>8</v>
      </c>
      <c r="M2318" t="s">
        <v>41</v>
      </c>
      <c r="N2318" s="1">
        <f t="shared" si="216"/>
        <v>45622</v>
      </c>
      <c r="O2318" s="4">
        <f t="shared" si="217"/>
        <v>2.3214736310875599E-2</v>
      </c>
      <c r="P2318">
        <f t="shared" si="218"/>
        <v>2.384673913043478</v>
      </c>
      <c r="Q2318" s="2">
        <f t="shared" si="219"/>
        <v>9.9722727272727258</v>
      </c>
      <c r="R2318" s="2">
        <f t="shared" si="220"/>
        <v>21.939</v>
      </c>
      <c r="S2318" s="2">
        <f t="shared" si="221"/>
        <v>8.3595423674734501</v>
      </c>
    </row>
    <row r="2319" spans="1:19" hidden="1">
      <c r="A2319" t="s">
        <v>2372</v>
      </c>
      <c r="B2319" t="s">
        <v>30</v>
      </c>
      <c r="C2319">
        <v>163</v>
      </c>
      <c r="D2319">
        <v>3978</v>
      </c>
      <c r="E2319" s="2">
        <v>232.7</v>
      </c>
      <c r="F2319">
        <v>25</v>
      </c>
      <c r="G2319">
        <v>9</v>
      </c>
      <c r="H2319">
        <v>4.5999999999999999E-2</v>
      </c>
      <c r="I2319" s="3">
        <v>1380</v>
      </c>
      <c r="J2319" s="1">
        <v>45604</v>
      </c>
      <c r="K2319" t="s">
        <v>31</v>
      </c>
      <c r="L2319" t="s">
        <v>7</v>
      </c>
      <c r="M2319" t="s">
        <v>37</v>
      </c>
      <c r="N2319" s="1">
        <f t="shared" si="216"/>
        <v>45604</v>
      </c>
      <c r="O2319" s="4">
        <f t="shared" si="217"/>
        <v>4.097536450477627E-2</v>
      </c>
      <c r="P2319">
        <f t="shared" si="218"/>
        <v>1.4276073619631902</v>
      </c>
      <c r="Q2319" s="2">
        <f t="shared" si="219"/>
        <v>9.3079999999999998</v>
      </c>
      <c r="R2319" s="2">
        <f t="shared" si="220"/>
        <v>25.855555555555554</v>
      </c>
      <c r="S2319" s="2">
        <f t="shared" si="221"/>
        <v>5.930382466695316</v>
      </c>
    </row>
    <row r="2320" spans="1:19" hidden="1">
      <c r="A2320" t="s">
        <v>2373</v>
      </c>
      <c r="B2320" t="s">
        <v>30</v>
      </c>
      <c r="C2320">
        <v>155</v>
      </c>
      <c r="D2320">
        <v>5105</v>
      </c>
      <c r="E2320" s="2">
        <v>239.11</v>
      </c>
      <c r="F2320">
        <v>20</v>
      </c>
      <c r="G2320">
        <v>5</v>
      </c>
      <c r="H2320">
        <v>3.2000000000000001E-2</v>
      </c>
      <c r="I2320" s="3">
        <v>1009</v>
      </c>
      <c r="J2320" s="1">
        <v>45601</v>
      </c>
      <c r="K2320" t="s">
        <v>31</v>
      </c>
      <c r="L2320" t="s">
        <v>8</v>
      </c>
      <c r="M2320" t="s">
        <v>46</v>
      </c>
      <c r="N2320" s="1">
        <f t="shared" si="216"/>
        <v>45601</v>
      </c>
      <c r="O2320" s="4">
        <f t="shared" si="217"/>
        <v>3.0362389813907934E-2</v>
      </c>
      <c r="P2320">
        <f t="shared" si="218"/>
        <v>1.5426451612903227</v>
      </c>
      <c r="Q2320" s="2">
        <f t="shared" si="219"/>
        <v>11.955500000000001</v>
      </c>
      <c r="R2320" s="2">
        <f t="shared" si="220"/>
        <v>47.822000000000003</v>
      </c>
      <c r="S2320" s="2">
        <f t="shared" si="221"/>
        <v>4.2198151478399062</v>
      </c>
    </row>
    <row r="2321" spans="1:19" hidden="1">
      <c r="A2321" t="s">
        <v>2374</v>
      </c>
      <c r="B2321" t="s">
        <v>30</v>
      </c>
      <c r="C2321">
        <v>194</v>
      </c>
      <c r="D2321">
        <v>3559</v>
      </c>
      <c r="E2321" s="2">
        <v>205.78</v>
      </c>
      <c r="F2321">
        <v>15</v>
      </c>
      <c r="G2321">
        <v>9</v>
      </c>
      <c r="H2321">
        <v>4.5999999999999999E-2</v>
      </c>
      <c r="I2321" s="3">
        <v>1765</v>
      </c>
      <c r="J2321" s="1">
        <v>45362</v>
      </c>
      <c r="K2321" t="s">
        <v>31</v>
      </c>
      <c r="L2321" t="s">
        <v>7</v>
      </c>
      <c r="M2321" t="s">
        <v>41</v>
      </c>
      <c r="N2321" s="1">
        <f t="shared" si="216"/>
        <v>45362</v>
      </c>
      <c r="O2321" s="4">
        <f t="shared" si="217"/>
        <v>5.4509693734195001E-2</v>
      </c>
      <c r="P2321">
        <f t="shared" si="218"/>
        <v>1.0607216494845362</v>
      </c>
      <c r="Q2321" s="2">
        <f t="shared" si="219"/>
        <v>13.718666666666667</v>
      </c>
      <c r="R2321" s="2">
        <f t="shared" si="220"/>
        <v>22.864444444444445</v>
      </c>
      <c r="S2321" s="2">
        <f t="shared" si="221"/>
        <v>8.577121197395277</v>
      </c>
    </row>
    <row r="2322" spans="1:19" hidden="1">
      <c r="A2322" t="s">
        <v>2375</v>
      </c>
      <c r="B2322" t="s">
        <v>30</v>
      </c>
      <c r="C2322">
        <v>165</v>
      </c>
      <c r="D2322">
        <v>3005</v>
      </c>
      <c r="E2322" s="2">
        <v>239.14</v>
      </c>
      <c r="F2322">
        <v>23</v>
      </c>
      <c r="G2322">
        <v>6</v>
      </c>
      <c r="H2322">
        <v>3.5999999999999997E-2</v>
      </c>
      <c r="I2322" s="3">
        <v>1989</v>
      </c>
      <c r="J2322" s="1">
        <v>45623</v>
      </c>
      <c r="K2322" t="s">
        <v>31</v>
      </c>
      <c r="L2322" t="s">
        <v>9</v>
      </c>
      <c r="M2322" t="s">
        <v>32</v>
      </c>
      <c r="N2322" s="1">
        <f t="shared" si="216"/>
        <v>45623</v>
      </c>
      <c r="O2322" s="4">
        <f t="shared" si="217"/>
        <v>5.4908485856905158E-2</v>
      </c>
      <c r="P2322">
        <f t="shared" si="218"/>
        <v>1.4493333333333331</v>
      </c>
      <c r="Q2322" s="2">
        <f t="shared" si="219"/>
        <v>10.397391304347826</v>
      </c>
      <c r="R2322" s="2">
        <f t="shared" si="220"/>
        <v>39.856666666666662</v>
      </c>
      <c r="S2322" s="2">
        <f t="shared" si="221"/>
        <v>8.3173036714895048</v>
      </c>
    </row>
    <row r="2323" spans="1:19" hidden="1">
      <c r="A2323" t="s">
        <v>2376</v>
      </c>
      <c r="B2323" t="s">
        <v>30</v>
      </c>
      <c r="C2323">
        <v>135</v>
      </c>
      <c r="D2323">
        <v>4740</v>
      </c>
      <c r="E2323" s="2">
        <v>235.55</v>
      </c>
      <c r="F2323">
        <v>24</v>
      </c>
      <c r="G2323">
        <v>4</v>
      </c>
      <c r="H2323">
        <v>0.03</v>
      </c>
      <c r="I2323" s="3">
        <v>1715</v>
      </c>
      <c r="J2323" s="1">
        <v>45603</v>
      </c>
      <c r="K2323" t="s">
        <v>31</v>
      </c>
      <c r="L2323" t="s">
        <v>7</v>
      </c>
      <c r="M2323" t="s">
        <v>46</v>
      </c>
      <c r="N2323" s="1">
        <f t="shared" si="216"/>
        <v>45603</v>
      </c>
      <c r="O2323" s="4">
        <f t="shared" si="217"/>
        <v>2.8481012658227847E-2</v>
      </c>
      <c r="P2323">
        <f t="shared" si="218"/>
        <v>1.7448148148148148</v>
      </c>
      <c r="Q2323" s="2">
        <f t="shared" si="219"/>
        <v>9.8145833333333332</v>
      </c>
      <c r="R2323" s="2">
        <f t="shared" si="220"/>
        <v>58.887500000000003</v>
      </c>
      <c r="S2323" s="2">
        <f t="shared" si="221"/>
        <v>7.2808320950965824</v>
      </c>
    </row>
    <row r="2324" spans="1:19">
      <c r="A2324" t="s">
        <v>2377</v>
      </c>
      <c r="B2324" t="s">
        <v>30</v>
      </c>
      <c r="C2324">
        <v>87</v>
      </c>
      <c r="D2324">
        <v>4379</v>
      </c>
      <c r="E2324" s="2">
        <v>209.25</v>
      </c>
      <c r="F2324">
        <v>29</v>
      </c>
      <c r="G2324">
        <v>10</v>
      </c>
      <c r="H2324">
        <v>4.5999999999999999E-2</v>
      </c>
      <c r="I2324" s="3">
        <v>1348</v>
      </c>
      <c r="J2324" s="1">
        <v>45601</v>
      </c>
      <c r="K2324" t="s">
        <v>31</v>
      </c>
      <c r="L2324" t="s">
        <v>7</v>
      </c>
      <c r="M2324" t="s">
        <v>32</v>
      </c>
      <c r="N2324" s="1">
        <f t="shared" si="216"/>
        <v>45601</v>
      </c>
      <c r="O2324" s="4">
        <f t="shared" si="217"/>
        <v>1.9867549668874173E-2</v>
      </c>
      <c r="P2324">
        <f t="shared" si="218"/>
        <v>2.4051724137931036</v>
      </c>
      <c r="Q2324" s="2">
        <f t="shared" si="219"/>
        <v>7.2155172413793105</v>
      </c>
      <c r="R2324" s="2">
        <f t="shared" si="220"/>
        <v>20.925000000000001</v>
      </c>
      <c r="S2324" s="2">
        <f t="shared" si="221"/>
        <v>6.4420549581839905</v>
      </c>
    </row>
    <row r="2325" spans="1:19" hidden="1">
      <c r="A2325" t="s">
        <v>2378</v>
      </c>
      <c r="B2325" t="s">
        <v>30</v>
      </c>
      <c r="C2325">
        <v>164</v>
      </c>
      <c r="D2325">
        <v>4151</v>
      </c>
      <c r="E2325" s="2">
        <v>219.97</v>
      </c>
      <c r="F2325">
        <v>30</v>
      </c>
      <c r="G2325">
        <v>9</v>
      </c>
      <c r="H2325">
        <v>5.5E-2</v>
      </c>
      <c r="I2325" s="3">
        <v>1505</v>
      </c>
      <c r="J2325" s="1" t="s">
        <v>206</v>
      </c>
      <c r="K2325" t="s">
        <v>31</v>
      </c>
      <c r="L2325" t="s">
        <v>7</v>
      </c>
      <c r="M2325" t="s">
        <v>41</v>
      </c>
      <c r="N2325" s="1">
        <f t="shared" si="216"/>
        <v>45621</v>
      </c>
      <c r="O2325" s="4">
        <f t="shared" si="217"/>
        <v>3.9508552156106963E-2</v>
      </c>
      <c r="P2325">
        <f t="shared" si="218"/>
        <v>1.3412804878048781</v>
      </c>
      <c r="Q2325" s="2">
        <f t="shared" si="219"/>
        <v>7.3323333333333336</v>
      </c>
      <c r="R2325" s="2">
        <f t="shared" si="220"/>
        <v>24.441111111111113</v>
      </c>
      <c r="S2325" s="2">
        <f t="shared" si="221"/>
        <v>6.8418420693730964</v>
      </c>
    </row>
    <row r="2326" spans="1:19">
      <c r="A2326" t="s">
        <v>2379</v>
      </c>
      <c r="B2326" t="s">
        <v>30</v>
      </c>
      <c r="C2326">
        <v>139</v>
      </c>
      <c r="D2326">
        <v>3185</v>
      </c>
      <c r="E2326" s="2">
        <v>217.33</v>
      </c>
      <c r="F2326">
        <v>21</v>
      </c>
      <c r="G2326">
        <v>3</v>
      </c>
      <c r="H2326">
        <v>4.5999999999999999E-2</v>
      </c>
      <c r="I2326" s="3">
        <v>1505</v>
      </c>
      <c r="J2326" s="1" t="s">
        <v>89</v>
      </c>
      <c r="K2326" t="s">
        <v>31</v>
      </c>
      <c r="L2326" t="s">
        <v>8</v>
      </c>
      <c r="M2326" t="s">
        <v>39</v>
      </c>
      <c r="N2326" s="1">
        <f t="shared" si="216"/>
        <v>45611</v>
      </c>
      <c r="O2326" s="4">
        <f t="shared" si="217"/>
        <v>4.3642072213500784E-2</v>
      </c>
      <c r="P2326">
        <f t="shared" si="218"/>
        <v>1.5635251798561152</v>
      </c>
      <c r="Q2326" s="2">
        <f t="shared" si="219"/>
        <v>10.349047619047619</v>
      </c>
      <c r="R2326" s="2">
        <f t="shared" si="220"/>
        <v>72.443333333333342</v>
      </c>
      <c r="S2326" s="2">
        <f t="shared" si="221"/>
        <v>6.9249528366999487</v>
      </c>
    </row>
    <row r="2327" spans="1:19" hidden="1">
      <c r="A2327" t="s">
        <v>2380</v>
      </c>
      <c r="B2327" t="s">
        <v>30</v>
      </c>
      <c r="C2327">
        <v>84</v>
      </c>
      <c r="D2327">
        <v>5652</v>
      </c>
      <c r="E2327" s="2">
        <v>191.93</v>
      </c>
      <c r="F2327">
        <v>30</v>
      </c>
      <c r="G2327">
        <v>8</v>
      </c>
      <c r="H2327">
        <v>9.5000000000000001E-2</v>
      </c>
      <c r="I2327" s="3">
        <v>1729</v>
      </c>
      <c r="J2327" s="1">
        <v>45609</v>
      </c>
      <c r="K2327" t="s">
        <v>31</v>
      </c>
      <c r="L2327" t="s">
        <v>8</v>
      </c>
      <c r="M2327" t="s">
        <v>37</v>
      </c>
      <c r="N2327" s="1">
        <f t="shared" si="216"/>
        <v>45609</v>
      </c>
      <c r="O2327" s="4">
        <f t="shared" si="217"/>
        <v>1.4861995753715499E-2</v>
      </c>
      <c r="P2327">
        <f t="shared" si="218"/>
        <v>2.2848809523809526</v>
      </c>
      <c r="Q2327" s="2">
        <f t="shared" si="219"/>
        <v>6.3976666666666668</v>
      </c>
      <c r="R2327" s="2">
        <f t="shared" si="220"/>
        <v>23.991250000000001</v>
      </c>
      <c r="S2327" s="2">
        <f t="shared" si="221"/>
        <v>9.008492679622778</v>
      </c>
    </row>
    <row r="2328" spans="1:19">
      <c r="A2328" t="s">
        <v>2381</v>
      </c>
      <c r="B2328" t="s">
        <v>30</v>
      </c>
      <c r="C2328">
        <v>158</v>
      </c>
      <c r="D2328">
        <v>4819</v>
      </c>
      <c r="E2328" s="2">
        <v>185.34</v>
      </c>
      <c r="F2328">
        <v>17</v>
      </c>
      <c r="G2328">
        <v>9</v>
      </c>
      <c r="H2328">
        <v>4.5999999999999999E-2</v>
      </c>
      <c r="I2328" s="3">
        <v>1066</v>
      </c>
      <c r="J2328" s="1" t="s">
        <v>167</v>
      </c>
      <c r="K2328" t="s">
        <v>31</v>
      </c>
      <c r="L2328" t="s">
        <v>8</v>
      </c>
      <c r="M2328" t="s">
        <v>39</v>
      </c>
      <c r="N2328" s="1">
        <f t="shared" si="216"/>
        <v>45620</v>
      </c>
      <c r="O2328" s="4">
        <f t="shared" si="217"/>
        <v>3.2786885245901641E-2</v>
      </c>
      <c r="P2328">
        <f t="shared" si="218"/>
        <v>1.1730379746835444</v>
      </c>
      <c r="Q2328" s="2">
        <f t="shared" si="219"/>
        <v>10.902352941176471</v>
      </c>
      <c r="R2328" s="2">
        <f t="shared" si="220"/>
        <v>20.593333333333334</v>
      </c>
      <c r="S2328" s="2">
        <f t="shared" si="221"/>
        <v>5.7515916693644114</v>
      </c>
    </row>
    <row r="2329" spans="1:19" hidden="1">
      <c r="A2329" t="s">
        <v>2382</v>
      </c>
      <c r="B2329" t="s">
        <v>30</v>
      </c>
      <c r="C2329">
        <v>90</v>
      </c>
      <c r="D2329">
        <v>4472</v>
      </c>
      <c r="E2329" s="2">
        <v>237.16</v>
      </c>
      <c r="F2329">
        <v>28</v>
      </c>
      <c r="G2329">
        <v>10</v>
      </c>
      <c r="H2329">
        <v>5.8999999999999997E-2</v>
      </c>
      <c r="I2329" s="3">
        <v>1629</v>
      </c>
      <c r="J2329" s="1" t="s">
        <v>217</v>
      </c>
      <c r="K2329" t="s">
        <v>31</v>
      </c>
      <c r="L2329" t="s">
        <v>8</v>
      </c>
      <c r="M2329" t="s">
        <v>32</v>
      </c>
      <c r="N2329" s="1">
        <f t="shared" si="216"/>
        <v>45609</v>
      </c>
      <c r="O2329" s="4">
        <f t="shared" si="217"/>
        <v>2.0125223613595707E-2</v>
      </c>
      <c r="P2329">
        <f t="shared" si="218"/>
        <v>2.6351111111111112</v>
      </c>
      <c r="Q2329" s="2">
        <f t="shared" si="219"/>
        <v>8.4700000000000006</v>
      </c>
      <c r="R2329" s="2">
        <f t="shared" si="220"/>
        <v>23.716000000000001</v>
      </c>
      <c r="S2329" s="2">
        <f t="shared" si="221"/>
        <v>6.8687805700792719</v>
      </c>
    </row>
    <row r="2330" spans="1:19" hidden="1">
      <c r="A2330" t="s">
        <v>2383</v>
      </c>
      <c r="B2330" t="s">
        <v>30</v>
      </c>
      <c r="C2330">
        <v>197</v>
      </c>
      <c r="D2330">
        <v>3186</v>
      </c>
      <c r="E2330" s="2">
        <v>194.44</v>
      </c>
      <c r="F2330">
        <v>19</v>
      </c>
      <c r="G2330">
        <v>6</v>
      </c>
      <c r="H2330">
        <v>0.03</v>
      </c>
      <c r="I2330" s="3">
        <v>1857</v>
      </c>
      <c r="J2330" s="1">
        <v>45610</v>
      </c>
      <c r="K2330" t="s">
        <v>31</v>
      </c>
      <c r="L2330" t="s">
        <v>9</v>
      </c>
      <c r="M2330" t="s">
        <v>35</v>
      </c>
      <c r="N2330" s="1">
        <f t="shared" si="216"/>
        <v>45610</v>
      </c>
      <c r="O2330" s="4">
        <f t="shared" si="217"/>
        <v>6.1833019460138104E-2</v>
      </c>
      <c r="P2330">
        <f t="shared" si="218"/>
        <v>0.98700507614213195</v>
      </c>
      <c r="Q2330" s="2">
        <f t="shared" si="219"/>
        <v>10.233684210526315</v>
      </c>
      <c r="R2330" s="2">
        <f t="shared" si="220"/>
        <v>32.406666666666666</v>
      </c>
      <c r="S2330" s="2">
        <f t="shared" si="221"/>
        <v>9.550504011520264</v>
      </c>
    </row>
    <row r="2331" spans="1:19" hidden="1">
      <c r="A2331" t="s">
        <v>2384</v>
      </c>
      <c r="B2331" t="s">
        <v>30</v>
      </c>
      <c r="C2331">
        <v>133</v>
      </c>
      <c r="D2331">
        <v>4241</v>
      </c>
      <c r="E2331" s="2">
        <v>197.26</v>
      </c>
      <c r="F2331">
        <v>25</v>
      </c>
      <c r="G2331">
        <v>9</v>
      </c>
      <c r="H2331">
        <v>6.8000000000000005E-2</v>
      </c>
      <c r="I2331" s="3">
        <v>1325</v>
      </c>
      <c r="J2331" s="1">
        <v>45622</v>
      </c>
      <c r="K2331" t="s">
        <v>31</v>
      </c>
      <c r="L2331" t="s">
        <v>9</v>
      </c>
      <c r="M2331" t="s">
        <v>39</v>
      </c>
      <c r="N2331" s="1">
        <f t="shared" si="216"/>
        <v>45622</v>
      </c>
      <c r="O2331" s="4">
        <f t="shared" si="217"/>
        <v>3.1360528177316674E-2</v>
      </c>
      <c r="P2331">
        <f t="shared" si="218"/>
        <v>1.483157894736842</v>
      </c>
      <c r="Q2331" s="2">
        <f t="shared" si="219"/>
        <v>7.8903999999999996</v>
      </c>
      <c r="R2331" s="2">
        <f t="shared" si="220"/>
        <v>21.917777777777776</v>
      </c>
      <c r="S2331" s="2">
        <f t="shared" si="221"/>
        <v>6.7170232180878031</v>
      </c>
    </row>
    <row r="2332" spans="1:19" hidden="1">
      <c r="A2332" t="s">
        <v>2385</v>
      </c>
      <c r="B2332" t="s">
        <v>30</v>
      </c>
      <c r="C2332">
        <v>149</v>
      </c>
      <c r="D2332">
        <v>5035</v>
      </c>
      <c r="E2332" s="2">
        <v>234.52</v>
      </c>
      <c r="F2332">
        <v>28</v>
      </c>
      <c r="G2332">
        <v>5</v>
      </c>
      <c r="H2332">
        <v>3.4000000000000002E-2</v>
      </c>
      <c r="I2332" s="3">
        <v>1304</v>
      </c>
      <c r="J2332" s="1">
        <v>45600</v>
      </c>
      <c r="K2332" t="s">
        <v>31</v>
      </c>
      <c r="L2332" t="s">
        <v>7</v>
      </c>
      <c r="M2332" t="s">
        <v>41</v>
      </c>
      <c r="N2332" s="1">
        <f t="shared" si="216"/>
        <v>45600</v>
      </c>
      <c r="O2332" s="4">
        <f t="shared" si="217"/>
        <v>2.9592850049652432E-2</v>
      </c>
      <c r="P2332">
        <f t="shared" si="218"/>
        <v>1.5739597315436242</v>
      </c>
      <c r="Q2332" s="2">
        <f t="shared" si="219"/>
        <v>8.3757142857142863</v>
      </c>
      <c r="R2332" s="2">
        <f t="shared" si="220"/>
        <v>46.904000000000003</v>
      </c>
      <c r="S2332" s="2">
        <f t="shared" si="221"/>
        <v>5.5602933651714137</v>
      </c>
    </row>
    <row r="2333" spans="1:19" hidden="1">
      <c r="A2333" t="s">
        <v>2386</v>
      </c>
      <c r="B2333" t="s">
        <v>30</v>
      </c>
      <c r="C2333">
        <v>197</v>
      </c>
      <c r="D2333">
        <v>5686</v>
      </c>
      <c r="E2333" s="2">
        <v>239.76</v>
      </c>
      <c r="F2333">
        <v>27</v>
      </c>
      <c r="G2333">
        <v>9</v>
      </c>
      <c r="H2333">
        <v>5.6000000000000001E-2</v>
      </c>
      <c r="I2333" s="3">
        <v>1462</v>
      </c>
      <c r="J2333" s="1">
        <v>45613</v>
      </c>
      <c r="K2333" t="s">
        <v>31</v>
      </c>
      <c r="L2333" t="s">
        <v>7</v>
      </c>
      <c r="M2333" t="s">
        <v>37</v>
      </c>
      <c r="N2333" s="1">
        <f t="shared" si="216"/>
        <v>45613</v>
      </c>
      <c r="O2333" s="4">
        <f t="shared" si="217"/>
        <v>3.4646500175870558E-2</v>
      </c>
      <c r="P2333">
        <f t="shared" si="218"/>
        <v>1.2170558375634517</v>
      </c>
      <c r="Q2333" s="2">
        <f t="shared" si="219"/>
        <v>8.879999999999999</v>
      </c>
      <c r="R2333" s="2">
        <f t="shared" si="220"/>
        <v>26.64</v>
      </c>
      <c r="S2333" s="2">
        <f t="shared" si="221"/>
        <v>6.0977644310977643</v>
      </c>
    </row>
    <row r="2334" spans="1:19" hidden="1">
      <c r="A2334" t="s">
        <v>2387</v>
      </c>
      <c r="B2334" t="s">
        <v>30</v>
      </c>
      <c r="C2334">
        <v>157</v>
      </c>
      <c r="D2334">
        <v>4062</v>
      </c>
      <c r="E2334" s="2">
        <v>223.72</v>
      </c>
      <c r="F2334">
        <v>24</v>
      </c>
      <c r="G2334">
        <v>8</v>
      </c>
      <c r="H2334">
        <v>5.0999999999999997E-2</v>
      </c>
      <c r="I2334" s="3">
        <v>1505</v>
      </c>
      <c r="J2334" s="1">
        <v>45621</v>
      </c>
      <c r="K2334" t="s">
        <v>31</v>
      </c>
      <c r="L2334" t="s">
        <v>9</v>
      </c>
      <c r="M2334" t="s">
        <v>37</v>
      </c>
      <c r="N2334" s="1">
        <f t="shared" si="216"/>
        <v>45621</v>
      </c>
      <c r="O2334" s="4">
        <f t="shared" si="217"/>
        <v>3.8650910881339241E-2</v>
      </c>
      <c r="P2334">
        <f t="shared" si="218"/>
        <v>1.4249681528662421</v>
      </c>
      <c r="Q2334" s="2">
        <f t="shared" si="219"/>
        <v>9.3216666666666672</v>
      </c>
      <c r="R2334" s="2">
        <f t="shared" si="220"/>
        <v>27.965</v>
      </c>
      <c r="S2334" s="2">
        <f t="shared" si="221"/>
        <v>6.7271589486858572</v>
      </c>
    </row>
    <row r="2335" spans="1:19" hidden="1">
      <c r="A2335" t="s">
        <v>2388</v>
      </c>
      <c r="B2335" t="s">
        <v>30</v>
      </c>
      <c r="C2335">
        <v>102</v>
      </c>
      <c r="D2335">
        <v>3113</v>
      </c>
      <c r="E2335" s="2">
        <v>202.77</v>
      </c>
      <c r="F2335">
        <v>22</v>
      </c>
      <c r="G2335">
        <v>7</v>
      </c>
      <c r="H2335">
        <v>6.9000000000000006E-2</v>
      </c>
      <c r="I2335" s="3">
        <v>1997</v>
      </c>
      <c r="J2335" s="1">
        <v>45602</v>
      </c>
      <c r="K2335" t="s">
        <v>31</v>
      </c>
      <c r="L2335" t="s">
        <v>7</v>
      </c>
      <c r="M2335" t="s">
        <v>41</v>
      </c>
      <c r="N2335" s="1">
        <f t="shared" si="216"/>
        <v>45602</v>
      </c>
      <c r="O2335" s="4">
        <f t="shared" si="217"/>
        <v>3.2765820751686478E-2</v>
      </c>
      <c r="P2335">
        <f t="shared" si="218"/>
        <v>1.9879411764705883</v>
      </c>
      <c r="Q2335" s="2">
        <f t="shared" si="219"/>
        <v>9.2168181818181818</v>
      </c>
      <c r="R2335" s="2">
        <f t="shared" si="220"/>
        <v>28.967142857142857</v>
      </c>
      <c r="S2335" s="2">
        <f t="shared" si="221"/>
        <v>9.8485969324850817</v>
      </c>
    </row>
    <row r="2336" spans="1:19" hidden="1">
      <c r="A2336" t="s">
        <v>2389</v>
      </c>
      <c r="B2336" t="s">
        <v>30</v>
      </c>
      <c r="C2336">
        <v>175</v>
      </c>
      <c r="D2336">
        <v>3958</v>
      </c>
      <c r="E2336" s="2">
        <v>193.52</v>
      </c>
      <c r="F2336">
        <v>23</v>
      </c>
      <c r="G2336">
        <v>8</v>
      </c>
      <c r="H2336">
        <v>4.5999999999999999E-2</v>
      </c>
      <c r="I2336" s="3">
        <v>1064</v>
      </c>
      <c r="J2336" s="1">
        <v>45600</v>
      </c>
      <c r="K2336" t="s">
        <v>31</v>
      </c>
      <c r="L2336" t="s">
        <v>8</v>
      </c>
      <c r="M2336" t="s">
        <v>35</v>
      </c>
      <c r="N2336" s="1">
        <f t="shared" si="216"/>
        <v>45600</v>
      </c>
      <c r="O2336" s="4">
        <f t="shared" si="217"/>
        <v>4.4214249621020718E-2</v>
      </c>
      <c r="P2336">
        <f t="shared" si="218"/>
        <v>1.1058285714285714</v>
      </c>
      <c r="Q2336" s="2">
        <f t="shared" si="219"/>
        <v>8.4139130434782619</v>
      </c>
      <c r="R2336" s="2">
        <f t="shared" si="220"/>
        <v>24.19</v>
      </c>
      <c r="S2336" s="2">
        <f t="shared" si="221"/>
        <v>5.498139727159983</v>
      </c>
    </row>
    <row r="2337" spans="1:19" hidden="1">
      <c r="A2337" t="s">
        <v>2390</v>
      </c>
      <c r="B2337" t="s">
        <v>30</v>
      </c>
      <c r="C2337">
        <v>101</v>
      </c>
      <c r="D2337">
        <v>3317</v>
      </c>
      <c r="E2337" s="2">
        <v>215.57</v>
      </c>
      <c r="F2337">
        <v>23</v>
      </c>
      <c r="G2337">
        <v>4</v>
      </c>
      <c r="H2337">
        <v>0.04</v>
      </c>
      <c r="I2337" s="3">
        <v>1716</v>
      </c>
      <c r="J2337" s="1">
        <v>45606</v>
      </c>
      <c r="K2337" t="s">
        <v>31</v>
      </c>
      <c r="L2337" t="s">
        <v>7</v>
      </c>
      <c r="M2337" t="s">
        <v>35</v>
      </c>
      <c r="N2337" s="1">
        <f t="shared" si="216"/>
        <v>45606</v>
      </c>
      <c r="O2337" s="4">
        <f t="shared" si="217"/>
        <v>3.0449201085318057E-2</v>
      </c>
      <c r="P2337">
        <f t="shared" si="218"/>
        <v>2.1343564356435643</v>
      </c>
      <c r="Q2337" s="2">
        <f t="shared" si="219"/>
        <v>9.3726086956521737</v>
      </c>
      <c r="R2337" s="2">
        <f t="shared" si="220"/>
        <v>53.892499999999998</v>
      </c>
      <c r="S2337" s="2">
        <f t="shared" si="221"/>
        <v>7.9602913206846964</v>
      </c>
    </row>
    <row r="2338" spans="1:19" hidden="1">
      <c r="A2338" t="s">
        <v>2391</v>
      </c>
      <c r="B2338" t="s">
        <v>30</v>
      </c>
      <c r="C2338">
        <v>127</v>
      </c>
      <c r="D2338">
        <v>4226</v>
      </c>
      <c r="E2338" s="2">
        <v>184.46</v>
      </c>
      <c r="F2338">
        <v>10</v>
      </c>
      <c r="G2338">
        <v>9</v>
      </c>
      <c r="H2338">
        <v>7.0999999999999994E-2</v>
      </c>
      <c r="I2338" s="3">
        <v>1427</v>
      </c>
      <c r="J2338" s="1">
        <v>45604</v>
      </c>
      <c r="K2338" t="s">
        <v>31</v>
      </c>
      <c r="L2338" t="s">
        <v>7</v>
      </c>
      <c r="M2338" t="s">
        <v>35</v>
      </c>
      <c r="N2338" s="1">
        <f t="shared" si="216"/>
        <v>45604</v>
      </c>
      <c r="O2338" s="4">
        <f t="shared" si="217"/>
        <v>3.0052058684335067E-2</v>
      </c>
      <c r="P2338">
        <f t="shared" si="218"/>
        <v>1.4524409448818898</v>
      </c>
      <c r="Q2338" s="2">
        <f t="shared" si="219"/>
        <v>18.446000000000002</v>
      </c>
      <c r="R2338" s="2">
        <f t="shared" si="220"/>
        <v>20.495555555555555</v>
      </c>
      <c r="S2338" s="2">
        <f t="shared" si="221"/>
        <v>7.7360945462430877</v>
      </c>
    </row>
    <row r="2339" spans="1:19">
      <c r="A2339" t="s">
        <v>2392</v>
      </c>
      <c r="B2339" t="s">
        <v>30</v>
      </c>
      <c r="C2339">
        <v>148</v>
      </c>
      <c r="D2339">
        <v>3469</v>
      </c>
      <c r="E2339" s="2">
        <v>212.07</v>
      </c>
      <c r="F2339">
        <v>14</v>
      </c>
      <c r="G2339">
        <v>9</v>
      </c>
      <c r="H2339">
        <v>4.5999999999999999E-2</v>
      </c>
      <c r="I2339" s="3">
        <v>1898</v>
      </c>
      <c r="J2339" s="1" t="s">
        <v>64</v>
      </c>
      <c r="K2339" t="s">
        <v>31</v>
      </c>
      <c r="L2339" t="s">
        <v>9</v>
      </c>
      <c r="M2339" t="s">
        <v>37</v>
      </c>
      <c r="N2339" s="1">
        <f t="shared" si="216"/>
        <v>45626</v>
      </c>
      <c r="O2339" s="4">
        <f t="shared" si="217"/>
        <v>4.2663591813202652E-2</v>
      </c>
      <c r="P2339">
        <f t="shared" si="218"/>
        <v>1.4329054054054053</v>
      </c>
      <c r="Q2339" s="2">
        <f t="shared" si="219"/>
        <v>15.147857142857143</v>
      </c>
      <c r="R2339" s="2">
        <f t="shared" si="220"/>
        <v>23.563333333333333</v>
      </c>
      <c r="S2339" s="2">
        <f t="shared" si="221"/>
        <v>8.9498750412599613</v>
      </c>
    </row>
    <row r="2340" spans="1:19" hidden="1">
      <c r="A2340" t="s">
        <v>2393</v>
      </c>
      <c r="B2340" t="s">
        <v>30</v>
      </c>
      <c r="C2340">
        <v>181</v>
      </c>
      <c r="D2340">
        <v>3859</v>
      </c>
      <c r="E2340" s="2">
        <v>246.36</v>
      </c>
      <c r="F2340">
        <v>22</v>
      </c>
      <c r="G2340">
        <v>9</v>
      </c>
      <c r="H2340">
        <v>5.6000000000000001E-2</v>
      </c>
      <c r="I2340" s="3">
        <v>1769</v>
      </c>
      <c r="J2340" s="1">
        <v>45302</v>
      </c>
      <c r="K2340" t="s">
        <v>31</v>
      </c>
      <c r="L2340" t="s">
        <v>8</v>
      </c>
      <c r="M2340" t="s">
        <v>41</v>
      </c>
      <c r="N2340" s="1">
        <f t="shared" si="216"/>
        <v>45302</v>
      </c>
      <c r="O2340" s="4">
        <f t="shared" si="217"/>
        <v>4.6903342834931326E-2</v>
      </c>
      <c r="P2340">
        <f t="shared" si="218"/>
        <v>1.3611049723756907</v>
      </c>
      <c r="Q2340" s="2">
        <f t="shared" si="219"/>
        <v>11.198181818181819</v>
      </c>
      <c r="R2340" s="2">
        <f t="shared" si="220"/>
        <v>27.373333333333335</v>
      </c>
      <c r="S2340" s="2">
        <f t="shared" si="221"/>
        <v>7.1805487903880501</v>
      </c>
    </row>
    <row r="2341" spans="1:19" hidden="1">
      <c r="A2341" t="s">
        <v>2394</v>
      </c>
      <c r="B2341" t="s">
        <v>30</v>
      </c>
      <c r="C2341">
        <v>140</v>
      </c>
      <c r="D2341">
        <v>3389</v>
      </c>
      <c r="E2341" s="2">
        <v>183.33</v>
      </c>
      <c r="F2341">
        <v>28</v>
      </c>
      <c r="G2341">
        <v>6</v>
      </c>
      <c r="H2341">
        <v>4.2999999999999997E-2</v>
      </c>
      <c r="I2341" s="3">
        <v>1385</v>
      </c>
      <c r="J2341" s="1">
        <v>45604</v>
      </c>
      <c r="K2341" t="s">
        <v>31</v>
      </c>
      <c r="L2341" t="s">
        <v>8</v>
      </c>
      <c r="M2341" t="s">
        <v>41</v>
      </c>
      <c r="N2341" s="1">
        <f t="shared" si="216"/>
        <v>45604</v>
      </c>
      <c r="O2341" s="4">
        <f t="shared" si="217"/>
        <v>4.1310120979640014E-2</v>
      </c>
      <c r="P2341">
        <f t="shared" si="218"/>
        <v>1.3095000000000001</v>
      </c>
      <c r="Q2341" s="2">
        <f t="shared" si="219"/>
        <v>6.5475000000000003</v>
      </c>
      <c r="R2341" s="2">
        <f t="shared" si="220"/>
        <v>30.555000000000003</v>
      </c>
      <c r="S2341" s="2">
        <f t="shared" si="221"/>
        <v>7.5546828124147707</v>
      </c>
    </row>
    <row r="2342" spans="1:19" hidden="1">
      <c r="A2342" t="s">
        <v>2395</v>
      </c>
      <c r="B2342" t="s">
        <v>30</v>
      </c>
      <c r="C2342">
        <v>146</v>
      </c>
      <c r="D2342">
        <v>5075</v>
      </c>
      <c r="E2342" s="2">
        <v>215.57</v>
      </c>
      <c r="F2342">
        <v>13</v>
      </c>
      <c r="G2342">
        <v>9</v>
      </c>
      <c r="H2342">
        <v>5.6000000000000001E-2</v>
      </c>
      <c r="I2342" s="3">
        <v>1353</v>
      </c>
      <c r="J2342" s="1">
        <v>45622</v>
      </c>
      <c r="K2342" t="s">
        <v>31</v>
      </c>
      <c r="L2342" t="s">
        <v>9</v>
      </c>
      <c r="M2342" t="s">
        <v>46</v>
      </c>
      <c r="N2342" s="1">
        <f t="shared" si="216"/>
        <v>45622</v>
      </c>
      <c r="O2342" s="4">
        <f t="shared" si="217"/>
        <v>2.8768472906403941E-2</v>
      </c>
      <c r="P2342">
        <f t="shared" si="218"/>
        <v>1.4765068493150684</v>
      </c>
      <c r="Q2342" s="2">
        <f t="shared" si="219"/>
        <v>16.58230769230769</v>
      </c>
      <c r="R2342" s="2">
        <f t="shared" si="220"/>
        <v>23.952222222222222</v>
      </c>
      <c r="S2342" s="2">
        <f t="shared" si="221"/>
        <v>6.2763835413090874</v>
      </c>
    </row>
    <row r="2343" spans="1:19" hidden="1">
      <c r="A2343" t="s">
        <v>2396</v>
      </c>
      <c r="B2343" t="s">
        <v>30</v>
      </c>
      <c r="C2343">
        <v>148</v>
      </c>
      <c r="D2343">
        <v>3269</v>
      </c>
      <c r="E2343" s="2">
        <v>191.73</v>
      </c>
      <c r="F2343">
        <v>18</v>
      </c>
      <c r="G2343">
        <v>9</v>
      </c>
      <c r="H2343">
        <v>6.0999999999999999E-2</v>
      </c>
      <c r="I2343" s="3">
        <v>1396</v>
      </c>
      <c r="J2343" s="1">
        <v>45576</v>
      </c>
      <c r="K2343" t="s">
        <v>31</v>
      </c>
      <c r="L2343" t="s">
        <v>8</v>
      </c>
      <c r="M2343" t="s">
        <v>32</v>
      </c>
      <c r="N2343" s="1">
        <f t="shared" si="216"/>
        <v>45576</v>
      </c>
      <c r="O2343" s="4">
        <f t="shared" si="217"/>
        <v>4.5273784031814007E-2</v>
      </c>
      <c r="P2343">
        <f t="shared" si="218"/>
        <v>1.2954729729729728</v>
      </c>
      <c r="Q2343" s="2">
        <f t="shared" si="219"/>
        <v>10.651666666666666</v>
      </c>
      <c r="R2343" s="2">
        <f t="shared" si="220"/>
        <v>21.303333333333331</v>
      </c>
      <c r="S2343" s="2">
        <f t="shared" si="221"/>
        <v>7.2810723413133056</v>
      </c>
    </row>
    <row r="2344" spans="1:19" hidden="1">
      <c r="A2344" t="s">
        <v>2397</v>
      </c>
      <c r="B2344" t="s">
        <v>30</v>
      </c>
      <c r="C2344">
        <v>101</v>
      </c>
      <c r="D2344">
        <v>4814</v>
      </c>
      <c r="E2344" s="2">
        <v>191.43</v>
      </c>
      <c r="F2344">
        <v>17</v>
      </c>
      <c r="G2344">
        <v>7</v>
      </c>
      <c r="H2344">
        <v>6.9000000000000006E-2</v>
      </c>
      <c r="I2344" s="3">
        <v>1112</v>
      </c>
      <c r="J2344" s="1" t="s">
        <v>34</v>
      </c>
      <c r="K2344" t="s">
        <v>31</v>
      </c>
      <c r="L2344" t="s">
        <v>7</v>
      </c>
      <c r="M2344" t="s">
        <v>32</v>
      </c>
      <c r="N2344" s="1">
        <f t="shared" si="216"/>
        <v>45616</v>
      </c>
      <c r="O2344" s="4">
        <f t="shared" si="217"/>
        <v>2.098047361861238E-2</v>
      </c>
      <c r="P2344">
        <f t="shared" si="218"/>
        <v>1.8953465346534655</v>
      </c>
      <c r="Q2344" s="2">
        <f t="shared" si="219"/>
        <v>11.260588235294119</v>
      </c>
      <c r="R2344" s="2">
        <f t="shared" si="220"/>
        <v>27.34714285714286</v>
      </c>
      <c r="S2344" s="2">
        <f t="shared" si="221"/>
        <v>5.8089118737919865</v>
      </c>
    </row>
    <row r="2345" spans="1:19" hidden="1">
      <c r="A2345" t="s">
        <v>2398</v>
      </c>
      <c r="B2345" t="s">
        <v>30</v>
      </c>
      <c r="C2345">
        <v>179</v>
      </c>
      <c r="D2345">
        <v>5145</v>
      </c>
      <c r="E2345" s="2">
        <v>223.04</v>
      </c>
      <c r="F2345">
        <v>29</v>
      </c>
      <c r="G2345">
        <v>9</v>
      </c>
      <c r="H2345">
        <v>0.05</v>
      </c>
      <c r="I2345" s="3">
        <v>1002</v>
      </c>
      <c r="J2345" s="1">
        <v>45604</v>
      </c>
      <c r="K2345" t="s">
        <v>31</v>
      </c>
      <c r="L2345" t="s">
        <v>8</v>
      </c>
      <c r="M2345" t="s">
        <v>39</v>
      </c>
      <c r="N2345" s="1">
        <f t="shared" si="216"/>
        <v>45604</v>
      </c>
      <c r="O2345" s="4">
        <f t="shared" si="217"/>
        <v>3.4791059280855199E-2</v>
      </c>
      <c r="P2345">
        <f t="shared" si="218"/>
        <v>1.2460335195530725</v>
      </c>
      <c r="Q2345" s="2">
        <f t="shared" si="219"/>
        <v>7.6910344827586208</v>
      </c>
      <c r="R2345" s="2">
        <f t="shared" si="220"/>
        <v>24.78222222222222</v>
      </c>
      <c r="S2345" s="2">
        <f t="shared" si="221"/>
        <v>4.4924677187948348</v>
      </c>
    </row>
    <row r="2346" spans="1:19" hidden="1">
      <c r="A2346" t="s">
        <v>2399</v>
      </c>
      <c r="B2346" t="s">
        <v>30</v>
      </c>
      <c r="C2346">
        <v>151</v>
      </c>
      <c r="D2346">
        <v>4107</v>
      </c>
      <c r="E2346" s="2">
        <v>183.81</v>
      </c>
      <c r="F2346">
        <v>21</v>
      </c>
      <c r="G2346">
        <v>10</v>
      </c>
      <c r="H2346">
        <v>6.6000000000000003E-2</v>
      </c>
      <c r="I2346" s="3">
        <v>1872</v>
      </c>
      <c r="J2346" s="1">
        <v>45607</v>
      </c>
      <c r="K2346" t="s">
        <v>31</v>
      </c>
      <c r="L2346" t="s">
        <v>7</v>
      </c>
      <c r="M2346" t="s">
        <v>35</v>
      </c>
      <c r="N2346" s="1">
        <f t="shared" si="216"/>
        <v>45607</v>
      </c>
      <c r="O2346" s="4">
        <f t="shared" si="217"/>
        <v>3.6766496225955687E-2</v>
      </c>
      <c r="P2346">
        <f t="shared" si="218"/>
        <v>1.2172847682119206</v>
      </c>
      <c r="Q2346" s="2">
        <f t="shared" si="219"/>
        <v>8.7528571428571436</v>
      </c>
      <c r="R2346" s="2">
        <f t="shared" si="220"/>
        <v>18.381</v>
      </c>
      <c r="S2346" s="2">
        <f t="shared" si="221"/>
        <v>10.184429574016647</v>
      </c>
    </row>
    <row r="2347" spans="1:19" hidden="1">
      <c r="A2347" t="s">
        <v>2400</v>
      </c>
      <c r="B2347" t="s">
        <v>30</v>
      </c>
      <c r="C2347">
        <v>195</v>
      </c>
      <c r="D2347">
        <v>3221</v>
      </c>
      <c r="E2347" s="2">
        <v>185.08</v>
      </c>
      <c r="F2347">
        <v>19</v>
      </c>
      <c r="G2347">
        <v>10</v>
      </c>
      <c r="H2347">
        <v>4.2000000000000003E-2</v>
      </c>
      <c r="I2347" s="3">
        <v>1905</v>
      </c>
      <c r="J2347" s="1">
        <v>45622</v>
      </c>
      <c r="K2347" t="s">
        <v>31</v>
      </c>
      <c r="L2347" t="s">
        <v>9</v>
      </c>
      <c r="M2347" t="s">
        <v>35</v>
      </c>
      <c r="N2347" s="1">
        <f t="shared" si="216"/>
        <v>45622</v>
      </c>
      <c r="O2347" s="4">
        <f t="shared" si="217"/>
        <v>6.0540204905308911E-2</v>
      </c>
      <c r="P2347">
        <f t="shared" si="218"/>
        <v>0.94912820512820517</v>
      </c>
      <c r="Q2347" s="2">
        <f t="shared" si="219"/>
        <v>9.7410526315789472</v>
      </c>
      <c r="R2347" s="2">
        <f t="shared" si="220"/>
        <v>18.508000000000003</v>
      </c>
      <c r="S2347" s="2">
        <f t="shared" si="221"/>
        <v>10.292846336719256</v>
      </c>
    </row>
    <row r="2348" spans="1:19">
      <c r="A2348" t="s">
        <v>2401</v>
      </c>
      <c r="B2348" t="s">
        <v>30</v>
      </c>
      <c r="C2348">
        <v>169</v>
      </c>
      <c r="D2348">
        <v>4846</v>
      </c>
      <c r="E2348" s="2">
        <v>230.53</v>
      </c>
      <c r="F2348">
        <v>15</v>
      </c>
      <c r="G2348">
        <v>8</v>
      </c>
      <c r="H2348">
        <v>4.5999999999999999E-2</v>
      </c>
      <c r="I2348" s="3">
        <v>1103</v>
      </c>
      <c r="J2348" s="1">
        <v>45393</v>
      </c>
      <c r="K2348" t="s">
        <v>31</v>
      </c>
      <c r="L2348" t="s">
        <v>8</v>
      </c>
      <c r="M2348" t="s">
        <v>39</v>
      </c>
      <c r="N2348" s="1">
        <f t="shared" si="216"/>
        <v>45393</v>
      </c>
      <c r="O2348" s="4">
        <f t="shared" si="217"/>
        <v>3.4874122988031366E-2</v>
      </c>
      <c r="P2348">
        <f t="shared" si="218"/>
        <v>1.3640828402366865</v>
      </c>
      <c r="Q2348" s="2">
        <f t="shared" si="219"/>
        <v>15.368666666666666</v>
      </c>
      <c r="R2348" s="2">
        <f t="shared" si="220"/>
        <v>28.81625</v>
      </c>
      <c r="S2348" s="2">
        <f t="shared" si="221"/>
        <v>4.7846267297097995</v>
      </c>
    </row>
    <row r="2349" spans="1:19" hidden="1">
      <c r="A2349" t="s">
        <v>2402</v>
      </c>
      <c r="B2349" t="s">
        <v>30</v>
      </c>
      <c r="C2349">
        <v>161</v>
      </c>
      <c r="D2349">
        <v>3160</v>
      </c>
      <c r="E2349" s="2">
        <v>229.71</v>
      </c>
      <c r="F2349">
        <v>17</v>
      </c>
      <c r="G2349">
        <v>3</v>
      </c>
      <c r="H2349">
        <v>1.9E-2</v>
      </c>
      <c r="I2349" s="3">
        <v>1817</v>
      </c>
      <c r="J2349" s="1">
        <v>45597</v>
      </c>
      <c r="K2349" t="s">
        <v>31</v>
      </c>
      <c r="L2349" t="s">
        <v>8</v>
      </c>
      <c r="M2349" t="s">
        <v>39</v>
      </c>
      <c r="N2349" s="1">
        <f t="shared" si="216"/>
        <v>45597</v>
      </c>
      <c r="O2349" s="4">
        <f t="shared" si="217"/>
        <v>5.0949367088607596E-2</v>
      </c>
      <c r="P2349">
        <f t="shared" si="218"/>
        <v>1.4267701863354039</v>
      </c>
      <c r="Q2349" s="2">
        <f t="shared" si="219"/>
        <v>13.512352941176472</v>
      </c>
      <c r="R2349" s="2">
        <f t="shared" si="220"/>
        <v>76.570000000000007</v>
      </c>
      <c r="S2349" s="2">
        <f t="shared" si="221"/>
        <v>7.9099734447781982</v>
      </c>
    </row>
    <row r="2350" spans="1:19">
      <c r="A2350" t="s">
        <v>2403</v>
      </c>
      <c r="B2350" t="s">
        <v>30</v>
      </c>
      <c r="C2350">
        <v>156</v>
      </c>
      <c r="D2350">
        <v>5095</v>
      </c>
      <c r="E2350" s="2">
        <v>214.32</v>
      </c>
      <c r="F2350">
        <v>30</v>
      </c>
      <c r="G2350">
        <v>9</v>
      </c>
      <c r="H2350">
        <v>4.5999999999999999E-2</v>
      </c>
      <c r="I2350" s="3">
        <v>1444</v>
      </c>
      <c r="J2350" s="1" t="s">
        <v>115</v>
      </c>
      <c r="K2350" t="s">
        <v>31</v>
      </c>
      <c r="L2350" t="s">
        <v>8</v>
      </c>
      <c r="M2350" t="s">
        <v>37</v>
      </c>
      <c r="N2350" s="1">
        <f t="shared" si="216"/>
        <v>45623</v>
      </c>
      <c r="O2350" s="4">
        <f t="shared" si="217"/>
        <v>3.0618253189401375E-2</v>
      </c>
      <c r="P2350">
        <f t="shared" si="218"/>
        <v>1.3738461538461537</v>
      </c>
      <c r="Q2350" s="2">
        <f t="shared" si="219"/>
        <v>7.1440000000000001</v>
      </c>
      <c r="R2350" s="2">
        <f t="shared" si="220"/>
        <v>23.813333333333333</v>
      </c>
      <c r="S2350" s="2">
        <f t="shared" si="221"/>
        <v>6.7375886524822697</v>
      </c>
    </row>
    <row r="2351" spans="1:19" hidden="1">
      <c r="A2351" t="s">
        <v>2404</v>
      </c>
      <c r="B2351" t="s">
        <v>30</v>
      </c>
      <c r="C2351">
        <v>148</v>
      </c>
      <c r="D2351">
        <v>3957</v>
      </c>
      <c r="E2351" s="2">
        <v>215.57</v>
      </c>
      <c r="F2351">
        <v>20</v>
      </c>
      <c r="G2351">
        <v>10</v>
      </c>
      <c r="H2351">
        <v>6.8000000000000005E-2</v>
      </c>
      <c r="I2351" s="3">
        <v>1288</v>
      </c>
      <c r="J2351" s="1">
        <v>45576</v>
      </c>
      <c r="K2351" t="s">
        <v>31</v>
      </c>
      <c r="L2351" t="s">
        <v>9</v>
      </c>
      <c r="M2351" t="s">
        <v>37</v>
      </c>
      <c r="N2351" s="1">
        <f t="shared" si="216"/>
        <v>45576</v>
      </c>
      <c r="O2351" s="4">
        <f t="shared" si="217"/>
        <v>3.7402072276977505E-2</v>
      </c>
      <c r="P2351">
        <f t="shared" si="218"/>
        <v>1.456554054054054</v>
      </c>
      <c r="Q2351" s="2">
        <f t="shared" si="219"/>
        <v>10.778499999999999</v>
      </c>
      <c r="R2351" s="2">
        <f t="shared" si="220"/>
        <v>21.556999999999999</v>
      </c>
      <c r="S2351" s="2">
        <f t="shared" si="221"/>
        <v>5.9748573549195161</v>
      </c>
    </row>
    <row r="2352" spans="1:19" hidden="1">
      <c r="A2352" t="s">
        <v>2405</v>
      </c>
      <c r="B2352" t="s">
        <v>30</v>
      </c>
      <c r="C2352">
        <v>126</v>
      </c>
      <c r="D2352">
        <v>4920</v>
      </c>
      <c r="E2352" s="2">
        <v>182.36</v>
      </c>
      <c r="F2352">
        <v>27</v>
      </c>
      <c r="G2352">
        <v>5</v>
      </c>
      <c r="H2352">
        <v>0.04</v>
      </c>
      <c r="I2352" s="3">
        <v>1933</v>
      </c>
      <c r="J2352" s="1">
        <v>45393</v>
      </c>
      <c r="K2352" t="s">
        <v>31</v>
      </c>
      <c r="L2352" t="s">
        <v>9</v>
      </c>
      <c r="M2352" t="s">
        <v>37</v>
      </c>
      <c r="N2352" s="1">
        <f t="shared" si="216"/>
        <v>45393</v>
      </c>
      <c r="O2352" s="4">
        <f t="shared" si="217"/>
        <v>2.5609756097560974E-2</v>
      </c>
      <c r="P2352">
        <f t="shared" si="218"/>
        <v>1.4473015873015873</v>
      </c>
      <c r="Q2352" s="2">
        <f t="shared" si="219"/>
        <v>6.754074074074075</v>
      </c>
      <c r="R2352" s="2">
        <f t="shared" si="220"/>
        <v>36.472000000000001</v>
      </c>
      <c r="S2352" s="2">
        <f t="shared" si="221"/>
        <v>10.599912261460846</v>
      </c>
    </row>
    <row r="2353" spans="1:19">
      <c r="A2353" t="s">
        <v>2406</v>
      </c>
      <c r="B2353" t="s">
        <v>30</v>
      </c>
      <c r="C2353">
        <v>189</v>
      </c>
      <c r="D2353">
        <v>3588</v>
      </c>
      <c r="E2353" s="2">
        <v>191.74</v>
      </c>
      <c r="F2353">
        <v>22</v>
      </c>
      <c r="G2353">
        <v>9</v>
      </c>
      <c r="H2353">
        <v>4.5999999999999999E-2</v>
      </c>
      <c r="I2353" s="3">
        <v>1893</v>
      </c>
      <c r="J2353" s="1" t="s">
        <v>206</v>
      </c>
      <c r="K2353" t="s">
        <v>31</v>
      </c>
      <c r="L2353" t="s">
        <v>7</v>
      </c>
      <c r="M2353" t="s">
        <v>35</v>
      </c>
      <c r="N2353" s="1">
        <f t="shared" si="216"/>
        <v>45621</v>
      </c>
      <c r="O2353" s="4">
        <f t="shared" si="217"/>
        <v>5.2675585284280936E-2</v>
      </c>
      <c r="P2353">
        <f t="shared" si="218"/>
        <v>1.0144973544973546</v>
      </c>
      <c r="Q2353" s="2">
        <f t="shared" si="219"/>
        <v>8.7154545454545467</v>
      </c>
      <c r="R2353" s="2">
        <f t="shared" si="220"/>
        <v>21.304444444444446</v>
      </c>
      <c r="S2353" s="2">
        <f t="shared" si="221"/>
        <v>9.8727443412955047</v>
      </c>
    </row>
    <row r="2354" spans="1:19">
      <c r="A2354" t="s">
        <v>2407</v>
      </c>
      <c r="B2354" t="s">
        <v>30</v>
      </c>
      <c r="C2354">
        <v>119</v>
      </c>
      <c r="D2354">
        <v>4927</v>
      </c>
      <c r="E2354" s="2">
        <v>223.35</v>
      </c>
      <c r="F2354">
        <v>16</v>
      </c>
      <c r="G2354">
        <v>3</v>
      </c>
      <c r="H2354">
        <v>4.5999999999999999E-2</v>
      </c>
      <c r="I2354" s="3">
        <v>1377</v>
      </c>
      <c r="J2354" s="1" t="s">
        <v>50</v>
      </c>
      <c r="K2354" t="s">
        <v>31</v>
      </c>
      <c r="L2354" t="s">
        <v>8</v>
      </c>
      <c r="M2354" t="s">
        <v>39</v>
      </c>
      <c r="N2354" s="1">
        <f t="shared" si="216"/>
        <v>45610</v>
      </c>
      <c r="O2354" s="4">
        <f t="shared" si="217"/>
        <v>2.4152628374264257E-2</v>
      </c>
      <c r="P2354">
        <f t="shared" si="218"/>
        <v>1.876890756302521</v>
      </c>
      <c r="Q2354" s="2">
        <f t="shared" si="219"/>
        <v>13.959375</v>
      </c>
      <c r="R2354" s="2">
        <f t="shared" si="220"/>
        <v>74.45</v>
      </c>
      <c r="S2354" s="2">
        <f t="shared" si="221"/>
        <v>6.1652115513767631</v>
      </c>
    </row>
    <row r="2355" spans="1:19" hidden="1">
      <c r="A2355" t="s">
        <v>2408</v>
      </c>
      <c r="B2355" t="s">
        <v>30</v>
      </c>
      <c r="C2355">
        <v>139</v>
      </c>
      <c r="D2355">
        <v>4518.5</v>
      </c>
      <c r="E2355" s="2">
        <v>200.54</v>
      </c>
      <c r="F2355">
        <v>30</v>
      </c>
      <c r="G2355">
        <v>5</v>
      </c>
      <c r="H2355">
        <v>3.2000000000000001E-2</v>
      </c>
      <c r="I2355" s="3">
        <v>1505</v>
      </c>
      <c r="J2355" s="1">
        <v>45597</v>
      </c>
      <c r="K2355" t="s">
        <v>31</v>
      </c>
      <c r="L2355" t="s">
        <v>7</v>
      </c>
      <c r="M2355" t="s">
        <v>46</v>
      </c>
      <c r="N2355" s="1">
        <f t="shared" si="216"/>
        <v>45597</v>
      </c>
      <c r="O2355" s="4">
        <f t="shared" si="217"/>
        <v>3.0762421157463759E-2</v>
      </c>
      <c r="P2355">
        <f t="shared" si="218"/>
        <v>1.4427338129496403</v>
      </c>
      <c r="Q2355" s="2">
        <f t="shared" si="219"/>
        <v>6.6846666666666668</v>
      </c>
      <c r="R2355" s="2">
        <f t="shared" si="220"/>
        <v>40.107999999999997</v>
      </c>
      <c r="S2355" s="2">
        <f t="shared" si="221"/>
        <v>7.5047372095342579</v>
      </c>
    </row>
    <row r="2356" spans="1:19" hidden="1">
      <c r="A2356" t="s">
        <v>2409</v>
      </c>
      <c r="B2356" t="s">
        <v>30</v>
      </c>
      <c r="C2356">
        <v>127</v>
      </c>
      <c r="D2356">
        <v>5742</v>
      </c>
      <c r="E2356" s="2">
        <v>233.98</v>
      </c>
      <c r="F2356">
        <v>13</v>
      </c>
      <c r="G2356">
        <v>4</v>
      </c>
      <c r="H2356">
        <v>3.1E-2</v>
      </c>
      <c r="I2356" s="3">
        <v>1743</v>
      </c>
      <c r="J2356" s="1">
        <v>45608</v>
      </c>
      <c r="K2356" t="s">
        <v>31</v>
      </c>
      <c r="L2356" t="s">
        <v>9</v>
      </c>
      <c r="M2356" t="s">
        <v>35</v>
      </c>
      <c r="N2356" s="1">
        <f t="shared" si="216"/>
        <v>45608</v>
      </c>
      <c r="O2356" s="4">
        <f t="shared" si="217"/>
        <v>2.2117729014280739E-2</v>
      </c>
      <c r="P2356">
        <f t="shared" si="218"/>
        <v>1.8423622047244093</v>
      </c>
      <c r="Q2356" s="2">
        <f t="shared" si="219"/>
        <v>17.998461538461537</v>
      </c>
      <c r="R2356" s="2">
        <f t="shared" si="220"/>
        <v>58.494999999999997</v>
      </c>
      <c r="S2356" s="2">
        <f t="shared" si="221"/>
        <v>7.4493546456962134</v>
      </c>
    </row>
    <row r="2357" spans="1:19" hidden="1">
      <c r="A2357" t="s">
        <v>2410</v>
      </c>
      <c r="B2357" t="s">
        <v>30</v>
      </c>
      <c r="C2357">
        <v>106</v>
      </c>
      <c r="D2357">
        <v>4474</v>
      </c>
      <c r="E2357" s="2">
        <v>181.48</v>
      </c>
      <c r="F2357">
        <v>17</v>
      </c>
      <c r="G2357">
        <v>10</v>
      </c>
      <c r="H2357">
        <v>9.4E-2</v>
      </c>
      <c r="I2357" s="3">
        <v>1189</v>
      </c>
      <c r="J2357" s="1">
        <v>45616</v>
      </c>
      <c r="K2357" t="s">
        <v>31</v>
      </c>
      <c r="L2357" t="s">
        <v>9</v>
      </c>
      <c r="M2357" t="s">
        <v>46</v>
      </c>
      <c r="N2357" s="1">
        <f t="shared" si="216"/>
        <v>45616</v>
      </c>
      <c r="O2357" s="4">
        <f t="shared" si="217"/>
        <v>2.3692445239159587E-2</v>
      </c>
      <c r="P2357">
        <f t="shared" si="218"/>
        <v>1.712075471698113</v>
      </c>
      <c r="Q2357" s="2">
        <f t="shared" si="219"/>
        <v>10.675294117647057</v>
      </c>
      <c r="R2357" s="2">
        <f t="shared" si="220"/>
        <v>18.148</v>
      </c>
      <c r="S2357" s="2">
        <f t="shared" si="221"/>
        <v>6.5516861362133572</v>
      </c>
    </row>
    <row r="2358" spans="1:19">
      <c r="A2358" t="s">
        <v>2411</v>
      </c>
      <c r="B2358" t="s">
        <v>30</v>
      </c>
      <c r="C2358">
        <v>119</v>
      </c>
      <c r="D2358">
        <v>4322</v>
      </c>
      <c r="E2358" s="2">
        <v>183</v>
      </c>
      <c r="F2358">
        <v>24</v>
      </c>
      <c r="G2358">
        <v>5</v>
      </c>
      <c r="H2358">
        <v>4.5999999999999999E-2</v>
      </c>
      <c r="I2358" s="3">
        <v>1108</v>
      </c>
      <c r="J2358" s="1">
        <v>45602</v>
      </c>
      <c r="K2358" t="s">
        <v>31</v>
      </c>
      <c r="L2358" t="s">
        <v>8</v>
      </c>
      <c r="M2358" t="s">
        <v>37</v>
      </c>
      <c r="N2358" s="1">
        <f t="shared" si="216"/>
        <v>45602</v>
      </c>
      <c r="O2358" s="4">
        <f t="shared" si="217"/>
        <v>2.7533549282739472E-2</v>
      </c>
      <c r="P2358">
        <f t="shared" si="218"/>
        <v>1.5378151260504203</v>
      </c>
      <c r="Q2358" s="2">
        <f t="shared" si="219"/>
        <v>7.625</v>
      </c>
      <c r="R2358" s="2">
        <f t="shared" si="220"/>
        <v>36.6</v>
      </c>
      <c r="S2358" s="2">
        <f t="shared" si="221"/>
        <v>6.054644808743169</v>
      </c>
    </row>
    <row r="2359" spans="1:19" hidden="1">
      <c r="A2359" t="s">
        <v>2412</v>
      </c>
      <c r="B2359" t="s">
        <v>30</v>
      </c>
      <c r="C2359">
        <v>81</v>
      </c>
      <c r="D2359">
        <v>4144</v>
      </c>
      <c r="E2359" s="2">
        <v>180.01</v>
      </c>
      <c r="F2359">
        <v>18</v>
      </c>
      <c r="G2359">
        <v>3</v>
      </c>
      <c r="H2359">
        <v>3.6999999999999998E-2</v>
      </c>
      <c r="I2359" s="3">
        <v>1648</v>
      </c>
      <c r="J2359" s="1">
        <v>45616</v>
      </c>
      <c r="K2359" t="s">
        <v>31</v>
      </c>
      <c r="L2359" t="s">
        <v>8</v>
      </c>
      <c r="M2359" t="s">
        <v>37</v>
      </c>
      <c r="N2359" s="1">
        <f t="shared" si="216"/>
        <v>45616</v>
      </c>
      <c r="O2359" s="4">
        <f t="shared" si="217"/>
        <v>1.9546332046332045E-2</v>
      </c>
      <c r="P2359">
        <f t="shared" si="218"/>
        <v>2.2223456790123457</v>
      </c>
      <c r="Q2359" s="2">
        <f t="shared" si="219"/>
        <v>10.000555555555556</v>
      </c>
      <c r="R2359" s="2">
        <f t="shared" si="220"/>
        <v>60.00333333333333</v>
      </c>
      <c r="S2359" s="2">
        <f t="shared" si="221"/>
        <v>9.1550469418365648</v>
      </c>
    </row>
    <row r="2360" spans="1:19" hidden="1">
      <c r="A2360" t="s">
        <v>2413</v>
      </c>
      <c r="B2360" t="s">
        <v>30</v>
      </c>
      <c r="C2360">
        <v>152</v>
      </c>
      <c r="D2360">
        <v>5007</v>
      </c>
      <c r="E2360" s="2">
        <v>208.84</v>
      </c>
      <c r="F2360">
        <v>19</v>
      </c>
      <c r="G2360">
        <v>10</v>
      </c>
      <c r="H2360">
        <v>6.6000000000000003E-2</v>
      </c>
      <c r="I2360" s="3">
        <v>1628</v>
      </c>
      <c r="J2360" s="1">
        <v>45620</v>
      </c>
      <c r="K2360" t="s">
        <v>31</v>
      </c>
      <c r="L2360" t="s">
        <v>8</v>
      </c>
      <c r="M2360" t="s">
        <v>41</v>
      </c>
      <c r="N2360" s="1">
        <f t="shared" si="216"/>
        <v>45620</v>
      </c>
      <c r="O2360" s="4">
        <f t="shared" si="217"/>
        <v>3.035749950069902E-2</v>
      </c>
      <c r="P2360">
        <f t="shared" si="218"/>
        <v>1.3739473684210526</v>
      </c>
      <c r="Q2360" s="2">
        <f t="shared" si="219"/>
        <v>10.991578947368421</v>
      </c>
      <c r="R2360" s="2">
        <f t="shared" si="220"/>
        <v>20.884</v>
      </c>
      <c r="S2360" s="2">
        <f t="shared" si="221"/>
        <v>7.7954414863053056</v>
      </c>
    </row>
    <row r="2361" spans="1:19" hidden="1">
      <c r="A2361" t="s">
        <v>2414</v>
      </c>
      <c r="B2361" t="s">
        <v>30</v>
      </c>
      <c r="C2361">
        <v>153</v>
      </c>
      <c r="D2361">
        <v>5388</v>
      </c>
      <c r="E2361" s="2">
        <v>219.93</v>
      </c>
      <c r="F2361">
        <v>16</v>
      </c>
      <c r="G2361">
        <v>4</v>
      </c>
      <c r="H2361">
        <v>2.5999999999999999E-2</v>
      </c>
      <c r="I2361" s="3">
        <v>1602</v>
      </c>
      <c r="J2361" s="1">
        <v>45607</v>
      </c>
      <c r="K2361" t="s">
        <v>31</v>
      </c>
      <c r="L2361" t="s">
        <v>9</v>
      </c>
      <c r="M2361" t="s">
        <v>35</v>
      </c>
      <c r="N2361" s="1">
        <f t="shared" si="216"/>
        <v>45607</v>
      </c>
      <c r="O2361" s="4">
        <f t="shared" si="217"/>
        <v>2.8396436525612471E-2</v>
      </c>
      <c r="P2361">
        <f t="shared" si="218"/>
        <v>1.4374509803921569</v>
      </c>
      <c r="Q2361" s="2">
        <f t="shared" si="219"/>
        <v>13.745625</v>
      </c>
      <c r="R2361" s="2">
        <f t="shared" si="220"/>
        <v>54.982500000000002</v>
      </c>
      <c r="S2361" s="2">
        <f t="shared" si="221"/>
        <v>7.2841358614104488</v>
      </c>
    </row>
    <row r="2362" spans="1:19" hidden="1">
      <c r="A2362" t="s">
        <v>2415</v>
      </c>
      <c r="B2362" t="s">
        <v>30</v>
      </c>
      <c r="C2362">
        <v>120</v>
      </c>
      <c r="D2362">
        <v>4229</v>
      </c>
      <c r="E2362" s="2">
        <v>244.13</v>
      </c>
      <c r="F2362">
        <v>20</v>
      </c>
      <c r="G2362">
        <v>9</v>
      </c>
      <c r="H2362">
        <v>7.4999999999999997E-2</v>
      </c>
      <c r="I2362" s="3">
        <v>1380</v>
      </c>
      <c r="J2362" s="1">
        <v>45608</v>
      </c>
      <c r="K2362" t="s">
        <v>31</v>
      </c>
      <c r="L2362" t="s">
        <v>7</v>
      </c>
      <c r="M2362" t="s">
        <v>35</v>
      </c>
      <c r="N2362" s="1">
        <f t="shared" si="216"/>
        <v>45608</v>
      </c>
      <c r="O2362" s="4">
        <f t="shared" si="217"/>
        <v>2.8375502482856467E-2</v>
      </c>
      <c r="P2362">
        <f t="shared" si="218"/>
        <v>2.0344166666666665</v>
      </c>
      <c r="Q2362" s="2">
        <f t="shared" si="219"/>
        <v>12.2065</v>
      </c>
      <c r="R2362" s="2">
        <f t="shared" si="220"/>
        <v>27.125555555555554</v>
      </c>
      <c r="S2362" s="2">
        <f t="shared" si="221"/>
        <v>5.6527260066358087</v>
      </c>
    </row>
    <row r="2363" spans="1:19" hidden="1">
      <c r="A2363" t="s">
        <v>2416</v>
      </c>
      <c r="B2363" t="s">
        <v>30</v>
      </c>
      <c r="C2363">
        <v>167</v>
      </c>
      <c r="D2363">
        <v>5140</v>
      </c>
      <c r="E2363" s="2">
        <v>228.32</v>
      </c>
      <c r="F2363">
        <v>28</v>
      </c>
      <c r="G2363">
        <v>9</v>
      </c>
      <c r="H2363">
        <v>5.0999999999999997E-2</v>
      </c>
      <c r="I2363" s="3">
        <v>1056</v>
      </c>
      <c r="J2363" s="1">
        <v>45515</v>
      </c>
      <c r="K2363" t="s">
        <v>31</v>
      </c>
      <c r="L2363" t="s">
        <v>8</v>
      </c>
      <c r="M2363" t="s">
        <v>37</v>
      </c>
      <c r="N2363" s="1">
        <f t="shared" si="216"/>
        <v>45515</v>
      </c>
      <c r="O2363" s="4">
        <f t="shared" si="217"/>
        <v>3.2490272373540859E-2</v>
      </c>
      <c r="P2363">
        <f t="shared" si="218"/>
        <v>1.367185628742515</v>
      </c>
      <c r="Q2363" s="2">
        <f t="shared" si="219"/>
        <v>8.1542857142857148</v>
      </c>
      <c r="R2363" s="2">
        <f t="shared" si="220"/>
        <v>25.36888888888889</v>
      </c>
      <c r="S2363" s="2">
        <f t="shared" si="221"/>
        <v>4.6250875963559919</v>
      </c>
    </row>
    <row r="2364" spans="1:19" hidden="1">
      <c r="A2364" t="s">
        <v>2417</v>
      </c>
      <c r="B2364" t="s">
        <v>30</v>
      </c>
      <c r="C2364">
        <v>116</v>
      </c>
      <c r="D2364">
        <v>5001</v>
      </c>
      <c r="E2364" s="2">
        <v>186.67</v>
      </c>
      <c r="F2364">
        <v>17</v>
      </c>
      <c r="G2364">
        <v>5</v>
      </c>
      <c r="H2364">
        <v>4.2999999999999997E-2</v>
      </c>
      <c r="I2364" s="3">
        <v>1340</v>
      </c>
      <c r="J2364" s="1">
        <v>45603</v>
      </c>
      <c r="K2364" t="s">
        <v>31</v>
      </c>
      <c r="L2364" t="s">
        <v>7</v>
      </c>
      <c r="M2364" t="s">
        <v>46</v>
      </c>
      <c r="N2364" s="1">
        <f t="shared" si="216"/>
        <v>45603</v>
      </c>
      <c r="O2364" s="4">
        <f t="shared" si="217"/>
        <v>2.3195360927814438E-2</v>
      </c>
      <c r="P2364">
        <f t="shared" si="218"/>
        <v>1.6092241379310344</v>
      </c>
      <c r="Q2364" s="2">
        <f t="shared" si="219"/>
        <v>10.980588235294118</v>
      </c>
      <c r="R2364" s="2">
        <f t="shared" si="220"/>
        <v>37.333999999999996</v>
      </c>
      <c r="S2364" s="2">
        <f t="shared" si="221"/>
        <v>7.1784432420849633</v>
      </c>
    </row>
    <row r="2365" spans="1:19" hidden="1">
      <c r="A2365" t="s">
        <v>2418</v>
      </c>
      <c r="B2365" t="s">
        <v>30</v>
      </c>
      <c r="C2365">
        <v>93</v>
      </c>
      <c r="D2365">
        <v>3802</v>
      </c>
      <c r="E2365" s="2">
        <v>215.52</v>
      </c>
      <c r="F2365">
        <v>22</v>
      </c>
      <c r="G2365">
        <v>7</v>
      </c>
      <c r="H2365">
        <v>3.4000000000000002E-2</v>
      </c>
      <c r="I2365" s="3">
        <v>1513</v>
      </c>
      <c r="J2365" s="1">
        <v>45619</v>
      </c>
      <c r="K2365" t="s">
        <v>31</v>
      </c>
      <c r="L2365" t="s">
        <v>8</v>
      </c>
      <c r="M2365" t="s">
        <v>41</v>
      </c>
      <c r="N2365" s="1">
        <f t="shared" si="216"/>
        <v>45619</v>
      </c>
      <c r="O2365" s="4">
        <f t="shared" si="217"/>
        <v>2.4460810099947397E-2</v>
      </c>
      <c r="P2365">
        <f t="shared" si="218"/>
        <v>2.3174193548387096</v>
      </c>
      <c r="Q2365" s="2">
        <f t="shared" si="219"/>
        <v>9.7963636363636368</v>
      </c>
      <c r="R2365" s="2">
        <f t="shared" si="220"/>
        <v>30.78857142857143</v>
      </c>
      <c r="S2365" s="2">
        <f t="shared" si="221"/>
        <v>7.0202301410541939</v>
      </c>
    </row>
    <row r="2366" spans="1:19" hidden="1">
      <c r="A2366" t="s">
        <v>2419</v>
      </c>
      <c r="B2366" t="s">
        <v>30</v>
      </c>
      <c r="C2366">
        <v>159</v>
      </c>
      <c r="D2366">
        <v>5584</v>
      </c>
      <c r="E2366" s="2">
        <v>249.46</v>
      </c>
      <c r="F2366">
        <v>18</v>
      </c>
      <c r="G2366">
        <v>8</v>
      </c>
      <c r="H2366">
        <v>0.05</v>
      </c>
      <c r="I2366" s="3">
        <v>1176</v>
      </c>
      <c r="J2366" s="1">
        <v>45605</v>
      </c>
      <c r="K2366" t="s">
        <v>31</v>
      </c>
      <c r="L2366" t="s">
        <v>7</v>
      </c>
      <c r="M2366" t="s">
        <v>46</v>
      </c>
      <c r="N2366" s="1">
        <f t="shared" si="216"/>
        <v>45605</v>
      </c>
      <c r="O2366" s="4">
        <f t="shared" si="217"/>
        <v>2.8474212034383953E-2</v>
      </c>
      <c r="P2366">
        <f t="shared" si="218"/>
        <v>1.5689308176100629</v>
      </c>
      <c r="Q2366" s="2">
        <f t="shared" si="219"/>
        <v>13.85888888888889</v>
      </c>
      <c r="R2366" s="2">
        <f t="shared" si="220"/>
        <v>31.182500000000001</v>
      </c>
      <c r="S2366" s="2">
        <f t="shared" si="221"/>
        <v>4.7141826344904993</v>
      </c>
    </row>
    <row r="2367" spans="1:19" hidden="1">
      <c r="A2367" t="s">
        <v>2420</v>
      </c>
      <c r="B2367" t="s">
        <v>30</v>
      </c>
      <c r="C2367">
        <v>146</v>
      </c>
      <c r="D2367">
        <v>5105</v>
      </c>
      <c r="E2367" s="2">
        <v>224.77</v>
      </c>
      <c r="F2367">
        <v>12</v>
      </c>
      <c r="G2367">
        <v>7</v>
      </c>
      <c r="H2367">
        <v>3.7999999999999999E-2</v>
      </c>
      <c r="I2367" s="3">
        <v>1440</v>
      </c>
      <c r="J2367" s="1">
        <v>45601</v>
      </c>
      <c r="K2367" t="s">
        <v>31</v>
      </c>
      <c r="L2367" t="s">
        <v>8</v>
      </c>
      <c r="M2367" t="s">
        <v>46</v>
      </c>
      <c r="N2367" s="1">
        <f t="shared" si="216"/>
        <v>45601</v>
      </c>
      <c r="O2367" s="4">
        <f t="shared" si="217"/>
        <v>2.859941234084231E-2</v>
      </c>
      <c r="P2367">
        <f t="shared" si="218"/>
        <v>1.5395205479452057</v>
      </c>
      <c r="Q2367" s="2">
        <f t="shared" si="219"/>
        <v>18.730833333333333</v>
      </c>
      <c r="R2367" s="2">
        <f t="shared" si="220"/>
        <v>32.11</v>
      </c>
      <c r="S2367" s="2">
        <f t="shared" si="221"/>
        <v>6.4065489166703742</v>
      </c>
    </row>
    <row r="2368" spans="1:19" hidden="1">
      <c r="A2368" t="s">
        <v>2421</v>
      </c>
      <c r="B2368" t="s">
        <v>30</v>
      </c>
      <c r="C2368">
        <v>136</v>
      </c>
      <c r="D2368">
        <v>5714</v>
      </c>
      <c r="E2368" s="2">
        <v>190.3</v>
      </c>
      <c r="F2368">
        <v>19</v>
      </c>
      <c r="G2368">
        <v>8</v>
      </c>
      <c r="H2368">
        <v>5.8999999999999997E-2</v>
      </c>
      <c r="I2368" s="3">
        <v>1694</v>
      </c>
      <c r="J2368" s="1">
        <v>45626</v>
      </c>
      <c r="K2368" t="s">
        <v>31</v>
      </c>
      <c r="L2368" t="s">
        <v>7</v>
      </c>
      <c r="M2368" t="s">
        <v>39</v>
      </c>
      <c r="N2368" s="1">
        <f t="shared" si="216"/>
        <v>45626</v>
      </c>
      <c r="O2368" s="4">
        <f t="shared" si="217"/>
        <v>2.3801190059502975E-2</v>
      </c>
      <c r="P2368">
        <f t="shared" si="218"/>
        <v>1.3992647058823531</v>
      </c>
      <c r="Q2368" s="2">
        <f t="shared" si="219"/>
        <v>10.015789473684212</v>
      </c>
      <c r="R2368" s="2">
        <f t="shared" si="220"/>
        <v>23.787500000000001</v>
      </c>
      <c r="S2368" s="2">
        <f t="shared" si="221"/>
        <v>8.901734104046243</v>
      </c>
    </row>
    <row r="2369" spans="1:19" hidden="1">
      <c r="A2369" t="s">
        <v>2422</v>
      </c>
      <c r="B2369" t="s">
        <v>30</v>
      </c>
      <c r="C2369">
        <v>159</v>
      </c>
      <c r="D2369">
        <v>5025</v>
      </c>
      <c r="E2369" s="2">
        <v>208.68</v>
      </c>
      <c r="F2369">
        <v>16</v>
      </c>
      <c r="G2369">
        <v>4</v>
      </c>
      <c r="H2369">
        <v>5.0999999999999997E-2</v>
      </c>
      <c r="I2369" s="3">
        <v>1779</v>
      </c>
      <c r="J2369" s="1">
        <v>45617</v>
      </c>
      <c r="K2369" t="s">
        <v>31</v>
      </c>
      <c r="L2369" t="s">
        <v>8</v>
      </c>
      <c r="M2369" t="s">
        <v>41</v>
      </c>
      <c r="N2369" s="1">
        <f t="shared" si="216"/>
        <v>45617</v>
      </c>
      <c r="O2369" s="4">
        <f t="shared" si="217"/>
        <v>3.1641791044776123E-2</v>
      </c>
      <c r="P2369">
        <f t="shared" si="218"/>
        <v>1.3124528301886793</v>
      </c>
      <c r="Q2369" s="2">
        <f t="shared" si="219"/>
        <v>13.0425</v>
      </c>
      <c r="R2369" s="2">
        <f t="shared" si="220"/>
        <v>52.17</v>
      </c>
      <c r="S2369" s="2">
        <f t="shared" si="221"/>
        <v>8.5250143760782056</v>
      </c>
    </row>
    <row r="2370" spans="1:19" hidden="1">
      <c r="A2370" t="s">
        <v>2423</v>
      </c>
      <c r="B2370" t="s">
        <v>30</v>
      </c>
      <c r="C2370">
        <v>83</v>
      </c>
      <c r="D2370">
        <v>3781</v>
      </c>
      <c r="E2370" s="2">
        <v>220.82</v>
      </c>
      <c r="F2370">
        <v>11</v>
      </c>
      <c r="G2370">
        <v>4</v>
      </c>
      <c r="H2370">
        <v>4.8000000000000001E-2</v>
      </c>
      <c r="I2370" s="3">
        <v>1866</v>
      </c>
      <c r="J2370" s="1" t="s">
        <v>89</v>
      </c>
      <c r="K2370" t="s">
        <v>31</v>
      </c>
      <c r="L2370" t="s">
        <v>8</v>
      </c>
      <c r="M2370" t="s">
        <v>39</v>
      </c>
      <c r="N2370" s="1">
        <f t="shared" ref="N2370:N2433" si="222">IF(A2370="","",IF(ISNUMBER(J2370),J2370,IF(MID(J2370,5,1)="-",DATE(LEFT(J2370,4),MID(J2370,6,2),RIGHT(J2370,2)),IF(MID(J2370,5,1)="/",DATE(LEFT(J2370,4),MID(J2370,6,2),RIGHT(J2370,2)),DATE(RIGHT(J2370,4),MID(J2370,4,2),LEFT(J2370,2))))))</f>
        <v>45611</v>
      </c>
      <c r="O2370" s="4">
        <f t="shared" ref="O2370:O2433" si="223">IFERROR(C2370/D2370,0)</f>
        <v>2.1951864586088336E-2</v>
      </c>
      <c r="P2370">
        <f t="shared" ref="P2370:P2433" si="224">IFERROR(E2370/C2370,0)</f>
        <v>2.6604819277108431</v>
      </c>
      <c r="Q2370" s="2">
        <f t="shared" ref="Q2370:Q2433" si="225">IFERROR(E2370/F2370,0)</f>
        <v>20.074545454545454</v>
      </c>
      <c r="R2370" s="2">
        <f t="shared" ref="R2370:R2433" si="226">IFERROR(E2370/G2370,0)</f>
        <v>55.204999999999998</v>
      </c>
      <c r="S2370" s="2">
        <f t="shared" ref="S2370:S2433" si="227">IFERROR(I2370/E2370,0)</f>
        <v>8.4503215288470255</v>
      </c>
    </row>
    <row r="2371" spans="1:19" hidden="1">
      <c r="A2371" t="s">
        <v>2424</v>
      </c>
      <c r="B2371" t="s">
        <v>30</v>
      </c>
      <c r="C2371">
        <v>136</v>
      </c>
      <c r="D2371">
        <v>3318</v>
      </c>
      <c r="E2371" s="2">
        <v>215.86</v>
      </c>
      <c r="F2371">
        <v>20</v>
      </c>
      <c r="G2371">
        <v>8</v>
      </c>
      <c r="H2371">
        <v>3.2000000000000001E-2</v>
      </c>
      <c r="I2371" s="3">
        <v>1712</v>
      </c>
      <c r="J2371" s="1">
        <v>45617</v>
      </c>
      <c r="K2371" t="s">
        <v>31</v>
      </c>
      <c r="L2371" t="s">
        <v>9</v>
      </c>
      <c r="M2371" t="s">
        <v>37</v>
      </c>
      <c r="N2371" s="1">
        <f t="shared" si="222"/>
        <v>45617</v>
      </c>
      <c r="O2371" s="4">
        <f t="shared" si="223"/>
        <v>4.0988547317661245E-2</v>
      </c>
      <c r="P2371">
        <f t="shared" si="224"/>
        <v>1.5872058823529414</v>
      </c>
      <c r="Q2371" s="2">
        <f t="shared" si="225"/>
        <v>10.793000000000001</v>
      </c>
      <c r="R2371" s="2">
        <f t="shared" si="226"/>
        <v>26.982500000000002</v>
      </c>
      <c r="S2371" s="2">
        <f t="shared" si="227"/>
        <v>7.9310664319466317</v>
      </c>
    </row>
    <row r="2372" spans="1:19" hidden="1">
      <c r="A2372" t="s">
        <v>2425</v>
      </c>
      <c r="B2372" t="s">
        <v>30</v>
      </c>
      <c r="C2372">
        <v>136</v>
      </c>
      <c r="D2372">
        <v>3939</v>
      </c>
      <c r="E2372" s="2">
        <v>213.66</v>
      </c>
      <c r="F2372">
        <v>16</v>
      </c>
      <c r="G2372">
        <v>6</v>
      </c>
      <c r="H2372">
        <v>4.3999999999999997E-2</v>
      </c>
      <c r="I2372" s="3">
        <v>1708</v>
      </c>
      <c r="J2372" s="1" t="s">
        <v>94</v>
      </c>
      <c r="K2372" t="s">
        <v>31</v>
      </c>
      <c r="L2372" t="s">
        <v>9</v>
      </c>
      <c r="M2372" t="s">
        <v>41</v>
      </c>
      <c r="N2372" s="1">
        <f t="shared" si="222"/>
        <v>45617</v>
      </c>
      <c r="O2372" s="4">
        <f t="shared" si="223"/>
        <v>3.4526529576034526E-2</v>
      </c>
      <c r="P2372">
        <f t="shared" si="224"/>
        <v>1.5710294117647059</v>
      </c>
      <c r="Q2372" s="2">
        <f t="shared" si="225"/>
        <v>13.35375</v>
      </c>
      <c r="R2372" s="2">
        <f t="shared" si="226"/>
        <v>35.61</v>
      </c>
      <c r="S2372" s="2">
        <f t="shared" si="227"/>
        <v>7.9940091734531498</v>
      </c>
    </row>
    <row r="2373" spans="1:19" hidden="1">
      <c r="A2373" t="s">
        <v>2426</v>
      </c>
      <c r="B2373" t="s">
        <v>30</v>
      </c>
      <c r="C2373">
        <v>166</v>
      </c>
      <c r="D2373">
        <v>3546</v>
      </c>
      <c r="E2373" s="2">
        <v>221.99</v>
      </c>
      <c r="F2373">
        <v>10</v>
      </c>
      <c r="G2373">
        <v>3</v>
      </c>
      <c r="H2373">
        <v>1.7999999999999999E-2</v>
      </c>
      <c r="I2373" s="3">
        <v>1796</v>
      </c>
      <c r="J2373" s="1">
        <v>45608</v>
      </c>
      <c r="K2373" t="s">
        <v>31</v>
      </c>
      <c r="L2373" t="s">
        <v>7</v>
      </c>
      <c r="M2373" t="s">
        <v>32</v>
      </c>
      <c r="N2373" s="1">
        <f t="shared" si="222"/>
        <v>45608</v>
      </c>
      <c r="O2373" s="4">
        <f t="shared" si="223"/>
        <v>4.6813310772701636E-2</v>
      </c>
      <c r="P2373">
        <f t="shared" si="224"/>
        <v>1.3372891566265062</v>
      </c>
      <c r="Q2373" s="2">
        <f t="shared" si="225"/>
        <v>22.199000000000002</v>
      </c>
      <c r="R2373" s="2">
        <f t="shared" si="226"/>
        <v>73.99666666666667</v>
      </c>
      <c r="S2373" s="2">
        <f t="shared" si="227"/>
        <v>8.0904545249786022</v>
      </c>
    </row>
    <row r="2374" spans="1:19">
      <c r="A2374" t="s">
        <v>2427</v>
      </c>
      <c r="B2374" t="s">
        <v>30</v>
      </c>
      <c r="C2374">
        <v>192</v>
      </c>
      <c r="D2374">
        <v>5845</v>
      </c>
      <c r="E2374" s="2">
        <v>247.56</v>
      </c>
      <c r="F2374">
        <v>28</v>
      </c>
      <c r="G2374">
        <v>3</v>
      </c>
      <c r="H2374">
        <v>4.5999999999999999E-2</v>
      </c>
      <c r="I2374" s="3">
        <v>1542</v>
      </c>
      <c r="J2374" s="1" t="s">
        <v>348</v>
      </c>
      <c r="K2374" t="s">
        <v>31</v>
      </c>
      <c r="L2374" t="s">
        <v>7</v>
      </c>
      <c r="M2374" t="s">
        <v>46</v>
      </c>
      <c r="N2374" s="1">
        <f t="shared" si="222"/>
        <v>45615</v>
      </c>
      <c r="O2374" s="4">
        <f t="shared" si="223"/>
        <v>3.2848588537211294E-2</v>
      </c>
      <c r="P2374">
        <f t="shared" si="224"/>
        <v>1.2893749999999999</v>
      </c>
      <c r="Q2374" s="2">
        <f t="shared" si="225"/>
        <v>8.8414285714285707</v>
      </c>
      <c r="R2374" s="2">
        <f t="shared" si="226"/>
        <v>82.52</v>
      </c>
      <c r="S2374" s="2">
        <f t="shared" si="227"/>
        <v>6.2287930198739696</v>
      </c>
    </row>
    <row r="2375" spans="1:19">
      <c r="A2375" t="s">
        <v>2428</v>
      </c>
      <c r="B2375" t="s">
        <v>30</v>
      </c>
      <c r="C2375">
        <v>139</v>
      </c>
      <c r="D2375">
        <v>3580</v>
      </c>
      <c r="E2375" s="2">
        <v>223.48</v>
      </c>
      <c r="F2375">
        <v>21</v>
      </c>
      <c r="G2375">
        <v>6</v>
      </c>
      <c r="H2375">
        <v>4.5999999999999999E-2</v>
      </c>
      <c r="I2375" s="3">
        <v>1555</v>
      </c>
      <c r="J2375" s="1">
        <v>45623</v>
      </c>
      <c r="K2375" t="s">
        <v>31</v>
      </c>
      <c r="L2375" t="s">
        <v>9</v>
      </c>
      <c r="M2375" t="s">
        <v>35</v>
      </c>
      <c r="N2375" s="1">
        <f t="shared" si="222"/>
        <v>45623</v>
      </c>
      <c r="O2375" s="4">
        <f t="shared" si="223"/>
        <v>3.8826815642458101E-2</v>
      </c>
      <c r="P2375">
        <f t="shared" si="224"/>
        <v>1.6077697841726617</v>
      </c>
      <c r="Q2375" s="2">
        <f t="shared" si="225"/>
        <v>10.641904761904762</v>
      </c>
      <c r="R2375" s="2">
        <f t="shared" si="226"/>
        <v>37.246666666666663</v>
      </c>
      <c r="S2375" s="2">
        <f t="shared" si="227"/>
        <v>6.9581170574548059</v>
      </c>
    </row>
    <row r="2376" spans="1:19" hidden="1">
      <c r="A2376" t="s">
        <v>2429</v>
      </c>
      <c r="B2376" t="s">
        <v>30</v>
      </c>
      <c r="C2376">
        <v>108</v>
      </c>
      <c r="D2376">
        <v>4019</v>
      </c>
      <c r="E2376" s="2">
        <v>199.85</v>
      </c>
      <c r="F2376">
        <v>25</v>
      </c>
      <c r="G2376">
        <v>8</v>
      </c>
      <c r="H2376">
        <v>5.8999999999999997E-2</v>
      </c>
      <c r="I2376" s="3">
        <v>1657</v>
      </c>
      <c r="J2376" s="1">
        <v>45333</v>
      </c>
      <c r="K2376" t="s">
        <v>31</v>
      </c>
      <c r="L2376" t="s">
        <v>9</v>
      </c>
      <c r="M2376" t="s">
        <v>32</v>
      </c>
      <c r="N2376" s="1">
        <f t="shared" si="222"/>
        <v>45333</v>
      </c>
      <c r="O2376" s="4">
        <f t="shared" si="223"/>
        <v>2.6872356307539189E-2</v>
      </c>
      <c r="P2376">
        <f t="shared" si="224"/>
        <v>1.850462962962963</v>
      </c>
      <c r="Q2376" s="2">
        <f t="shared" si="225"/>
        <v>7.9939999999999998</v>
      </c>
      <c r="R2376" s="2">
        <f t="shared" si="226"/>
        <v>24.981249999999999</v>
      </c>
      <c r="S2376" s="2">
        <f t="shared" si="227"/>
        <v>8.2912184138103573</v>
      </c>
    </row>
    <row r="2377" spans="1:19" hidden="1">
      <c r="A2377" t="s">
        <v>2430</v>
      </c>
      <c r="B2377" t="s">
        <v>30</v>
      </c>
      <c r="C2377">
        <v>175</v>
      </c>
      <c r="D2377">
        <v>3345</v>
      </c>
      <c r="E2377" s="2">
        <v>185.48</v>
      </c>
      <c r="F2377">
        <v>23</v>
      </c>
      <c r="G2377">
        <v>9</v>
      </c>
      <c r="H2377">
        <v>5.0999999999999997E-2</v>
      </c>
      <c r="I2377" s="3">
        <v>1193</v>
      </c>
      <c r="J2377" s="1" t="s">
        <v>34</v>
      </c>
      <c r="K2377" t="s">
        <v>31</v>
      </c>
      <c r="L2377" t="s">
        <v>7</v>
      </c>
      <c r="M2377" t="s">
        <v>37</v>
      </c>
      <c r="N2377" s="1">
        <f t="shared" si="222"/>
        <v>45616</v>
      </c>
      <c r="O2377" s="4">
        <f t="shared" si="223"/>
        <v>5.2316890881913304E-2</v>
      </c>
      <c r="P2377">
        <f t="shared" si="224"/>
        <v>1.0598857142857143</v>
      </c>
      <c r="Q2377" s="2">
        <f t="shared" si="225"/>
        <v>8.0643478260869568</v>
      </c>
      <c r="R2377" s="2">
        <f t="shared" si="226"/>
        <v>20.608888888888888</v>
      </c>
      <c r="S2377" s="2">
        <f t="shared" si="227"/>
        <v>6.4319603191718784</v>
      </c>
    </row>
    <row r="2378" spans="1:19" hidden="1">
      <c r="A2378" t="s">
        <v>2431</v>
      </c>
      <c r="B2378" t="s">
        <v>30</v>
      </c>
      <c r="C2378">
        <v>80</v>
      </c>
      <c r="D2378">
        <v>4413</v>
      </c>
      <c r="E2378" s="2">
        <v>245.4</v>
      </c>
      <c r="F2378">
        <v>10</v>
      </c>
      <c r="G2378">
        <v>5</v>
      </c>
      <c r="H2378">
        <v>6.2E-2</v>
      </c>
      <c r="I2378" s="3">
        <v>1650</v>
      </c>
      <c r="J2378" s="1">
        <v>45599</v>
      </c>
      <c r="K2378" t="s">
        <v>31</v>
      </c>
      <c r="L2378" t="s">
        <v>8</v>
      </c>
      <c r="M2378" t="s">
        <v>35</v>
      </c>
      <c r="N2378" s="1">
        <f t="shared" si="222"/>
        <v>45599</v>
      </c>
      <c r="O2378" s="4">
        <f t="shared" si="223"/>
        <v>1.8128257421255383E-2</v>
      </c>
      <c r="P2378">
        <f t="shared" si="224"/>
        <v>3.0674999999999999</v>
      </c>
      <c r="Q2378" s="2">
        <f t="shared" si="225"/>
        <v>24.54</v>
      </c>
      <c r="R2378" s="2">
        <f t="shared" si="226"/>
        <v>49.08</v>
      </c>
      <c r="S2378" s="2">
        <f t="shared" si="227"/>
        <v>6.7237163814180931</v>
      </c>
    </row>
    <row r="2379" spans="1:19" hidden="1">
      <c r="A2379" t="s">
        <v>2432</v>
      </c>
      <c r="B2379" t="s">
        <v>30</v>
      </c>
      <c r="C2379">
        <v>192</v>
      </c>
      <c r="D2379">
        <v>4969</v>
      </c>
      <c r="E2379" s="2">
        <v>234.27</v>
      </c>
      <c r="F2379">
        <v>30</v>
      </c>
      <c r="G2379">
        <v>5</v>
      </c>
      <c r="H2379">
        <v>2.5999999999999999E-2</v>
      </c>
      <c r="I2379" s="3">
        <v>1627</v>
      </c>
      <c r="J2379" s="1" t="s">
        <v>132</v>
      </c>
      <c r="K2379" t="s">
        <v>31</v>
      </c>
      <c r="L2379" t="s">
        <v>9</v>
      </c>
      <c r="M2379" t="s">
        <v>35</v>
      </c>
      <c r="N2379" s="1">
        <f t="shared" si="222"/>
        <v>45613</v>
      </c>
      <c r="O2379" s="4">
        <f t="shared" si="223"/>
        <v>3.8639565304890322E-2</v>
      </c>
      <c r="P2379">
        <f t="shared" si="224"/>
        <v>1.2201562500000001</v>
      </c>
      <c r="Q2379" s="2">
        <f t="shared" si="225"/>
        <v>7.8090000000000002</v>
      </c>
      <c r="R2379" s="2">
        <f t="shared" si="226"/>
        <v>46.853999999999999</v>
      </c>
      <c r="S2379" s="2">
        <f t="shared" si="227"/>
        <v>6.9449780168182009</v>
      </c>
    </row>
    <row r="2380" spans="1:19" hidden="1">
      <c r="A2380" t="s">
        <v>2433</v>
      </c>
      <c r="B2380" t="s">
        <v>30</v>
      </c>
      <c r="C2380">
        <v>85</v>
      </c>
      <c r="D2380">
        <v>5083</v>
      </c>
      <c r="E2380" s="2">
        <v>181.19</v>
      </c>
      <c r="F2380">
        <v>13</v>
      </c>
      <c r="G2380">
        <v>3</v>
      </c>
      <c r="H2380">
        <v>0.05</v>
      </c>
      <c r="I2380" s="3">
        <v>1048</v>
      </c>
      <c r="J2380" s="1">
        <v>45607</v>
      </c>
      <c r="K2380" t="s">
        <v>31</v>
      </c>
      <c r="L2380" t="s">
        <v>8</v>
      </c>
      <c r="M2380" t="s">
        <v>35</v>
      </c>
      <c r="N2380" s="1">
        <f t="shared" si="222"/>
        <v>45607</v>
      </c>
      <c r="O2380" s="4">
        <f t="shared" si="223"/>
        <v>1.6722408026755852E-2</v>
      </c>
      <c r="P2380">
        <f t="shared" si="224"/>
        <v>2.1316470588235292</v>
      </c>
      <c r="Q2380" s="2">
        <f t="shared" si="225"/>
        <v>13.937692307692307</v>
      </c>
      <c r="R2380" s="2">
        <f t="shared" si="226"/>
        <v>60.396666666666668</v>
      </c>
      <c r="S2380" s="2">
        <f t="shared" si="227"/>
        <v>5.7839836635575912</v>
      </c>
    </row>
    <row r="2381" spans="1:19" hidden="1">
      <c r="A2381" t="s">
        <v>2434</v>
      </c>
      <c r="B2381" t="s">
        <v>30</v>
      </c>
      <c r="C2381">
        <v>91</v>
      </c>
      <c r="D2381">
        <v>4176</v>
      </c>
      <c r="E2381" s="2">
        <v>216.63</v>
      </c>
      <c r="F2381">
        <v>20</v>
      </c>
      <c r="G2381">
        <v>8</v>
      </c>
      <c r="H2381">
        <v>8.7999999999999995E-2</v>
      </c>
      <c r="I2381" s="3">
        <v>1502</v>
      </c>
      <c r="J2381" s="1">
        <v>45546</v>
      </c>
      <c r="K2381" t="s">
        <v>31</v>
      </c>
      <c r="L2381" t="s">
        <v>8</v>
      </c>
      <c r="M2381" t="s">
        <v>35</v>
      </c>
      <c r="N2381" s="1">
        <f t="shared" si="222"/>
        <v>45546</v>
      </c>
      <c r="O2381" s="4">
        <f t="shared" si="223"/>
        <v>2.1791187739463602E-2</v>
      </c>
      <c r="P2381">
        <f t="shared" si="224"/>
        <v>2.3805494505494504</v>
      </c>
      <c r="Q2381" s="2">
        <f t="shared" si="225"/>
        <v>10.8315</v>
      </c>
      <c r="R2381" s="2">
        <f t="shared" si="226"/>
        <v>27.078749999999999</v>
      </c>
      <c r="S2381" s="2">
        <f t="shared" si="227"/>
        <v>6.9334810506393394</v>
      </c>
    </row>
    <row r="2382" spans="1:19" hidden="1">
      <c r="A2382" t="s">
        <v>2435</v>
      </c>
      <c r="B2382" t="s">
        <v>30</v>
      </c>
      <c r="C2382">
        <v>94</v>
      </c>
      <c r="D2382">
        <v>5389</v>
      </c>
      <c r="E2382" s="2">
        <v>220.53</v>
      </c>
      <c r="F2382">
        <v>11</v>
      </c>
      <c r="G2382">
        <v>10</v>
      </c>
      <c r="H2382">
        <v>0.106</v>
      </c>
      <c r="I2382" s="3">
        <v>1670</v>
      </c>
      <c r="J2382" s="1" t="s">
        <v>115</v>
      </c>
      <c r="K2382" t="s">
        <v>31</v>
      </c>
      <c r="L2382" t="s">
        <v>8</v>
      </c>
      <c r="M2382" t="s">
        <v>39</v>
      </c>
      <c r="N2382" s="1">
        <f t="shared" si="222"/>
        <v>45623</v>
      </c>
      <c r="O2382" s="4">
        <f t="shared" si="223"/>
        <v>1.7442939320838746E-2</v>
      </c>
      <c r="P2382">
        <f t="shared" si="224"/>
        <v>2.346063829787234</v>
      </c>
      <c r="Q2382" s="2">
        <f t="shared" si="225"/>
        <v>20.048181818181817</v>
      </c>
      <c r="R2382" s="2">
        <f t="shared" si="226"/>
        <v>22.053000000000001</v>
      </c>
      <c r="S2382" s="2">
        <f t="shared" si="227"/>
        <v>7.5726658504511857</v>
      </c>
    </row>
    <row r="2383" spans="1:19">
      <c r="A2383" t="s">
        <v>2436</v>
      </c>
      <c r="B2383" t="s">
        <v>30</v>
      </c>
      <c r="C2383">
        <v>119</v>
      </c>
      <c r="D2383">
        <v>4653</v>
      </c>
      <c r="E2383" s="2">
        <v>224.68</v>
      </c>
      <c r="F2383">
        <v>20</v>
      </c>
      <c r="G2383">
        <v>4</v>
      </c>
      <c r="H2383">
        <v>4.5999999999999999E-2</v>
      </c>
      <c r="I2383" s="3">
        <v>1773</v>
      </c>
      <c r="J2383" s="1" t="s">
        <v>50</v>
      </c>
      <c r="K2383" t="s">
        <v>31</v>
      </c>
      <c r="L2383" t="s">
        <v>9</v>
      </c>
      <c r="M2383" t="s">
        <v>32</v>
      </c>
      <c r="N2383" s="1">
        <f t="shared" si="222"/>
        <v>45610</v>
      </c>
      <c r="O2383" s="4">
        <f t="shared" si="223"/>
        <v>2.5574897915323448E-2</v>
      </c>
      <c r="P2383">
        <f t="shared" si="224"/>
        <v>1.8880672268907563</v>
      </c>
      <c r="Q2383" s="2">
        <f t="shared" si="225"/>
        <v>11.234</v>
      </c>
      <c r="R2383" s="2">
        <f t="shared" si="226"/>
        <v>56.17</v>
      </c>
      <c r="S2383" s="2">
        <f t="shared" si="227"/>
        <v>7.8912230728146699</v>
      </c>
    </row>
    <row r="2384" spans="1:19" hidden="1">
      <c r="A2384" t="s">
        <v>2437</v>
      </c>
      <c r="B2384" t="s">
        <v>30</v>
      </c>
      <c r="C2384">
        <v>198</v>
      </c>
      <c r="D2384">
        <v>3926</v>
      </c>
      <c r="E2384" s="2">
        <v>195.25</v>
      </c>
      <c r="F2384">
        <v>25</v>
      </c>
      <c r="G2384">
        <v>7</v>
      </c>
      <c r="H2384">
        <v>3.5000000000000003E-2</v>
      </c>
      <c r="I2384" s="3">
        <v>1060</v>
      </c>
      <c r="J2384" s="1">
        <v>45608</v>
      </c>
      <c r="K2384" t="s">
        <v>31</v>
      </c>
      <c r="L2384" t="s">
        <v>7</v>
      </c>
      <c r="M2384" t="s">
        <v>37</v>
      </c>
      <c r="N2384" s="1">
        <f t="shared" si="222"/>
        <v>45608</v>
      </c>
      <c r="O2384" s="4">
        <f t="shared" si="223"/>
        <v>5.0433010697911361E-2</v>
      </c>
      <c r="P2384">
        <f t="shared" si="224"/>
        <v>0.98611111111111116</v>
      </c>
      <c r="Q2384" s="2">
        <f t="shared" si="225"/>
        <v>7.81</v>
      </c>
      <c r="R2384" s="2">
        <f t="shared" si="226"/>
        <v>27.892857142857142</v>
      </c>
      <c r="S2384" s="2">
        <f t="shared" si="227"/>
        <v>5.4289372599231758</v>
      </c>
    </row>
    <row r="2385" spans="1:19" hidden="1">
      <c r="A2385" t="s">
        <v>2438</v>
      </c>
      <c r="B2385" t="s">
        <v>30</v>
      </c>
      <c r="C2385">
        <v>87</v>
      </c>
      <c r="D2385">
        <v>4154</v>
      </c>
      <c r="E2385" s="2">
        <v>232.88</v>
      </c>
      <c r="F2385">
        <v>13</v>
      </c>
      <c r="G2385">
        <v>3</v>
      </c>
      <c r="H2385">
        <v>3.4000000000000002E-2</v>
      </c>
      <c r="I2385" s="3">
        <v>1099</v>
      </c>
      <c r="J2385" s="1">
        <v>45606</v>
      </c>
      <c r="K2385" t="s">
        <v>31</v>
      </c>
      <c r="L2385" t="s">
        <v>7</v>
      </c>
      <c r="M2385" t="s">
        <v>41</v>
      </c>
      <c r="N2385" s="1">
        <f t="shared" si="222"/>
        <v>45606</v>
      </c>
      <c r="O2385" s="4">
        <f t="shared" si="223"/>
        <v>2.0943668753009147E-2</v>
      </c>
      <c r="P2385">
        <f t="shared" si="224"/>
        <v>2.6767816091954022</v>
      </c>
      <c r="Q2385" s="2">
        <f t="shared" si="225"/>
        <v>17.913846153846155</v>
      </c>
      <c r="R2385" s="2">
        <f t="shared" si="226"/>
        <v>77.626666666666665</v>
      </c>
      <c r="S2385" s="2">
        <f t="shared" si="227"/>
        <v>4.7191686705599452</v>
      </c>
    </row>
    <row r="2386" spans="1:19" hidden="1">
      <c r="A2386" t="s">
        <v>2439</v>
      </c>
      <c r="B2386" t="s">
        <v>30</v>
      </c>
      <c r="C2386">
        <v>101</v>
      </c>
      <c r="D2386">
        <v>3286</v>
      </c>
      <c r="E2386" s="2">
        <v>196.59</v>
      </c>
      <c r="F2386">
        <v>12</v>
      </c>
      <c r="G2386">
        <v>9</v>
      </c>
      <c r="H2386">
        <v>8.8999999999999996E-2</v>
      </c>
      <c r="I2386" s="3">
        <v>1034</v>
      </c>
      <c r="J2386" s="1">
        <v>45598</v>
      </c>
      <c r="K2386" t="s">
        <v>31</v>
      </c>
      <c r="L2386" t="s">
        <v>9</v>
      </c>
      <c r="M2386" t="s">
        <v>46</v>
      </c>
      <c r="N2386" s="1">
        <f t="shared" si="222"/>
        <v>45598</v>
      </c>
      <c r="O2386" s="4">
        <f t="shared" si="223"/>
        <v>3.0736457699330495E-2</v>
      </c>
      <c r="P2386">
        <f t="shared" si="224"/>
        <v>1.9464356435643564</v>
      </c>
      <c r="Q2386" s="2">
        <f t="shared" si="225"/>
        <v>16.3825</v>
      </c>
      <c r="R2386" s="2">
        <f t="shared" si="226"/>
        <v>21.843333333333334</v>
      </c>
      <c r="S2386" s="2">
        <f t="shared" si="227"/>
        <v>5.2596775013988504</v>
      </c>
    </row>
    <row r="2387" spans="1:19" hidden="1">
      <c r="A2387" t="s">
        <v>2440</v>
      </c>
      <c r="B2387" t="s">
        <v>30</v>
      </c>
      <c r="C2387">
        <v>142</v>
      </c>
      <c r="D2387">
        <v>4593</v>
      </c>
      <c r="E2387" s="2">
        <v>230.69</v>
      </c>
      <c r="F2387">
        <v>20</v>
      </c>
      <c r="G2387">
        <v>5</v>
      </c>
      <c r="H2387">
        <v>3.5000000000000003E-2</v>
      </c>
      <c r="I2387" s="3">
        <v>1537</v>
      </c>
      <c r="J2387" s="1">
        <v>45618</v>
      </c>
      <c r="K2387" t="s">
        <v>31</v>
      </c>
      <c r="L2387" t="s">
        <v>8</v>
      </c>
      <c r="M2387" t="s">
        <v>35</v>
      </c>
      <c r="N2387" s="1">
        <f t="shared" si="222"/>
        <v>45618</v>
      </c>
      <c r="O2387" s="4">
        <f t="shared" si="223"/>
        <v>3.0916612236011321E-2</v>
      </c>
      <c r="P2387">
        <f t="shared" si="224"/>
        <v>1.6245774647887323</v>
      </c>
      <c r="Q2387" s="2">
        <f t="shared" si="225"/>
        <v>11.5345</v>
      </c>
      <c r="R2387" s="2">
        <f t="shared" si="226"/>
        <v>46.137999999999998</v>
      </c>
      <c r="S2387" s="2">
        <f t="shared" si="227"/>
        <v>6.6626208331527161</v>
      </c>
    </row>
    <row r="2388" spans="1:19">
      <c r="A2388" t="s">
        <v>2441</v>
      </c>
      <c r="B2388" t="s">
        <v>30</v>
      </c>
      <c r="C2388">
        <v>111</v>
      </c>
      <c r="D2388">
        <v>5689</v>
      </c>
      <c r="E2388" s="2">
        <v>195.94</v>
      </c>
      <c r="F2388">
        <v>12</v>
      </c>
      <c r="G2388">
        <v>4</v>
      </c>
      <c r="H2388">
        <v>4.5999999999999999E-2</v>
      </c>
      <c r="I2388" s="3">
        <v>1377</v>
      </c>
      <c r="J2388" s="1">
        <v>45610</v>
      </c>
      <c r="K2388" t="s">
        <v>31</v>
      </c>
      <c r="L2388" t="s">
        <v>7</v>
      </c>
      <c r="M2388" t="s">
        <v>46</v>
      </c>
      <c r="N2388" s="1">
        <f t="shared" si="222"/>
        <v>45610</v>
      </c>
      <c r="O2388" s="4">
        <f t="shared" si="223"/>
        <v>1.9511337669186148E-2</v>
      </c>
      <c r="P2388">
        <f t="shared" si="224"/>
        <v>1.7652252252252252</v>
      </c>
      <c r="Q2388" s="2">
        <f t="shared" si="225"/>
        <v>16.328333333333333</v>
      </c>
      <c r="R2388" s="2">
        <f t="shared" si="226"/>
        <v>48.984999999999999</v>
      </c>
      <c r="S2388" s="2">
        <f t="shared" si="227"/>
        <v>7.0276615290395021</v>
      </c>
    </row>
    <row r="2389" spans="1:19" hidden="1">
      <c r="A2389" t="s">
        <v>2442</v>
      </c>
      <c r="B2389" t="s">
        <v>30</v>
      </c>
      <c r="C2389">
        <v>152</v>
      </c>
      <c r="D2389">
        <v>5040</v>
      </c>
      <c r="E2389" s="2">
        <v>238.61</v>
      </c>
      <c r="F2389">
        <v>30</v>
      </c>
      <c r="G2389">
        <v>9</v>
      </c>
      <c r="H2389">
        <v>0.04</v>
      </c>
      <c r="I2389" s="3">
        <v>1795</v>
      </c>
      <c r="J2389" s="1" t="s">
        <v>89</v>
      </c>
      <c r="K2389" t="s">
        <v>31</v>
      </c>
      <c r="L2389" t="s">
        <v>7</v>
      </c>
      <c r="M2389" t="s">
        <v>35</v>
      </c>
      <c r="N2389" s="1">
        <f t="shared" si="222"/>
        <v>45611</v>
      </c>
      <c r="O2389" s="4">
        <f t="shared" si="223"/>
        <v>3.0158730158730159E-2</v>
      </c>
      <c r="P2389">
        <f t="shared" si="224"/>
        <v>1.5698026315789475</v>
      </c>
      <c r="Q2389" s="2">
        <f t="shared" si="225"/>
        <v>7.9536666666666669</v>
      </c>
      <c r="R2389" s="2">
        <f t="shared" si="226"/>
        <v>26.512222222222224</v>
      </c>
      <c r="S2389" s="2">
        <f t="shared" si="227"/>
        <v>7.5227358451028872</v>
      </c>
    </row>
    <row r="2390" spans="1:19" hidden="1">
      <c r="A2390" t="s">
        <v>2443</v>
      </c>
      <c r="B2390" t="s">
        <v>30</v>
      </c>
      <c r="C2390">
        <v>89</v>
      </c>
      <c r="D2390">
        <v>3623</v>
      </c>
      <c r="E2390" s="2">
        <v>218.35</v>
      </c>
      <c r="F2390">
        <v>22</v>
      </c>
      <c r="G2390">
        <v>6</v>
      </c>
      <c r="H2390">
        <v>6.7000000000000004E-2</v>
      </c>
      <c r="I2390" s="3">
        <v>1311</v>
      </c>
      <c r="J2390" s="1">
        <v>45597</v>
      </c>
      <c r="K2390" t="s">
        <v>31</v>
      </c>
      <c r="L2390" t="s">
        <v>8</v>
      </c>
      <c r="M2390" t="s">
        <v>32</v>
      </c>
      <c r="N2390" s="1">
        <f t="shared" si="222"/>
        <v>45597</v>
      </c>
      <c r="O2390" s="4">
        <f t="shared" si="223"/>
        <v>2.456527739442451E-2</v>
      </c>
      <c r="P2390">
        <f t="shared" si="224"/>
        <v>2.4533707865168539</v>
      </c>
      <c r="Q2390" s="2">
        <f t="shared" si="225"/>
        <v>9.9249999999999989</v>
      </c>
      <c r="R2390" s="2">
        <f t="shared" si="226"/>
        <v>36.391666666666666</v>
      </c>
      <c r="S2390" s="2">
        <f t="shared" si="227"/>
        <v>6.0041218227616211</v>
      </c>
    </row>
    <row r="2391" spans="1:19" hidden="1">
      <c r="A2391" t="s">
        <v>2444</v>
      </c>
      <c r="B2391" t="s">
        <v>30</v>
      </c>
      <c r="C2391">
        <v>115</v>
      </c>
      <c r="D2391">
        <v>3999</v>
      </c>
      <c r="E2391" s="2">
        <v>216.67</v>
      </c>
      <c r="F2391">
        <v>16</v>
      </c>
      <c r="G2391">
        <v>6</v>
      </c>
      <c r="H2391">
        <v>3.1E-2</v>
      </c>
      <c r="I2391" s="3">
        <v>1777</v>
      </c>
      <c r="J2391" s="1">
        <v>45601</v>
      </c>
      <c r="K2391" t="s">
        <v>31</v>
      </c>
      <c r="L2391" t="s">
        <v>8</v>
      </c>
      <c r="M2391" t="s">
        <v>35</v>
      </c>
      <c r="N2391" s="1">
        <f t="shared" si="222"/>
        <v>45601</v>
      </c>
      <c r="O2391" s="4">
        <f t="shared" si="223"/>
        <v>2.8757189297324331E-2</v>
      </c>
      <c r="P2391">
        <f t="shared" si="224"/>
        <v>1.8840869565217391</v>
      </c>
      <c r="Q2391" s="2">
        <f t="shared" si="225"/>
        <v>13.541874999999999</v>
      </c>
      <c r="R2391" s="2">
        <f t="shared" si="226"/>
        <v>36.111666666666665</v>
      </c>
      <c r="S2391" s="2">
        <f t="shared" si="227"/>
        <v>8.2014122859648317</v>
      </c>
    </row>
    <row r="2392" spans="1:19" hidden="1">
      <c r="A2392" t="s">
        <v>2445</v>
      </c>
      <c r="B2392" t="s">
        <v>30</v>
      </c>
      <c r="C2392">
        <v>131</v>
      </c>
      <c r="D2392">
        <v>4320</v>
      </c>
      <c r="E2392" s="2">
        <v>223.08</v>
      </c>
      <c r="F2392">
        <v>30</v>
      </c>
      <c r="G2392">
        <v>7</v>
      </c>
      <c r="H2392">
        <v>5.8000000000000003E-2</v>
      </c>
      <c r="I2392" s="3">
        <v>1505</v>
      </c>
      <c r="J2392" s="1">
        <v>45600</v>
      </c>
      <c r="K2392" t="s">
        <v>31</v>
      </c>
      <c r="L2392" t="s">
        <v>8</v>
      </c>
      <c r="M2392" t="s">
        <v>46</v>
      </c>
      <c r="N2392" s="1">
        <f t="shared" si="222"/>
        <v>45600</v>
      </c>
      <c r="O2392" s="4">
        <f t="shared" si="223"/>
        <v>3.0324074074074073E-2</v>
      </c>
      <c r="P2392">
        <f t="shared" si="224"/>
        <v>1.7029007633587787</v>
      </c>
      <c r="Q2392" s="2">
        <f t="shared" si="225"/>
        <v>7.4360000000000008</v>
      </c>
      <c r="R2392" s="2">
        <f t="shared" si="226"/>
        <v>31.868571428571432</v>
      </c>
      <c r="S2392" s="2">
        <f t="shared" si="227"/>
        <v>6.7464586695355919</v>
      </c>
    </row>
    <row r="2393" spans="1:19" hidden="1">
      <c r="A2393" t="s">
        <v>2446</v>
      </c>
      <c r="B2393" t="s">
        <v>30</v>
      </c>
      <c r="C2393">
        <v>153</v>
      </c>
      <c r="D2393">
        <v>4027</v>
      </c>
      <c r="E2393" s="2">
        <v>182.11</v>
      </c>
      <c r="F2393">
        <v>10</v>
      </c>
      <c r="G2393">
        <v>5</v>
      </c>
      <c r="H2393">
        <v>3.3000000000000002E-2</v>
      </c>
      <c r="I2393" s="3">
        <v>1332</v>
      </c>
      <c r="J2393" s="1">
        <v>45624</v>
      </c>
      <c r="K2393" t="s">
        <v>31</v>
      </c>
      <c r="L2393" t="s">
        <v>9</v>
      </c>
      <c r="M2393" t="s">
        <v>32</v>
      </c>
      <c r="N2393" s="1">
        <f t="shared" si="222"/>
        <v>45624</v>
      </c>
      <c r="O2393" s="4">
        <f t="shared" si="223"/>
        <v>3.7993543580829403E-2</v>
      </c>
      <c r="P2393">
        <f t="shared" si="224"/>
        <v>1.1902614379084968</v>
      </c>
      <c r="Q2393" s="2">
        <f t="shared" si="225"/>
        <v>18.211000000000002</v>
      </c>
      <c r="R2393" s="2">
        <f t="shared" si="226"/>
        <v>36.422000000000004</v>
      </c>
      <c r="S2393" s="2">
        <f t="shared" si="227"/>
        <v>7.3142606117181916</v>
      </c>
    </row>
    <row r="2394" spans="1:19">
      <c r="A2394" t="s">
        <v>2447</v>
      </c>
      <c r="B2394" t="s">
        <v>30</v>
      </c>
      <c r="C2394">
        <v>108</v>
      </c>
      <c r="D2394">
        <v>4518.5</v>
      </c>
      <c r="E2394" s="2">
        <v>208.9</v>
      </c>
      <c r="F2394">
        <v>10</v>
      </c>
      <c r="G2394">
        <v>7</v>
      </c>
      <c r="H2394">
        <v>4.5999999999999999E-2</v>
      </c>
      <c r="I2394" s="3">
        <v>1313</v>
      </c>
      <c r="J2394" s="1">
        <v>45625</v>
      </c>
      <c r="K2394" t="s">
        <v>31</v>
      </c>
      <c r="L2394" t="s">
        <v>7</v>
      </c>
      <c r="M2394" t="s">
        <v>32</v>
      </c>
      <c r="N2394" s="1">
        <f t="shared" si="222"/>
        <v>45625</v>
      </c>
      <c r="O2394" s="4">
        <f t="shared" si="223"/>
        <v>2.3901737302202058E-2</v>
      </c>
      <c r="P2394">
        <f t="shared" si="224"/>
        <v>1.9342592592592593</v>
      </c>
      <c r="Q2394" s="2">
        <f t="shared" si="225"/>
        <v>20.89</v>
      </c>
      <c r="R2394" s="2">
        <f t="shared" si="226"/>
        <v>29.842857142857145</v>
      </c>
      <c r="S2394" s="2">
        <f t="shared" si="227"/>
        <v>6.2853039731929154</v>
      </c>
    </row>
    <row r="2395" spans="1:19" hidden="1">
      <c r="A2395" t="s">
        <v>2448</v>
      </c>
      <c r="B2395" t="s">
        <v>30</v>
      </c>
      <c r="C2395">
        <v>172</v>
      </c>
      <c r="D2395">
        <v>5712</v>
      </c>
      <c r="E2395" s="2">
        <v>204.06</v>
      </c>
      <c r="F2395">
        <v>28</v>
      </c>
      <c r="G2395">
        <v>7</v>
      </c>
      <c r="H2395">
        <v>3.4000000000000002E-2</v>
      </c>
      <c r="I2395" s="3">
        <v>1407</v>
      </c>
      <c r="J2395" s="1" t="s">
        <v>94</v>
      </c>
      <c r="K2395" t="s">
        <v>31</v>
      </c>
      <c r="L2395" t="s">
        <v>9</v>
      </c>
      <c r="M2395" t="s">
        <v>46</v>
      </c>
      <c r="N2395" s="1">
        <f t="shared" si="222"/>
        <v>45617</v>
      </c>
      <c r="O2395" s="4">
        <f t="shared" si="223"/>
        <v>3.0112044817927171E-2</v>
      </c>
      <c r="P2395">
        <f t="shared" si="224"/>
        <v>1.1863953488372092</v>
      </c>
      <c r="Q2395" s="2">
        <f t="shared" si="225"/>
        <v>7.2878571428571428</v>
      </c>
      <c r="R2395" s="2">
        <f t="shared" si="226"/>
        <v>29.151428571428571</v>
      </c>
      <c r="S2395" s="2">
        <f t="shared" si="227"/>
        <v>6.8950308732725665</v>
      </c>
    </row>
    <row r="2396" spans="1:19" hidden="1">
      <c r="A2396" t="s">
        <v>2449</v>
      </c>
      <c r="B2396" t="s">
        <v>30</v>
      </c>
      <c r="C2396">
        <v>118</v>
      </c>
      <c r="D2396">
        <v>5514</v>
      </c>
      <c r="E2396" s="2">
        <v>237.88</v>
      </c>
      <c r="F2396">
        <v>27</v>
      </c>
      <c r="G2396">
        <v>9</v>
      </c>
      <c r="H2396">
        <v>7.5999999999999998E-2</v>
      </c>
      <c r="I2396" s="3">
        <v>1401</v>
      </c>
      <c r="J2396" s="1" t="s">
        <v>115</v>
      </c>
      <c r="K2396" t="s">
        <v>31</v>
      </c>
      <c r="L2396" t="s">
        <v>8</v>
      </c>
      <c r="M2396" t="s">
        <v>46</v>
      </c>
      <c r="N2396" s="1">
        <f t="shared" si="222"/>
        <v>45623</v>
      </c>
      <c r="O2396" s="4">
        <f t="shared" si="223"/>
        <v>2.1400072542618789E-2</v>
      </c>
      <c r="P2396">
        <f t="shared" si="224"/>
        <v>2.0159322033898306</v>
      </c>
      <c r="Q2396" s="2">
        <f t="shared" si="225"/>
        <v>8.8103703703703697</v>
      </c>
      <c r="R2396" s="2">
        <f t="shared" si="226"/>
        <v>26.431111111111111</v>
      </c>
      <c r="S2396" s="2">
        <f t="shared" si="227"/>
        <v>5.8895241298133509</v>
      </c>
    </row>
    <row r="2397" spans="1:19" hidden="1">
      <c r="A2397" t="s">
        <v>2450</v>
      </c>
      <c r="B2397" t="s">
        <v>30</v>
      </c>
      <c r="C2397">
        <v>90</v>
      </c>
      <c r="D2397">
        <v>3776</v>
      </c>
      <c r="E2397" s="2">
        <v>186.92</v>
      </c>
      <c r="F2397">
        <v>19</v>
      </c>
      <c r="G2397">
        <v>4</v>
      </c>
      <c r="H2397">
        <v>0.04</v>
      </c>
      <c r="I2397" s="3">
        <v>1053</v>
      </c>
      <c r="J2397" s="1" t="s">
        <v>89</v>
      </c>
      <c r="K2397" t="s">
        <v>31</v>
      </c>
      <c r="L2397" t="s">
        <v>9</v>
      </c>
      <c r="M2397" t="s">
        <v>32</v>
      </c>
      <c r="N2397" s="1">
        <f t="shared" si="222"/>
        <v>45611</v>
      </c>
      <c r="O2397" s="4">
        <f t="shared" si="223"/>
        <v>2.3834745762711863E-2</v>
      </c>
      <c r="P2397">
        <f t="shared" si="224"/>
        <v>2.0768888888888886</v>
      </c>
      <c r="Q2397" s="2">
        <f t="shared" si="225"/>
        <v>9.8378947368421041</v>
      </c>
      <c r="R2397" s="2">
        <f t="shared" si="226"/>
        <v>46.73</v>
      </c>
      <c r="S2397" s="2">
        <f t="shared" si="227"/>
        <v>5.6334260646265788</v>
      </c>
    </row>
    <row r="2398" spans="1:19" hidden="1">
      <c r="A2398" t="s">
        <v>2451</v>
      </c>
      <c r="B2398" t="s">
        <v>30</v>
      </c>
      <c r="C2398">
        <v>97</v>
      </c>
      <c r="D2398">
        <v>3370</v>
      </c>
      <c r="E2398" s="2">
        <v>236.35</v>
      </c>
      <c r="F2398">
        <v>20</v>
      </c>
      <c r="G2398">
        <v>7</v>
      </c>
      <c r="H2398">
        <v>7.1999999999999995E-2</v>
      </c>
      <c r="I2398" s="3">
        <v>1505</v>
      </c>
      <c r="J2398" s="1">
        <v>45600</v>
      </c>
      <c r="K2398" t="s">
        <v>31</v>
      </c>
      <c r="L2398" t="s">
        <v>8</v>
      </c>
      <c r="M2398" t="s">
        <v>35</v>
      </c>
      <c r="N2398" s="1">
        <f t="shared" si="222"/>
        <v>45600</v>
      </c>
      <c r="O2398" s="4">
        <f t="shared" si="223"/>
        <v>2.8783382789317507E-2</v>
      </c>
      <c r="P2398">
        <f t="shared" si="224"/>
        <v>2.4365979381443297</v>
      </c>
      <c r="Q2398" s="2">
        <f t="shared" si="225"/>
        <v>11.817499999999999</v>
      </c>
      <c r="R2398" s="2">
        <f t="shared" si="226"/>
        <v>33.764285714285712</v>
      </c>
      <c r="S2398" s="2">
        <f t="shared" si="227"/>
        <v>6.3676750581764336</v>
      </c>
    </row>
    <row r="2399" spans="1:19" hidden="1">
      <c r="A2399" t="s">
        <v>2452</v>
      </c>
      <c r="B2399" t="s">
        <v>30</v>
      </c>
      <c r="C2399">
        <v>149</v>
      </c>
      <c r="D2399">
        <v>3814</v>
      </c>
      <c r="E2399" s="2">
        <v>213.11</v>
      </c>
      <c r="F2399">
        <v>13</v>
      </c>
      <c r="G2399">
        <v>7</v>
      </c>
      <c r="H2399">
        <v>4.7E-2</v>
      </c>
      <c r="I2399" s="3">
        <v>1057</v>
      </c>
      <c r="J2399" s="1">
        <v>45602</v>
      </c>
      <c r="K2399" t="s">
        <v>31</v>
      </c>
      <c r="L2399" t="s">
        <v>8</v>
      </c>
      <c r="M2399" t="s">
        <v>46</v>
      </c>
      <c r="N2399" s="1">
        <f t="shared" si="222"/>
        <v>45602</v>
      </c>
      <c r="O2399" s="4">
        <f t="shared" si="223"/>
        <v>3.9066596748820133E-2</v>
      </c>
      <c r="P2399">
        <f t="shared" si="224"/>
        <v>1.430268456375839</v>
      </c>
      <c r="Q2399" s="2">
        <f t="shared" si="225"/>
        <v>16.393076923076926</v>
      </c>
      <c r="R2399" s="2">
        <f t="shared" si="226"/>
        <v>30.444285714285716</v>
      </c>
      <c r="S2399" s="2">
        <f t="shared" si="227"/>
        <v>4.9598798742433479</v>
      </c>
    </row>
    <row r="2400" spans="1:19" hidden="1">
      <c r="A2400" t="s">
        <v>2453</v>
      </c>
      <c r="B2400" t="s">
        <v>30</v>
      </c>
      <c r="C2400">
        <v>137</v>
      </c>
      <c r="D2400">
        <v>5434</v>
      </c>
      <c r="E2400" s="2">
        <v>182.57</v>
      </c>
      <c r="F2400">
        <v>10</v>
      </c>
      <c r="G2400">
        <v>7</v>
      </c>
      <c r="H2400">
        <v>5.0999999999999997E-2</v>
      </c>
      <c r="I2400" s="3">
        <v>1852</v>
      </c>
      <c r="J2400" s="1">
        <v>45625</v>
      </c>
      <c r="K2400" t="s">
        <v>31</v>
      </c>
      <c r="L2400" t="s">
        <v>7</v>
      </c>
      <c r="M2400" t="s">
        <v>41</v>
      </c>
      <c r="N2400" s="1">
        <f t="shared" si="222"/>
        <v>45625</v>
      </c>
      <c r="O2400" s="4">
        <f t="shared" si="223"/>
        <v>2.5211630474788371E-2</v>
      </c>
      <c r="P2400">
        <f t="shared" si="224"/>
        <v>1.3326277372262774</v>
      </c>
      <c r="Q2400" s="2">
        <f t="shared" si="225"/>
        <v>18.256999999999998</v>
      </c>
      <c r="R2400" s="2">
        <f t="shared" si="226"/>
        <v>26.081428571428571</v>
      </c>
      <c r="S2400" s="2">
        <f t="shared" si="227"/>
        <v>10.144054335323437</v>
      </c>
    </row>
    <row r="2401" spans="1:19" hidden="1">
      <c r="A2401" t="s">
        <v>2454</v>
      </c>
      <c r="B2401" t="s">
        <v>30</v>
      </c>
      <c r="C2401">
        <v>172</v>
      </c>
      <c r="D2401">
        <v>4079</v>
      </c>
      <c r="E2401" s="2">
        <v>183.05</v>
      </c>
      <c r="F2401">
        <v>20</v>
      </c>
      <c r="G2401">
        <v>8</v>
      </c>
      <c r="H2401">
        <v>4.7E-2</v>
      </c>
      <c r="I2401" s="3">
        <v>1988</v>
      </c>
      <c r="J2401" s="1">
        <v>45624</v>
      </c>
      <c r="K2401" t="s">
        <v>31</v>
      </c>
      <c r="L2401" t="s">
        <v>7</v>
      </c>
      <c r="M2401" t="s">
        <v>35</v>
      </c>
      <c r="N2401" s="1">
        <f t="shared" si="222"/>
        <v>45624</v>
      </c>
      <c r="O2401" s="4">
        <f t="shared" si="223"/>
        <v>4.216719784260848E-2</v>
      </c>
      <c r="P2401">
        <f t="shared" si="224"/>
        <v>1.0642441860465117</v>
      </c>
      <c r="Q2401" s="2">
        <f t="shared" si="225"/>
        <v>9.1524999999999999</v>
      </c>
      <c r="R2401" s="2">
        <f t="shared" si="226"/>
        <v>22.881250000000001</v>
      </c>
      <c r="S2401" s="2">
        <f t="shared" si="227"/>
        <v>10.860420650095602</v>
      </c>
    </row>
    <row r="2402" spans="1:19" hidden="1">
      <c r="A2402" t="s">
        <v>2455</v>
      </c>
      <c r="B2402" t="s">
        <v>30</v>
      </c>
      <c r="C2402">
        <v>116</v>
      </c>
      <c r="D2402">
        <v>4252</v>
      </c>
      <c r="E2402" s="2">
        <v>180.05</v>
      </c>
      <c r="F2402">
        <v>18</v>
      </c>
      <c r="G2402">
        <v>8</v>
      </c>
      <c r="H2402">
        <v>6.9000000000000006E-2</v>
      </c>
      <c r="I2402" s="3">
        <v>1568</v>
      </c>
      <c r="J2402" s="1" t="s">
        <v>132</v>
      </c>
      <c r="K2402" t="s">
        <v>31</v>
      </c>
      <c r="L2402" t="s">
        <v>7</v>
      </c>
      <c r="M2402" t="s">
        <v>41</v>
      </c>
      <c r="N2402" s="1">
        <f t="shared" si="222"/>
        <v>45613</v>
      </c>
      <c r="O2402" s="4">
        <f t="shared" si="223"/>
        <v>2.7281279397930385E-2</v>
      </c>
      <c r="P2402">
        <f t="shared" si="224"/>
        <v>1.5521551724137932</v>
      </c>
      <c r="Q2402" s="2">
        <f t="shared" si="225"/>
        <v>10.002777777777778</v>
      </c>
      <c r="R2402" s="2">
        <f t="shared" si="226"/>
        <v>22.506250000000001</v>
      </c>
      <c r="S2402" s="2">
        <f t="shared" si="227"/>
        <v>8.7086920299916688</v>
      </c>
    </row>
    <row r="2403" spans="1:19">
      <c r="A2403" t="s">
        <v>2456</v>
      </c>
      <c r="B2403" t="s">
        <v>30</v>
      </c>
      <c r="C2403">
        <v>187</v>
      </c>
      <c r="D2403">
        <v>4793</v>
      </c>
      <c r="E2403" s="2">
        <v>186.41</v>
      </c>
      <c r="F2403">
        <v>30</v>
      </c>
      <c r="G2403">
        <v>9</v>
      </c>
      <c r="H2403">
        <v>4.5999999999999999E-2</v>
      </c>
      <c r="I2403" s="3">
        <v>1120</v>
      </c>
      <c r="J2403" s="1">
        <v>45599</v>
      </c>
      <c r="K2403" t="s">
        <v>31</v>
      </c>
      <c r="L2403" t="s">
        <v>7</v>
      </c>
      <c r="M2403" t="s">
        <v>35</v>
      </c>
      <c r="N2403" s="1">
        <f t="shared" si="222"/>
        <v>45599</v>
      </c>
      <c r="O2403" s="4">
        <f t="shared" si="223"/>
        <v>3.901523054454413E-2</v>
      </c>
      <c r="P2403">
        <f t="shared" si="224"/>
        <v>0.99684491978609624</v>
      </c>
      <c r="Q2403" s="2">
        <f t="shared" si="225"/>
        <v>6.2136666666666667</v>
      </c>
      <c r="R2403" s="2">
        <f t="shared" si="226"/>
        <v>20.712222222222223</v>
      </c>
      <c r="S2403" s="2">
        <f t="shared" si="227"/>
        <v>6.0082613593691327</v>
      </c>
    </row>
    <row r="2404" spans="1:19">
      <c r="A2404" t="s">
        <v>2457</v>
      </c>
      <c r="B2404" t="s">
        <v>30</v>
      </c>
      <c r="C2404">
        <v>126</v>
      </c>
      <c r="D2404">
        <v>4140</v>
      </c>
      <c r="E2404" s="2">
        <v>193.49</v>
      </c>
      <c r="F2404">
        <v>19</v>
      </c>
      <c r="G2404">
        <v>7</v>
      </c>
      <c r="H2404">
        <v>4.5999999999999999E-2</v>
      </c>
      <c r="I2404" s="3">
        <v>1340</v>
      </c>
      <c r="J2404" s="1" t="s">
        <v>348</v>
      </c>
      <c r="K2404" t="s">
        <v>31</v>
      </c>
      <c r="L2404" t="s">
        <v>9</v>
      </c>
      <c r="M2404" t="s">
        <v>35</v>
      </c>
      <c r="N2404" s="1">
        <f t="shared" si="222"/>
        <v>45615</v>
      </c>
      <c r="O2404" s="4">
        <f t="shared" si="223"/>
        <v>3.0434782608695653E-2</v>
      </c>
      <c r="P2404">
        <f t="shared" si="224"/>
        <v>1.5356349206349207</v>
      </c>
      <c r="Q2404" s="2">
        <f t="shared" si="225"/>
        <v>10.183684210526316</v>
      </c>
      <c r="R2404" s="2">
        <f t="shared" si="226"/>
        <v>27.641428571428573</v>
      </c>
      <c r="S2404" s="2">
        <f t="shared" si="227"/>
        <v>6.9254225024549072</v>
      </c>
    </row>
    <row r="2405" spans="1:19">
      <c r="A2405" t="s">
        <v>2458</v>
      </c>
      <c r="B2405" t="s">
        <v>30</v>
      </c>
      <c r="C2405">
        <v>123</v>
      </c>
      <c r="D2405">
        <v>5844</v>
      </c>
      <c r="E2405" s="2">
        <v>201.7</v>
      </c>
      <c r="F2405">
        <v>12</v>
      </c>
      <c r="G2405">
        <v>6</v>
      </c>
      <c r="H2405">
        <v>4.5999999999999999E-2</v>
      </c>
      <c r="I2405" s="3">
        <v>1636</v>
      </c>
      <c r="J2405" s="1">
        <v>45576</v>
      </c>
      <c r="K2405" t="s">
        <v>31</v>
      </c>
      <c r="L2405" t="s">
        <v>7</v>
      </c>
      <c r="M2405" t="s">
        <v>37</v>
      </c>
      <c r="N2405" s="1">
        <f t="shared" si="222"/>
        <v>45576</v>
      </c>
      <c r="O2405" s="4">
        <f t="shared" si="223"/>
        <v>2.1047227926078028E-2</v>
      </c>
      <c r="P2405">
        <f t="shared" si="224"/>
        <v>1.6398373983739836</v>
      </c>
      <c r="Q2405" s="2">
        <f t="shared" si="225"/>
        <v>16.808333333333334</v>
      </c>
      <c r="R2405" s="2">
        <f t="shared" si="226"/>
        <v>33.616666666666667</v>
      </c>
      <c r="S2405" s="2">
        <f t="shared" si="227"/>
        <v>8.1110560237977207</v>
      </c>
    </row>
    <row r="2406" spans="1:19" hidden="1">
      <c r="A2406" t="s">
        <v>2459</v>
      </c>
      <c r="B2406" t="s">
        <v>30</v>
      </c>
      <c r="C2406">
        <v>132</v>
      </c>
      <c r="D2406">
        <v>5845</v>
      </c>
      <c r="E2406" s="2">
        <v>249.74</v>
      </c>
      <c r="F2406">
        <v>19</v>
      </c>
      <c r="G2406">
        <v>7</v>
      </c>
      <c r="H2406">
        <v>0.05</v>
      </c>
      <c r="I2406" s="3">
        <v>1067</v>
      </c>
      <c r="J2406" s="1">
        <v>45362</v>
      </c>
      <c r="K2406" t="s">
        <v>31</v>
      </c>
      <c r="L2406" t="s">
        <v>8</v>
      </c>
      <c r="M2406" t="s">
        <v>46</v>
      </c>
      <c r="N2406" s="1">
        <f t="shared" si="222"/>
        <v>45362</v>
      </c>
      <c r="O2406" s="4">
        <f t="shared" si="223"/>
        <v>2.2583404619332764E-2</v>
      </c>
      <c r="P2406">
        <f t="shared" si="224"/>
        <v>1.8919696969696971</v>
      </c>
      <c r="Q2406" s="2">
        <f t="shared" si="225"/>
        <v>13.14421052631579</v>
      </c>
      <c r="R2406" s="2">
        <f t="shared" si="226"/>
        <v>35.677142857142861</v>
      </c>
      <c r="S2406" s="2">
        <f t="shared" si="227"/>
        <v>4.2724433410747178</v>
      </c>
    </row>
    <row r="2407" spans="1:19">
      <c r="A2407" t="s">
        <v>2460</v>
      </c>
      <c r="B2407" t="s">
        <v>30</v>
      </c>
      <c r="C2407">
        <v>118</v>
      </c>
      <c r="D2407">
        <v>3371</v>
      </c>
      <c r="E2407" s="2">
        <v>191.98</v>
      </c>
      <c r="F2407">
        <v>10</v>
      </c>
      <c r="G2407">
        <v>6</v>
      </c>
      <c r="H2407">
        <v>4.5999999999999999E-2</v>
      </c>
      <c r="I2407" s="3">
        <v>1458</v>
      </c>
      <c r="J2407" s="1" t="s">
        <v>217</v>
      </c>
      <c r="K2407" t="s">
        <v>31</v>
      </c>
      <c r="L2407" t="s">
        <v>8</v>
      </c>
      <c r="M2407" t="s">
        <v>32</v>
      </c>
      <c r="N2407" s="1">
        <f t="shared" si="222"/>
        <v>45609</v>
      </c>
      <c r="O2407" s="4">
        <f t="shared" si="223"/>
        <v>3.5004449718184512E-2</v>
      </c>
      <c r="P2407">
        <f t="shared" si="224"/>
        <v>1.6269491525423727</v>
      </c>
      <c r="Q2407" s="2">
        <f t="shared" si="225"/>
        <v>19.198</v>
      </c>
      <c r="R2407" s="2">
        <f t="shared" si="226"/>
        <v>31.996666666666666</v>
      </c>
      <c r="S2407" s="2">
        <f t="shared" si="227"/>
        <v>7.594541098031045</v>
      </c>
    </row>
    <row r="2408" spans="1:19">
      <c r="A2408" t="s">
        <v>2461</v>
      </c>
      <c r="B2408" t="s">
        <v>30</v>
      </c>
      <c r="C2408">
        <v>92</v>
      </c>
      <c r="D2408">
        <v>4853</v>
      </c>
      <c r="E2408" s="2">
        <v>189.19</v>
      </c>
      <c r="F2408">
        <v>23</v>
      </c>
      <c r="G2408">
        <v>9</v>
      </c>
      <c r="H2408">
        <v>4.5999999999999999E-2</v>
      </c>
      <c r="I2408" s="3">
        <v>1189</v>
      </c>
      <c r="J2408" s="1" t="s">
        <v>105</v>
      </c>
      <c r="K2408" t="s">
        <v>31</v>
      </c>
      <c r="L2408" t="s">
        <v>7</v>
      </c>
      <c r="M2408" t="s">
        <v>41</v>
      </c>
      <c r="N2408" s="1">
        <f t="shared" si="222"/>
        <v>45614</v>
      </c>
      <c r="O2408" s="4">
        <f t="shared" si="223"/>
        <v>1.8957345971563982E-2</v>
      </c>
      <c r="P2408">
        <f t="shared" si="224"/>
        <v>2.056413043478261</v>
      </c>
      <c r="Q2408" s="2">
        <f t="shared" si="225"/>
        <v>8.2256521739130442</v>
      </c>
      <c r="R2408" s="2">
        <f t="shared" si="226"/>
        <v>21.021111111111111</v>
      </c>
      <c r="S2408" s="2">
        <f t="shared" si="227"/>
        <v>6.2846873513399233</v>
      </c>
    </row>
    <row r="2409" spans="1:19" hidden="1">
      <c r="A2409" t="s">
        <v>2462</v>
      </c>
      <c r="B2409" t="s">
        <v>30</v>
      </c>
      <c r="C2409">
        <v>100</v>
      </c>
      <c r="D2409">
        <v>5781</v>
      </c>
      <c r="E2409" s="2">
        <v>202.96</v>
      </c>
      <c r="F2409">
        <v>30</v>
      </c>
      <c r="G2409">
        <v>7</v>
      </c>
      <c r="H2409">
        <v>7.0000000000000007E-2</v>
      </c>
      <c r="I2409" s="3">
        <v>1132</v>
      </c>
      <c r="J2409" s="1">
        <v>45614</v>
      </c>
      <c r="K2409" t="s">
        <v>31</v>
      </c>
      <c r="L2409" t="s">
        <v>7</v>
      </c>
      <c r="M2409" t="s">
        <v>39</v>
      </c>
      <c r="N2409" s="1">
        <f t="shared" si="222"/>
        <v>45614</v>
      </c>
      <c r="O2409" s="4">
        <f t="shared" si="223"/>
        <v>1.7298045320878742E-2</v>
      </c>
      <c r="P2409">
        <f t="shared" si="224"/>
        <v>2.0296000000000003</v>
      </c>
      <c r="Q2409" s="2">
        <f t="shared" si="225"/>
        <v>6.7653333333333334</v>
      </c>
      <c r="R2409" s="2">
        <f t="shared" si="226"/>
        <v>28.994285714285716</v>
      </c>
      <c r="S2409" s="2">
        <f t="shared" si="227"/>
        <v>5.5774536854552617</v>
      </c>
    </row>
    <row r="2410" spans="1:19" hidden="1">
      <c r="A2410" t="s">
        <v>2463</v>
      </c>
      <c r="B2410" t="s">
        <v>30</v>
      </c>
      <c r="C2410">
        <v>100</v>
      </c>
      <c r="D2410">
        <v>5435</v>
      </c>
      <c r="E2410" s="2">
        <v>205.99</v>
      </c>
      <c r="F2410">
        <v>13</v>
      </c>
      <c r="G2410">
        <v>6</v>
      </c>
      <c r="H2410">
        <v>3.1E-2</v>
      </c>
      <c r="I2410" s="3">
        <v>1607</v>
      </c>
      <c r="J2410" s="1">
        <v>45623</v>
      </c>
      <c r="K2410" t="s">
        <v>31</v>
      </c>
      <c r="L2410" t="s">
        <v>9</v>
      </c>
      <c r="M2410" t="s">
        <v>46</v>
      </c>
      <c r="N2410" s="1">
        <f t="shared" si="222"/>
        <v>45623</v>
      </c>
      <c r="O2410" s="4">
        <f t="shared" si="223"/>
        <v>1.8399264029438821E-2</v>
      </c>
      <c r="P2410">
        <f t="shared" si="224"/>
        <v>2.0599000000000003</v>
      </c>
      <c r="Q2410" s="2">
        <f t="shared" si="225"/>
        <v>15.845384615384615</v>
      </c>
      <c r="R2410" s="2">
        <f t="shared" si="226"/>
        <v>34.331666666666671</v>
      </c>
      <c r="S2410" s="2">
        <f t="shared" si="227"/>
        <v>7.8013495800767023</v>
      </c>
    </row>
    <row r="2411" spans="1:19">
      <c r="A2411" t="s">
        <v>2464</v>
      </c>
      <c r="B2411" t="s">
        <v>30</v>
      </c>
      <c r="C2411">
        <v>89</v>
      </c>
      <c r="D2411">
        <v>3915</v>
      </c>
      <c r="E2411" s="2">
        <v>207.63</v>
      </c>
      <c r="F2411">
        <v>10</v>
      </c>
      <c r="G2411">
        <v>7</v>
      </c>
      <c r="H2411">
        <v>4.5999999999999999E-2</v>
      </c>
      <c r="I2411" s="3">
        <v>1454</v>
      </c>
      <c r="J2411" s="1">
        <v>45598</v>
      </c>
      <c r="K2411" t="s">
        <v>31</v>
      </c>
      <c r="L2411" t="s">
        <v>7</v>
      </c>
      <c r="M2411" t="s">
        <v>35</v>
      </c>
      <c r="N2411" s="1">
        <f t="shared" si="222"/>
        <v>45598</v>
      </c>
      <c r="O2411" s="4">
        <f t="shared" si="223"/>
        <v>2.27330779054917E-2</v>
      </c>
      <c r="P2411">
        <f t="shared" si="224"/>
        <v>2.3329213483146067</v>
      </c>
      <c r="Q2411" s="2">
        <f t="shared" si="225"/>
        <v>20.762999999999998</v>
      </c>
      <c r="R2411" s="2">
        <f t="shared" si="226"/>
        <v>29.661428571428569</v>
      </c>
      <c r="S2411" s="2">
        <f t="shared" si="227"/>
        <v>7.0028415932187063</v>
      </c>
    </row>
    <row r="2412" spans="1:19">
      <c r="A2412" t="s">
        <v>2465</v>
      </c>
      <c r="B2412" t="s">
        <v>30</v>
      </c>
      <c r="C2412">
        <v>147</v>
      </c>
      <c r="D2412">
        <v>4231</v>
      </c>
      <c r="E2412" s="2">
        <v>186.73</v>
      </c>
      <c r="F2412">
        <v>20</v>
      </c>
      <c r="G2412">
        <v>5</v>
      </c>
      <c r="H2412">
        <v>4.5999999999999999E-2</v>
      </c>
      <c r="I2412" s="3">
        <v>1271</v>
      </c>
      <c r="J2412" s="1">
        <v>45611</v>
      </c>
      <c r="K2412" t="s">
        <v>31</v>
      </c>
      <c r="L2412" t="s">
        <v>7</v>
      </c>
      <c r="M2412" t="s">
        <v>32</v>
      </c>
      <c r="N2412" s="1">
        <f t="shared" si="222"/>
        <v>45611</v>
      </c>
      <c r="O2412" s="4">
        <f t="shared" si="223"/>
        <v>3.4743559442212246E-2</v>
      </c>
      <c r="P2412">
        <f t="shared" si="224"/>
        <v>1.2702721088435374</v>
      </c>
      <c r="Q2412" s="2">
        <f t="shared" si="225"/>
        <v>9.3364999999999991</v>
      </c>
      <c r="R2412" s="2">
        <f t="shared" si="226"/>
        <v>37.345999999999997</v>
      </c>
      <c r="S2412" s="2">
        <f t="shared" si="227"/>
        <v>6.806619182777272</v>
      </c>
    </row>
    <row r="2413" spans="1:19" hidden="1">
      <c r="A2413" t="s">
        <v>2466</v>
      </c>
      <c r="B2413" t="s">
        <v>30</v>
      </c>
      <c r="C2413">
        <v>153</v>
      </c>
      <c r="D2413">
        <v>3225</v>
      </c>
      <c r="E2413" s="2">
        <v>240.34</v>
      </c>
      <c r="F2413">
        <v>20</v>
      </c>
      <c r="G2413">
        <v>8</v>
      </c>
      <c r="H2413">
        <v>5.1999999999999998E-2</v>
      </c>
      <c r="I2413" s="3">
        <v>1313</v>
      </c>
      <c r="J2413" s="1">
        <v>45624</v>
      </c>
      <c r="K2413" t="s">
        <v>31</v>
      </c>
      <c r="L2413" t="s">
        <v>9</v>
      </c>
      <c r="M2413" t="s">
        <v>37</v>
      </c>
      <c r="N2413" s="1">
        <f t="shared" si="222"/>
        <v>45624</v>
      </c>
      <c r="O2413" s="4">
        <f t="shared" si="223"/>
        <v>4.7441860465116281E-2</v>
      </c>
      <c r="P2413">
        <f t="shared" si="224"/>
        <v>1.5708496732026145</v>
      </c>
      <c r="Q2413" s="2">
        <f t="shared" si="225"/>
        <v>12.016999999999999</v>
      </c>
      <c r="R2413" s="2">
        <f t="shared" si="226"/>
        <v>30.0425</v>
      </c>
      <c r="S2413" s="2">
        <f t="shared" si="227"/>
        <v>5.4630939502371643</v>
      </c>
    </row>
    <row r="2414" spans="1:19" hidden="1">
      <c r="A2414" t="s">
        <v>2467</v>
      </c>
      <c r="B2414" t="s">
        <v>30</v>
      </c>
      <c r="C2414">
        <v>164</v>
      </c>
      <c r="D2414">
        <v>3996</v>
      </c>
      <c r="E2414" s="2">
        <v>202.56</v>
      </c>
      <c r="F2414">
        <v>19</v>
      </c>
      <c r="G2414">
        <v>10</v>
      </c>
      <c r="H2414">
        <v>6.0999999999999999E-2</v>
      </c>
      <c r="I2414" s="3">
        <v>1880</v>
      </c>
      <c r="J2414" s="1" t="s">
        <v>86</v>
      </c>
      <c r="K2414" t="s">
        <v>31</v>
      </c>
      <c r="L2414" t="s">
        <v>7</v>
      </c>
      <c r="M2414" t="s">
        <v>37</v>
      </c>
      <c r="N2414" s="1">
        <f t="shared" si="222"/>
        <v>45625</v>
      </c>
      <c r="O2414" s="4">
        <f t="shared" si="223"/>
        <v>4.1041041041041039E-2</v>
      </c>
      <c r="P2414">
        <f t="shared" si="224"/>
        <v>1.2351219512195122</v>
      </c>
      <c r="Q2414" s="2">
        <f t="shared" si="225"/>
        <v>10.661052631578947</v>
      </c>
      <c r="R2414" s="2">
        <f t="shared" si="226"/>
        <v>20.256</v>
      </c>
      <c r="S2414" s="2">
        <f t="shared" si="227"/>
        <v>9.281200631911533</v>
      </c>
    </row>
    <row r="2415" spans="1:19">
      <c r="A2415" t="s">
        <v>2468</v>
      </c>
      <c r="B2415" t="s">
        <v>30</v>
      </c>
      <c r="C2415">
        <v>124</v>
      </c>
      <c r="D2415">
        <v>5949</v>
      </c>
      <c r="E2415" s="2">
        <v>218.12</v>
      </c>
      <c r="F2415">
        <v>11</v>
      </c>
      <c r="G2415">
        <v>10</v>
      </c>
      <c r="H2415">
        <v>4.5999999999999999E-2</v>
      </c>
      <c r="I2415" s="3">
        <v>1019</v>
      </c>
      <c r="J2415" s="1">
        <v>45454</v>
      </c>
      <c r="K2415" t="s">
        <v>31</v>
      </c>
      <c r="L2415" t="s">
        <v>8</v>
      </c>
      <c r="M2415" t="s">
        <v>41</v>
      </c>
      <c r="N2415" s="1">
        <f t="shared" si="222"/>
        <v>45454</v>
      </c>
      <c r="O2415" s="4">
        <f t="shared" si="223"/>
        <v>2.0843839300722811E-2</v>
      </c>
      <c r="P2415">
        <f t="shared" si="224"/>
        <v>1.7590322580645161</v>
      </c>
      <c r="Q2415" s="2">
        <f t="shared" si="225"/>
        <v>19.829090909090908</v>
      </c>
      <c r="R2415" s="2">
        <f t="shared" si="226"/>
        <v>21.812000000000001</v>
      </c>
      <c r="S2415" s="2">
        <f t="shared" si="227"/>
        <v>4.6717403264258204</v>
      </c>
    </row>
    <row r="2416" spans="1:19">
      <c r="A2416" t="s">
        <v>2469</v>
      </c>
      <c r="B2416" t="s">
        <v>30</v>
      </c>
      <c r="C2416">
        <v>189</v>
      </c>
      <c r="D2416">
        <v>5740</v>
      </c>
      <c r="E2416" s="2">
        <v>231.73</v>
      </c>
      <c r="F2416">
        <v>28</v>
      </c>
      <c r="G2416">
        <v>5</v>
      </c>
      <c r="H2416">
        <v>4.5999999999999999E-2</v>
      </c>
      <c r="I2416" s="3">
        <v>1306</v>
      </c>
      <c r="J2416" s="1">
        <v>45599</v>
      </c>
      <c r="K2416" t="s">
        <v>31</v>
      </c>
      <c r="L2416" t="s">
        <v>9</v>
      </c>
      <c r="M2416" t="s">
        <v>41</v>
      </c>
      <c r="N2416" s="1">
        <f t="shared" si="222"/>
        <v>45599</v>
      </c>
      <c r="O2416" s="4">
        <f t="shared" si="223"/>
        <v>3.2926829268292684E-2</v>
      </c>
      <c r="P2416">
        <f t="shared" si="224"/>
        <v>1.2260846560846561</v>
      </c>
      <c r="Q2416" s="2">
        <f t="shared" si="225"/>
        <v>8.276071428571429</v>
      </c>
      <c r="R2416" s="2">
        <f t="shared" si="226"/>
        <v>46.345999999999997</v>
      </c>
      <c r="S2416" s="2">
        <f t="shared" si="227"/>
        <v>5.6358693306865755</v>
      </c>
    </row>
    <row r="2417" spans="1:19" hidden="1">
      <c r="A2417" t="s">
        <v>2470</v>
      </c>
      <c r="B2417" t="s">
        <v>30</v>
      </c>
      <c r="C2417">
        <v>142</v>
      </c>
      <c r="D2417">
        <v>5354</v>
      </c>
      <c r="E2417" s="2">
        <v>247.32</v>
      </c>
      <c r="F2417">
        <v>17</v>
      </c>
      <c r="G2417">
        <v>4</v>
      </c>
      <c r="H2417">
        <v>4.8000000000000001E-2</v>
      </c>
      <c r="I2417" s="3">
        <v>1828</v>
      </c>
      <c r="J2417" s="1">
        <v>45597</v>
      </c>
      <c r="K2417" t="s">
        <v>31</v>
      </c>
      <c r="L2417" t="s">
        <v>7</v>
      </c>
      <c r="M2417" t="s">
        <v>41</v>
      </c>
      <c r="N2417" s="1">
        <f t="shared" si="222"/>
        <v>45597</v>
      </c>
      <c r="O2417" s="4">
        <f t="shared" si="223"/>
        <v>2.652222637280538E-2</v>
      </c>
      <c r="P2417">
        <f t="shared" si="224"/>
        <v>1.7416901408450705</v>
      </c>
      <c r="Q2417" s="2">
        <f t="shared" si="225"/>
        <v>14.548235294117646</v>
      </c>
      <c r="R2417" s="2">
        <f t="shared" si="226"/>
        <v>61.83</v>
      </c>
      <c r="S2417" s="2">
        <f t="shared" si="227"/>
        <v>7.391234028788614</v>
      </c>
    </row>
    <row r="2418" spans="1:19" hidden="1">
      <c r="A2418" t="s">
        <v>2471</v>
      </c>
      <c r="B2418" t="s">
        <v>30</v>
      </c>
      <c r="C2418">
        <v>127</v>
      </c>
      <c r="D2418">
        <v>4587</v>
      </c>
      <c r="E2418" s="2">
        <v>199.63</v>
      </c>
      <c r="F2418">
        <v>17</v>
      </c>
      <c r="G2418">
        <v>5</v>
      </c>
      <c r="H2418">
        <v>4.2999999999999997E-2</v>
      </c>
      <c r="I2418" s="3">
        <v>1319</v>
      </c>
      <c r="J2418" s="1" t="s">
        <v>115</v>
      </c>
      <c r="K2418" t="s">
        <v>31</v>
      </c>
      <c r="L2418" t="s">
        <v>9</v>
      </c>
      <c r="M2418" t="s">
        <v>35</v>
      </c>
      <c r="N2418" s="1">
        <f t="shared" si="222"/>
        <v>45623</v>
      </c>
      <c r="O2418" s="4">
        <f t="shared" si="223"/>
        <v>2.7686941356006103E-2</v>
      </c>
      <c r="P2418">
        <f t="shared" si="224"/>
        <v>1.5718897637795275</v>
      </c>
      <c r="Q2418" s="2">
        <f t="shared" si="225"/>
        <v>11.742941176470588</v>
      </c>
      <c r="R2418" s="2">
        <f t="shared" si="226"/>
        <v>39.926000000000002</v>
      </c>
      <c r="S2418" s="2">
        <f t="shared" si="227"/>
        <v>6.6072233632219604</v>
      </c>
    </row>
    <row r="2419" spans="1:19">
      <c r="A2419" t="s">
        <v>2472</v>
      </c>
      <c r="B2419" t="s">
        <v>30</v>
      </c>
      <c r="C2419">
        <v>174</v>
      </c>
      <c r="D2419">
        <v>3957</v>
      </c>
      <c r="E2419" s="2">
        <v>181.56</v>
      </c>
      <c r="F2419">
        <v>12</v>
      </c>
      <c r="G2419">
        <v>3</v>
      </c>
      <c r="H2419">
        <v>4.5999999999999999E-2</v>
      </c>
      <c r="I2419" s="3">
        <v>1385</v>
      </c>
      <c r="J2419" s="1">
        <v>45598</v>
      </c>
      <c r="K2419" t="s">
        <v>31</v>
      </c>
      <c r="L2419" t="s">
        <v>7</v>
      </c>
      <c r="M2419" t="s">
        <v>39</v>
      </c>
      <c r="N2419" s="1">
        <f t="shared" si="222"/>
        <v>45598</v>
      </c>
      <c r="O2419" s="4">
        <f t="shared" si="223"/>
        <v>4.3972706595905992E-2</v>
      </c>
      <c r="P2419">
        <f t="shared" si="224"/>
        <v>1.0434482758620689</v>
      </c>
      <c r="Q2419" s="2">
        <f t="shared" si="225"/>
        <v>15.13</v>
      </c>
      <c r="R2419" s="2">
        <f t="shared" si="226"/>
        <v>60.52</v>
      </c>
      <c r="S2419" s="2">
        <f t="shared" si="227"/>
        <v>7.6283322317691118</v>
      </c>
    </row>
    <row r="2420" spans="1:19" hidden="1">
      <c r="A2420" t="s">
        <v>2473</v>
      </c>
      <c r="B2420" t="s">
        <v>30</v>
      </c>
      <c r="C2420">
        <v>183</v>
      </c>
      <c r="D2420">
        <v>5971</v>
      </c>
      <c r="E2420" s="2">
        <v>207.43</v>
      </c>
      <c r="F2420">
        <v>10</v>
      </c>
      <c r="G2420">
        <v>7</v>
      </c>
      <c r="H2420">
        <v>3.7999999999999999E-2</v>
      </c>
      <c r="I2420" s="3">
        <v>1325</v>
      </c>
      <c r="J2420" s="1">
        <v>45621</v>
      </c>
      <c r="K2420" t="s">
        <v>31</v>
      </c>
      <c r="L2420" t="s">
        <v>9</v>
      </c>
      <c r="M2420" t="s">
        <v>41</v>
      </c>
      <c r="N2420" s="1">
        <f t="shared" si="222"/>
        <v>45621</v>
      </c>
      <c r="O2420" s="4">
        <f t="shared" si="223"/>
        <v>3.0648132641098644E-2</v>
      </c>
      <c r="P2420">
        <f t="shared" si="224"/>
        <v>1.1334972677595629</v>
      </c>
      <c r="Q2420" s="2">
        <f t="shared" si="225"/>
        <v>20.743000000000002</v>
      </c>
      <c r="R2420" s="2">
        <f t="shared" si="226"/>
        <v>29.632857142857144</v>
      </c>
      <c r="S2420" s="2">
        <f t="shared" si="227"/>
        <v>6.3876970544279992</v>
      </c>
    </row>
    <row r="2421" spans="1:19" hidden="1">
      <c r="A2421" t="s">
        <v>2474</v>
      </c>
      <c r="B2421" t="s">
        <v>30</v>
      </c>
      <c r="C2421">
        <v>190</v>
      </c>
      <c r="D2421">
        <v>3455</v>
      </c>
      <c r="E2421" s="2">
        <v>213.11</v>
      </c>
      <c r="F2421">
        <v>18</v>
      </c>
      <c r="G2421">
        <v>7</v>
      </c>
      <c r="H2421">
        <v>3.6999999999999998E-2</v>
      </c>
      <c r="I2421" s="3">
        <v>1730</v>
      </c>
      <c r="J2421" s="1">
        <v>45609</v>
      </c>
      <c r="K2421" t="s">
        <v>31</v>
      </c>
      <c r="L2421" t="s">
        <v>7</v>
      </c>
      <c r="M2421" t="s">
        <v>39</v>
      </c>
      <c r="N2421" s="1">
        <f t="shared" si="222"/>
        <v>45609</v>
      </c>
      <c r="O2421" s="4">
        <f t="shared" si="223"/>
        <v>5.4992764109985527E-2</v>
      </c>
      <c r="P2421">
        <f t="shared" si="224"/>
        <v>1.1216315789473685</v>
      </c>
      <c r="Q2421" s="2">
        <f t="shared" si="225"/>
        <v>11.839444444444446</v>
      </c>
      <c r="R2421" s="2">
        <f t="shared" si="226"/>
        <v>30.444285714285716</v>
      </c>
      <c r="S2421" s="2">
        <f t="shared" si="227"/>
        <v>8.1178733987142788</v>
      </c>
    </row>
    <row r="2422" spans="1:19">
      <c r="A2422" t="s">
        <v>2475</v>
      </c>
      <c r="B2422" t="s">
        <v>30</v>
      </c>
      <c r="C2422">
        <v>116</v>
      </c>
      <c r="D2422">
        <v>5748</v>
      </c>
      <c r="E2422" s="2">
        <v>188.91</v>
      </c>
      <c r="F2422">
        <v>11</v>
      </c>
      <c r="G2422">
        <v>7</v>
      </c>
      <c r="H2422">
        <v>4.5999999999999999E-2</v>
      </c>
      <c r="I2422" s="3">
        <v>1368</v>
      </c>
      <c r="J2422" s="1">
        <v>45610</v>
      </c>
      <c r="K2422" t="s">
        <v>31</v>
      </c>
      <c r="L2422" t="s">
        <v>7</v>
      </c>
      <c r="M2422" t="s">
        <v>37</v>
      </c>
      <c r="N2422" s="1">
        <f t="shared" si="222"/>
        <v>45610</v>
      </c>
      <c r="O2422" s="4">
        <f t="shared" si="223"/>
        <v>2.0180932498260265E-2</v>
      </c>
      <c r="P2422">
        <f t="shared" si="224"/>
        <v>1.6285344827586206</v>
      </c>
      <c r="Q2422" s="2">
        <f t="shared" si="225"/>
        <v>17.173636363636362</v>
      </c>
      <c r="R2422" s="2">
        <f t="shared" si="226"/>
        <v>26.987142857142857</v>
      </c>
      <c r="S2422" s="2">
        <f t="shared" si="227"/>
        <v>7.2415435921867557</v>
      </c>
    </row>
    <row r="2423" spans="1:19" hidden="1">
      <c r="A2423" t="s">
        <v>2476</v>
      </c>
      <c r="B2423" t="s">
        <v>30</v>
      </c>
      <c r="C2423">
        <v>199</v>
      </c>
      <c r="D2423">
        <v>4387</v>
      </c>
      <c r="E2423" s="2">
        <v>206.92</v>
      </c>
      <c r="F2423">
        <v>20</v>
      </c>
      <c r="G2423">
        <v>9</v>
      </c>
      <c r="H2423">
        <v>3.7999999999999999E-2</v>
      </c>
      <c r="I2423" s="3">
        <v>1054</v>
      </c>
      <c r="J2423" s="1" t="s">
        <v>167</v>
      </c>
      <c r="K2423" t="s">
        <v>31</v>
      </c>
      <c r="L2423" t="s">
        <v>8</v>
      </c>
      <c r="M2423" t="s">
        <v>39</v>
      </c>
      <c r="N2423" s="1">
        <f t="shared" si="222"/>
        <v>45620</v>
      </c>
      <c r="O2423" s="4">
        <f t="shared" si="223"/>
        <v>4.536129473444267E-2</v>
      </c>
      <c r="P2423">
        <f t="shared" si="224"/>
        <v>1.0397989949748743</v>
      </c>
      <c r="Q2423" s="2">
        <f t="shared" si="225"/>
        <v>10.346</v>
      </c>
      <c r="R2423" s="2">
        <f t="shared" si="226"/>
        <v>22.99111111111111</v>
      </c>
      <c r="S2423" s="2">
        <f t="shared" si="227"/>
        <v>5.0937560409820222</v>
      </c>
    </row>
    <row r="2424" spans="1:19" hidden="1">
      <c r="A2424" t="s">
        <v>2477</v>
      </c>
      <c r="B2424" t="s">
        <v>30</v>
      </c>
      <c r="C2424">
        <v>181</v>
      </c>
      <c r="D2424">
        <v>4103</v>
      </c>
      <c r="E2424" s="2">
        <v>215.57</v>
      </c>
      <c r="F2424">
        <v>24</v>
      </c>
      <c r="G2424">
        <v>8</v>
      </c>
      <c r="H2424">
        <v>4.3999999999999997E-2</v>
      </c>
      <c r="I2424" s="3">
        <v>1103</v>
      </c>
      <c r="J2424" s="1">
        <v>45621</v>
      </c>
      <c r="K2424" t="s">
        <v>31</v>
      </c>
      <c r="L2424" t="s">
        <v>8</v>
      </c>
      <c r="M2424" t="s">
        <v>37</v>
      </c>
      <c r="N2424" s="1">
        <f t="shared" si="222"/>
        <v>45621</v>
      </c>
      <c r="O2424" s="4">
        <f t="shared" si="223"/>
        <v>4.4114062880818913E-2</v>
      </c>
      <c r="P2424">
        <f t="shared" si="224"/>
        <v>1.1909944751381214</v>
      </c>
      <c r="Q2424" s="2">
        <f t="shared" si="225"/>
        <v>8.9820833333333336</v>
      </c>
      <c r="R2424" s="2">
        <f t="shared" si="226"/>
        <v>26.946249999999999</v>
      </c>
      <c r="S2424" s="2">
        <f t="shared" si="227"/>
        <v>5.1166674398107341</v>
      </c>
    </row>
    <row r="2425" spans="1:19" hidden="1">
      <c r="A2425" t="s">
        <v>2478</v>
      </c>
      <c r="B2425" t="s">
        <v>30</v>
      </c>
      <c r="C2425">
        <v>197</v>
      </c>
      <c r="D2425">
        <v>3253</v>
      </c>
      <c r="E2425" s="2">
        <v>243.38</v>
      </c>
      <c r="F2425">
        <v>17</v>
      </c>
      <c r="G2425">
        <v>3</v>
      </c>
      <c r="H2425">
        <v>3.4000000000000002E-2</v>
      </c>
      <c r="I2425" s="3">
        <v>1606</v>
      </c>
      <c r="J2425" s="1">
        <v>45618</v>
      </c>
      <c r="K2425" t="s">
        <v>31</v>
      </c>
      <c r="L2425" t="s">
        <v>9</v>
      </c>
      <c r="M2425" t="s">
        <v>35</v>
      </c>
      <c r="N2425" s="1">
        <f t="shared" si="222"/>
        <v>45618</v>
      </c>
      <c r="O2425" s="4">
        <f t="shared" si="223"/>
        <v>6.0559483553642789E-2</v>
      </c>
      <c r="P2425">
        <f t="shared" si="224"/>
        <v>1.2354314720812183</v>
      </c>
      <c r="Q2425" s="2">
        <f t="shared" si="225"/>
        <v>14.316470588235294</v>
      </c>
      <c r="R2425" s="2">
        <f t="shared" si="226"/>
        <v>81.126666666666665</v>
      </c>
      <c r="S2425" s="2">
        <f t="shared" si="227"/>
        <v>6.5987344892760298</v>
      </c>
    </row>
    <row r="2426" spans="1:19">
      <c r="A2426" t="s">
        <v>2479</v>
      </c>
      <c r="B2426" t="s">
        <v>30</v>
      </c>
      <c r="C2426">
        <v>136</v>
      </c>
      <c r="D2426">
        <v>4492</v>
      </c>
      <c r="E2426" s="2">
        <v>205</v>
      </c>
      <c r="F2426">
        <v>10</v>
      </c>
      <c r="G2426">
        <v>4</v>
      </c>
      <c r="H2426">
        <v>4.5999999999999999E-2</v>
      </c>
      <c r="I2426" s="3">
        <v>1319</v>
      </c>
      <c r="J2426" s="1" t="s">
        <v>73</v>
      </c>
      <c r="K2426" t="s">
        <v>31</v>
      </c>
      <c r="L2426" t="s">
        <v>9</v>
      </c>
      <c r="M2426" t="s">
        <v>41</v>
      </c>
      <c r="N2426" s="1">
        <f t="shared" si="222"/>
        <v>45618</v>
      </c>
      <c r="O2426" s="4">
        <f t="shared" si="223"/>
        <v>3.0276046304541407E-2</v>
      </c>
      <c r="P2426">
        <f t="shared" si="224"/>
        <v>1.5073529411764706</v>
      </c>
      <c r="Q2426" s="2">
        <f t="shared" si="225"/>
        <v>20.5</v>
      </c>
      <c r="R2426" s="2">
        <f t="shared" si="226"/>
        <v>51.25</v>
      </c>
      <c r="S2426" s="2">
        <f t="shared" si="227"/>
        <v>6.434146341463415</v>
      </c>
    </row>
    <row r="2427" spans="1:19">
      <c r="A2427" t="s">
        <v>2480</v>
      </c>
      <c r="B2427" t="s">
        <v>30</v>
      </c>
      <c r="C2427">
        <v>128</v>
      </c>
      <c r="D2427">
        <v>3153</v>
      </c>
      <c r="E2427" s="2">
        <v>236.34</v>
      </c>
      <c r="F2427">
        <v>16</v>
      </c>
      <c r="G2427">
        <v>6</v>
      </c>
      <c r="H2427">
        <v>4.5999999999999999E-2</v>
      </c>
      <c r="I2427" s="3">
        <v>1050</v>
      </c>
      <c r="J2427" s="1">
        <v>45605</v>
      </c>
      <c r="K2427" t="s">
        <v>31</v>
      </c>
      <c r="L2427" t="s">
        <v>7</v>
      </c>
      <c r="M2427" t="s">
        <v>41</v>
      </c>
      <c r="N2427" s="1">
        <f t="shared" si="222"/>
        <v>45605</v>
      </c>
      <c r="O2427" s="4">
        <f t="shared" si="223"/>
        <v>4.0596257532508721E-2</v>
      </c>
      <c r="P2427">
        <f t="shared" si="224"/>
        <v>1.84640625</v>
      </c>
      <c r="Q2427" s="2">
        <f t="shared" si="225"/>
        <v>14.77125</v>
      </c>
      <c r="R2427" s="2">
        <f t="shared" si="226"/>
        <v>39.39</v>
      </c>
      <c r="S2427" s="2">
        <f t="shared" si="227"/>
        <v>4.4427519675044431</v>
      </c>
    </row>
    <row r="2428" spans="1:19" hidden="1">
      <c r="A2428" t="s">
        <v>2481</v>
      </c>
      <c r="B2428" t="s">
        <v>30</v>
      </c>
      <c r="C2428">
        <v>163</v>
      </c>
      <c r="D2428">
        <v>4794</v>
      </c>
      <c r="E2428" s="2">
        <v>204.35</v>
      </c>
      <c r="F2428">
        <v>26</v>
      </c>
      <c r="G2428">
        <v>3</v>
      </c>
      <c r="H2428">
        <v>5.1999999999999998E-2</v>
      </c>
      <c r="I2428" s="3">
        <v>1978</v>
      </c>
      <c r="J2428" s="1" t="s">
        <v>43</v>
      </c>
      <c r="K2428" t="s">
        <v>31</v>
      </c>
      <c r="L2428" t="s">
        <v>9</v>
      </c>
      <c r="M2428" t="s">
        <v>37</v>
      </c>
      <c r="N2428" s="1">
        <f t="shared" si="222"/>
        <v>45612</v>
      </c>
      <c r="O2428" s="4">
        <f t="shared" si="223"/>
        <v>3.4000834376303711E-2</v>
      </c>
      <c r="P2428">
        <f t="shared" si="224"/>
        <v>1.253680981595092</v>
      </c>
      <c r="Q2428" s="2">
        <f t="shared" si="225"/>
        <v>7.8596153846153847</v>
      </c>
      <c r="R2428" s="2">
        <f t="shared" si="226"/>
        <v>68.11666666666666</v>
      </c>
      <c r="S2428" s="2">
        <f t="shared" si="227"/>
        <v>9.6794714949840959</v>
      </c>
    </row>
    <row r="2429" spans="1:19" hidden="1">
      <c r="A2429" t="s">
        <v>2482</v>
      </c>
      <c r="B2429" t="s">
        <v>30</v>
      </c>
      <c r="C2429">
        <v>199</v>
      </c>
      <c r="D2429">
        <v>5210</v>
      </c>
      <c r="E2429" s="2">
        <v>212.53</v>
      </c>
      <c r="F2429">
        <v>30</v>
      </c>
      <c r="G2429">
        <v>10</v>
      </c>
      <c r="H2429">
        <v>0.05</v>
      </c>
      <c r="I2429" s="3">
        <v>1749</v>
      </c>
      <c r="J2429" s="1">
        <v>45622</v>
      </c>
      <c r="K2429" t="s">
        <v>31</v>
      </c>
      <c r="L2429" t="s">
        <v>8</v>
      </c>
      <c r="M2429" t="s">
        <v>46</v>
      </c>
      <c r="N2429" s="1">
        <f t="shared" si="222"/>
        <v>45622</v>
      </c>
      <c r="O2429" s="4">
        <f t="shared" si="223"/>
        <v>3.8195777351247601E-2</v>
      </c>
      <c r="P2429">
        <f t="shared" si="224"/>
        <v>1.0679899497487437</v>
      </c>
      <c r="Q2429" s="2">
        <f t="shared" si="225"/>
        <v>7.0843333333333334</v>
      </c>
      <c r="R2429" s="2">
        <f t="shared" si="226"/>
        <v>21.253</v>
      </c>
      <c r="S2429" s="2">
        <f t="shared" si="227"/>
        <v>8.2294264339152114</v>
      </c>
    </row>
    <row r="2430" spans="1:19" hidden="1">
      <c r="A2430" t="s">
        <v>2483</v>
      </c>
      <c r="B2430" t="s">
        <v>30</v>
      </c>
      <c r="C2430">
        <v>169</v>
      </c>
      <c r="D2430">
        <v>5326</v>
      </c>
      <c r="E2430" s="2">
        <v>215.57</v>
      </c>
      <c r="F2430">
        <v>30</v>
      </c>
      <c r="G2430">
        <v>5</v>
      </c>
      <c r="H2430">
        <v>0.03</v>
      </c>
      <c r="I2430" s="3">
        <v>1030</v>
      </c>
      <c r="J2430" s="1" t="s">
        <v>206</v>
      </c>
      <c r="K2430" t="s">
        <v>31</v>
      </c>
      <c r="L2430" t="s">
        <v>7</v>
      </c>
      <c r="M2430" t="s">
        <v>37</v>
      </c>
      <c r="N2430" s="1">
        <f t="shared" si="222"/>
        <v>45621</v>
      </c>
      <c r="O2430" s="4">
        <f t="shared" si="223"/>
        <v>3.1731130304168229E-2</v>
      </c>
      <c r="P2430">
        <f t="shared" si="224"/>
        <v>1.2755621301775149</v>
      </c>
      <c r="Q2430" s="2">
        <f t="shared" si="225"/>
        <v>7.1856666666666662</v>
      </c>
      <c r="R2430" s="2">
        <f t="shared" si="226"/>
        <v>43.113999999999997</v>
      </c>
      <c r="S2430" s="2">
        <f t="shared" si="227"/>
        <v>4.778030338173215</v>
      </c>
    </row>
    <row r="2431" spans="1:19" hidden="1">
      <c r="A2431" t="s">
        <v>2484</v>
      </c>
      <c r="B2431" t="s">
        <v>30</v>
      </c>
      <c r="C2431">
        <v>138</v>
      </c>
      <c r="D2431">
        <v>3961</v>
      </c>
      <c r="E2431" s="2">
        <v>247.45</v>
      </c>
      <c r="F2431">
        <v>13</v>
      </c>
      <c r="G2431">
        <v>3</v>
      </c>
      <c r="H2431">
        <v>2.1999999999999999E-2</v>
      </c>
      <c r="I2431" s="3">
        <v>1601</v>
      </c>
      <c r="J2431" s="1">
        <v>45614</v>
      </c>
      <c r="K2431" t="s">
        <v>31</v>
      </c>
      <c r="L2431" t="s">
        <v>8</v>
      </c>
      <c r="M2431" t="s">
        <v>35</v>
      </c>
      <c r="N2431" s="1">
        <f t="shared" si="222"/>
        <v>45614</v>
      </c>
      <c r="O2431" s="4">
        <f t="shared" si="223"/>
        <v>3.4839686947740471E-2</v>
      </c>
      <c r="P2431">
        <f t="shared" si="224"/>
        <v>1.7931159420289855</v>
      </c>
      <c r="Q2431" s="2">
        <f t="shared" si="225"/>
        <v>19.034615384615385</v>
      </c>
      <c r="R2431" s="2">
        <f t="shared" si="226"/>
        <v>82.483333333333334</v>
      </c>
      <c r="S2431" s="2">
        <f t="shared" si="227"/>
        <v>6.4699939381693277</v>
      </c>
    </row>
    <row r="2432" spans="1:19" hidden="1">
      <c r="A2432" t="s">
        <v>2485</v>
      </c>
      <c r="B2432" t="s">
        <v>30</v>
      </c>
      <c r="C2432">
        <v>139</v>
      </c>
      <c r="D2432">
        <v>5937</v>
      </c>
      <c r="E2432" s="2">
        <v>231.01</v>
      </c>
      <c r="F2432">
        <v>25</v>
      </c>
      <c r="G2432">
        <v>4</v>
      </c>
      <c r="H2432">
        <v>5.7000000000000002E-2</v>
      </c>
      <c r="I2432" s="3">
        <v>1448</v>
      </c>
      <c r="J2432" s="1" t="s">
        <v>34</v>
      </c>
      <c r="K2432" t="s">
        <v>31</v>
      </c>
      <c r="L2432" t="s">
        <v>9</v>
      </c>
      <c r="M2432" t="s">
        <v>41</v>
      </c>
      <c r="N2432" s="1">
        <f t="shared" si="222"/>
        <v>45616</v>
      </c>
      <c r="O2432" s="4">
        <f t="shared" si="223"/>
        <v>2.3412497894559542E-2</v>
      </c>
      <c r="P2432">
        <f t="shared" si="224"/>
        <v>1.6619424460431653</v>
      </c>
      <c r="Q2432" s="2">
        <f t="shared" si="225"/>
        <v>9.2403999999999993</v>
      </c>
      <c r="R2432" s="2">
        <f t="shared" si="226"/>
        <v>57.752499999999998</v>
      </c>
      <c r="S2432" s="2">
        <f t="shared" si="227"/>
        <v>6.2681269209125148</v>
      </c>
    </row>
    <row r="2433" spans="1:19" hidden="1">
      <c r="A2433" t="s">
        <v>2486</v>
      </c>
      <c r="B2433" t="s">
        <v>30</v>
      </c>
      <c r="C2433">
        <v>154</v>
      </c>
      <c r="D2433">
        <v>4904</v>
      </c>
      <c r="E2433" s="2">
        <v>247.11</v>
      </c>
      <c r="F2433">
        <v>11</v>
      </c>
      <c r="G2433">
        <v>8</v>
      </c>
      <c r="H2433">
        <v>5.1999999999999998E-2</v>
      </c>
      <c r="I2433" s="3">
        <v>1505</v>
      </c>
      <c r="J2433" s="1" t="s">
        <v>73</v>
      </c>
      <c r="K2433" t="s">
        <v>31</v>
      </c>
      <c r="L2433" t="s">
        <v>9</v>
      </c>
      <c r="M2433" t="s">
        <v>32</v>
      </c>
      <c r="N2433" s="1">
        <f t="shared" si="222"/>
        <v>45618</v>
      </c>
      <c r="O2433" s="4">
        <f t="shared" si="223"/>
        <v>3.1402936378466556E-2</v>
      </c>
      <c r="P2433">
        <f t="shared" si="224"/>
        <v>1.6046103896103896</v>
      </c>
      <c r="Q2433" s="2">
        <f t="shared" si="225"/>
        <v>22.464545454545455</v>
      </c>
      <c r="R2433" s="2">
        <f t="shared" si="226"/>
        <v>30.888750000000002</v>
      </c>
      <c r="S2433" s="2">
        <f t="shared" si="227"/>
        <v>6.0904050827566669</v>
      </c>
    </row>
    <row r="2434" spans="1:19" hidden="1">
      <c r="A2434" t="s">
        <v>2487</v>
      </c>
      <c r="B2434" t="s">
        <v>30</v>
      </c>
      <c r="C2434">
        <v>105</v>
      </c>
      <c r="D2434">
        <v>3149</v>
      </c>
      <c r="E2434" s="2">
        <v>233.19</v>
      </c>
      <c r="F2434">
        <v>13</v>
      </c>
      <c r="G2434">
        <v>10</v>
      </c>
      <c r="H2434">
        <v>9.5000000000000001E-2</v>
      </c>
      <c r="I2434" s="3">
        <v>1135</v>
      </c>
      <c r="J2434" s="1">
        <v>45605</v>
      </c>
      <c r="K2434" t="s">
        <v>31</v>
      </c>
      <c r="L2434" t="s">
        <v>9</v>
      </c>
      <c r="M2434" t="s">
        <v>32</v>
      </c>
      <c r="N2434" s="1">
        <f t="shared" ref="N2434:N2497" si="228">IF(A2434="","",IF(ISNUMBER(J2434),J2434,IF(MID(J2434,5,1)="-",DATE(LEFT(J2434,4),MID(J2434,6,2),RIGHT(J2434,2)),IF(MID(J2434,5,1)="/",DATE(LEFT(J2434,4),MID(J2434,6,2),RIGHT(J2434,2)),DATE(RIGHT(J2434,4),MID(J2434,4,2),LEFT(J2434,2))))))</f>
        <v>45605</v>
      </c>
      <c r="O2434" s="4">
        <f t="shared" ref="O2434:O2497" si="229">IFERROR(C2434/D2434,0)</f>
        <v>3.3343918704350585E-2</v>
      </c>
      <c r="P2434">
        <f t="shared" ref="P2434:P2497" si="230">IFERROR(E2434/C2434,0)</f>
        <v>2.2208571428571426</v>
      </c>
      <c r="Q2434" s="2">
        <f t="shared" ref="Q2434:Q2497" si="231">IFERROR(E2434/F2434,0)</f>
        <v>17.937692307692309</v>
      </c>
      <c r="R2434" s="2">
        <f t="shared" ref="R2434:R2497" si="232">IFERROR(E2434/G2434,0)</f>
        <v>23.318999999999999</v>
      </c>
      <c r="S2434" s="2">
        <f t="shared" ref="S2434:S2497" si="233">IFERROR(I2434/E2434,0)</f>
        <v>4.8672756121617562</v>
      </c>
    </row>
    <row r="2435" spans="1:19" hidden="1">
      <c r="A2435" t="s">
        <v>2488</v>
      </c>
      <c r="B2435" t="s">
        <v>30</v>
      </c>
      <c r="C2435">
        <v>89</v>
      </c>
      <c r="D2435">
        <v>5963</v>
      </c>
      <c r="E2435" s="2">
        <v>209.41</v>
      </c>
      <c r="F2435">
        <v>29</v>
      </c>
      <c r="G2435">
        <v>9</v>
      </c>
      <c r="H2435">
        <v>0.10100000000000001</v>
      </c>
      <c r="I2435" s="3">
        <v>1066</v>
      </c>
      <c r="J2435" s="1">
        <v>45614</v>
      </c>
      <c r="K2435" t="s">
        <v>31</v>
      </c>
      <c r="L2435" t="s">
        <v>7</v>
      </c>
      <c r="M2435" t="s">
        <v>41</v>
      </c>
      <c r="N2435" s="1">
        <f t="shared" si="228"/>
        <v>45614</v>
      </c>
      <c r="O2435" s="4">
        <f t="shared" si="229"/>
        <v>1.4925373134328358E-2</v>
      </c>
      <c r="P2435">
        <f t="shared" si="230"/>
        <v>2.3529213483146068</v>
      </c>
      <c r="Q2435" s="2">
        <f t="shared" si="231"/>
        <v>7.2210344827586201</v>
      </c>
      <c r="R2435" s="2">
        <f t="shared" si="232"/>
        <v>23.267777777777777</v>
      </c>
      <c r="S2435" s="2">
        <f t="shared" si="233"/>
        <v>5.0904923356095697</v>
      </c>
    </row>
    <row r="2436" spans="1:19" hidden="1">
      <c r="A2436" t="s">
        <v>2489</v>
      </c>
      <c r="B2436" t="s">
        <v>30</v>
      </c>
      <c r="C2436">
        <v>125</v>
      </c>
      <c r="D2436">
        <v>3808</v>
      </c>
      <c r="E2436" s="2">
        <v>191.42</v>
      </c>
      <c r="F2436">
        <v>29</v>
      </c>
      <c r="G2436">
        <v>7</v>
      </c>
      <c r="H2436">
        <v>5.6000000000000001E-2</v>
      </c>
      <c r="I2436" s="3">
        <v>1783</v>
      </c>
      <c r="J2436" s="1">
        <v>45606</v>
      </c>
      <c r="K2436" t="s">
        <v>31</v>
      </c>
      <c r="L2436" t="s">
        <v>9</v>
      </c>
      <c r="M2436" t="s">
        <v>35</v>
      </c>
      <c r="N2436" s="1">
        <f t="shared" si="228"/>
        <v>45606</v>
      </c>
      <c r="O2436" s="4">
        <f t="shared" si="229"/>
        <v>3.2825630252100842E-2</v>
      </c>
      <c r="P2436">
        <f t="shared" si="230"/>
        <v>1.5313599999999998</v>
      </c>
      <c r="Q2436" s="2">
        <f t="shared" si="231"/>
        <v>6.6006896551724132</v>
      </c>
      <c r="R2436" s="2">
        <f t="shared" si="232"/>
        <v>27.345714285714283</v>
      </c>
      <c r="S2436" s="2">
        <f t="shared" si="233"/>
        <v>9.3145961759481768</v>
      </c>
    </row>
    <row r="2437" spans="1:19">
      <c r="A2437" t="s">
        <v>2490</v>
      </c>
      <c r="B2437" t="s">
        <v>30</v>
      </c>
      <c r="C2437">
        <v>175</v>
      </c>
      <c r="D2437">
        <v>3938</v>
      </c>
      <c r="E2437" s="2">
        <v>186.09</v>
      </c>
      <c r="F2437">
        <v>22</v>
      </c>
      <c r="G2437">
        <v>9</v>
      </c>
      <c r="H2437">
        <v>4.5999999999999999E-2</v>
      </c>
      <c r="I2437" s="3">
        <v>1218</v>
      </c>
      <c r="J2437" s="1">
        <v>45601</v>
      </c>
      <c r="K2437" t="s">
        <v>31</v>
      </c>
      <c r="L2437" t="s">
        <v>8</v>
      </c>
      <c r="M2437" t="s">
        <v>46</v>
      </c>
      <c r="N2437" s="1">
        <f t="shared" si="228"/>
        <v>45601</v>
      </c>
      <c r="O2437" s="4">
        <f t="shared" si="229"/>
        <v>4.4438801422041645E-2</v>
      </c>
      <c r="P2437">
        <f t="shared" si="230"/>
        <v>1.0633714285714286</v>
      </c>
      <c r="Q2437" s="2">
        <f t="shared" si="231"/>
        <v>8.458636363636364</v>
      </c>
      <c r="R2437" s="2">
        <f t="shared" si="232"/>
        <v>20.676666666666666</v>
      </c>
      <c r="S2437" s="2">
        <f t="shared" si="233"/>
        <v>6.5452200548121873</v>
      </c>
    </row>
    <row r="2438" spans="1:19" hidden="1">
      <c r="A2438" t="s">
        <v>2491</v>
      </c>
      <c r="B2438" t="s">
        <v>30</v>
      </c>
      <c r="C2438">
        <v>175</v>
      </c>
      <c r="D2438">
        <v>5521</v>
      </c>
      <c r="E2438" s="2">
        <v>207.4</v>
      </c>
      <c r="F2438">
        <v>25</v>
      </c>
      <c r="G2438">
        <v>3</v>
      </c>
      <c r="H2438">
        <v>1.7000000000000001E-2</v>
      </c>
      <c r="I2438" s="3">
        <v>1616</v>
      </c>
      <c r="J2438" s="1">
        <v>45393</v>
      </c>
      <c r="K2438" t="s">
        <v>31</v>
      </c>
      <c r="L2438" t="s">
        <v>8</v>
      </c>
      <c r="M2438" t="s">
        <v>41</v>
      </c>
      <c r="N2438" s="1">
        <f t="shared" si="228"/>
        <v>45393</v>
      </c>
      <c r="O2438" s="4">
        <f t="shared" si="229"/>
        <v>3.1697156312262269E-2</v>
      </c>
      <c r="P2438">
        <f t="shared" si="230"/>
        <v>1.1851428571428573</v>
      </c>
      <c r="Q2438" s="2">
        <f t="shared" si="231"/>
        <v>8.2959999999999994</v>
      </c>
      <c r="R2438" s="2">
        <f t="shared" si="232"/>
        <v>69.13333333333334</v>
      </c>
      <c r="S2438" s="2">
        <f t="shared" si="233"/>
        <v>7.7917068466730957</v>
      </c>
    </row>
    <row r="2439" spans="1:19" hidden="1">
      <c r="A2439" t="s">
        <v>2492</v>
      </c>
      <c r="B2439" t="s">
        <v>30</v>
      </c>
      <c r="C2439">
        <v>183</v>
      </c>
      <c r="D2439">
        <v>4518.5</v>
      </c>
      <c r="E2439" s="2">
        <v>198.12</v>
      </c>
      <c r="F2439">
        <v>27</v>
      </c>
      <c r="G2439">
        <v>10</v>
      </c>
      <c r="H2439">
        <v>5.5E-2</v>
      </c>
      <c r="I2439" s="3">
        <v>1505</v>
      </c>
      <c r="J2439" s="1">
        <v>45618</v>
      </c>
      <c r="K2439" t="s">
        <v>31</v>
      </c>
      <c r="L2439" t="s">
        <v>8</v>
      </c>
      <c r="M2439" t="s">
        <v>35</v>
      </c>
      <c r="N2439" s="1">
        <f t="shared" si="228"/>
        <v>45618</v>
      </c>
      <c r="O2439" s="4">
        <f t="shared" si="229"/>
        <v>4.0500165984286823E-2</v>
      </c>
      <c r="P2439">
        <f t="shared" si="230"/>
        <v>1.0826229508196721</v>
      </c>
      <c r="Q2439" s="2">
        <f t="shared" si="231"/>
        <v>7.3377777777777782</v>
      </c>
      <c r="R2439" s="2">
        <f t="shared" si="232"/>
        <v>19.812000000000001</v>
      </c>
      <c r="S2439" s="2">
        <f t="shared" si="233"/>
        <v>7.5964062184534624</v>
      </c>
    </row>
    <row r="2440" spans="1:19" hidden="1">
      <c r="A2440" t="s">
        <v>2493</v>
      </c>
      <c r="B2440" t="s">
        <v>30</v>
      </c>
      <c r="C2440">
        <v>182</v>
      </c>
      <c r="D2440">
        <v>5466</v>
      </c>
      <c r="E2440" s="2">
        <v>206.3</v>
      </c>
      <c r="F2440">
        <v>26</v>
      </c>
      <c r="G2440">
        <v>4</v>
      </c>
      <c r="H2440">
        <v>3.6999999999999998E-2</v>
      </c>
      <c r="I2440" s="3">
        <v>1816</v>
      </c>
      <c r="J2440" s="1">
        <v>45614</v>
      </c>
      <c r="K2440" t="s">
        <v>31</v>
      </c>
      <c r="L2440" t="s">
        <v>9</v>
      </c>
      <c r="M2440" t="s">
        <v>35</v>
      </c>
      <c r="N2440" s="1">
        <f t="shared" si="228"/>
        <v>45614</v>
      </c>
      <c r="O2440" s="4">
        <f t="shared" si="229"/>
        <v>3.3296743505305523E-2</v>
      </c>
      <c r="P2440">
        <f t="shared" si="230"/>
        <v>1.1335164835164835</v>
      </c>
      <c r="Q2440" s="2">
        <f t="shared" si="231"/>
        <v>7.9346153846153848</v>
      </c>
      <c r="R2440" s="2">
        <f t="shared" si="232"/>
        <v>51.575000000000003</v>
      </c>
      <c r="S2440" s="2">
        <f t="shared" si="233"/>
        <v>8.802714493456131</v>
      </c>
    </row>
    <row r="2441" spans="1:19">
      <c r="A2441" t="s">
        <v>2494</v>
      </c>
      <c r="B2441" t="s">
        <v>30</v>
      </c>
      <c r="C2441">
        <v>139</v>
      </c>
      <c r="D2441">
        <v>4528</v>
      </c>
      <c r="E2441" s="2">
        <v>235.96</v>
      </c>
      <c r="F2441">
        <v>30</v>
      </c>
      <c r="G2441">
        <v>4</v>
      </c>
      <c r="H2441">
        <v>4.5999999999999999E-2</v>
      </c>
      <c r="I2441" s="3">
        <v>1926</v>
      </c>
      <c r="J2441" s="1" t="s">
        <v>357</v>
      </c>
      <c r="K2441" t="s">
        <v>31</v>
      </c>
      <c r="L2441" t="s">
        <v>8</v>
      </c>
      <c r="M2441" t="s">
        <v>39</v>
      </c>
      <c r="N2441" s="1">
        <f t="shared" si="228"/>
        <v>45624</v>
      </c>
      <c r="O2441" s="4">
        <f t="shared" si="229"/>
        <v>3.0697879858657243E-2</v>
      </c>
      <c r="P2441">
        <f t="shared" si="230"/>
        <v>1.6975539568345324</v>
      </c>
      <c r="Q2441" s="2">
        <f t="shared" si="231"/>
        <v>7.865333333333334</v>
      </c>
      <c r="R2441" s="2">
        <f t="shared" si="232"/>
        <v>58.99</v>
      </c>
      <c r="S2441" s="2">
        <f t="shared" si="233"/>
        <v>8.1624004068486187</v>
      </c>
    </row>
    <row r="2442" spans="1:19" hidden="1">
      <c r="A2442" t="s">
        <v>2495</v>
      </c>
      <c r="B2442" t="s">
        <v>30</v>
      </c>
      <c r="C2442">
        <v>168</v>
      </c>
      <c r="D2442">
        <v>4904</v>
      </c>
      <c r="E2442" s="2">
        <v>220.19</v>
      </c>
      <c r="F2442">
        <v>23</v>
      </c>
      <c r="G2442">
        <v>6</v>
      </c>
      <c r="H2442">
        <v>3.5999999999999997E-2</v>
      </c>
      <c r="I2442" s="3">
        <v>1870</v>
      </c>
      <c r="J2442" s="1">
        <v>45607</v>
      </c>
      <c r="K2442" t="s">
        <v>31</v>
      </c>
      <c r="L2442" t="s">
        <v>7</v>
      </c>
      <c r="M2442" t="s">
        <v>32</v>
      </c>
      <c r="N2442" s="1">
        <f t="shared" si="228"/>
        <v>45607</v>
      </c>
      <c r="O2442" s="4">
        <f t="shared" si="229"/>
        <v>3.4257748776508973E-2</v>
      </c>
      <c r="P2442">
        <f t="shared" si="230"/>
        <v>1.3106547619047619</v>
      </c>
      <c r="Q2442" s="2">
        <f t="shared" si="231"/>
        <v>9.5734782608695657</v>
      </c>
      <c r="R2442" s="2">
        <f t="shared" si="232"/>
        <v>36.698333333333331</v>
      </c>
      <c r="S2442" s="2">
        <f t="shared" si="233"/>
        <v>8.4926654253145006</v>
      </c>
    </row>
    <row r="2443" spans="1:19" hidden="1">
      <c r="A2443" t="s">
        <v>2496</v>
      </c>
      <c r="B2443" t="s">
        <v>30</v>
      </c>
      <c r="C2443">
        <v>150</v>
      </c>
      <c r="D2443">
        <v>5057</v>
      </c>
      <c r="E2443" s="2">
        <v>220.26</v>
      </c>
      <c r="F2443">
        <v>24</v>
      </c>
      <c r="G2443">
        <v>5</v>
      </c>
      <c r="H2443">
        <v>3.3000000000000002E-2</v>
      </c>
      <c r="I2443" s="3">
        <v>1505</v>
      </c>
      <c r="J2443" s="1">
        <v>45302</v>
      </c>
      <c r="K2443" t="s">
        <v>31</v>
      </c>
      <c r="L2443" t="s">
        <v>7</v>
      </c>
      <c r="M2443" t="s">
        <v>39</v>
      </c>
      <c r="N2443" s="1">
        <f t="shared" si="228"/>
        <v>45302</v>
      </c>
      <c r="O2443" s="4">
        <f t="shared" si="229"/>
        <v>2.9661854854656913E-2</v>
      </c>
      <c r="P2443">
        <f t="shared" si="230"/>
        <v>1.4683999999999999</v>
      </c>
      <c r="Q2443" s="2">
        <f t="shared" si="231"/>
        <v>9.1775000000000002</v>
      </c>
      <c r="R2443" s="2">
        <f t="shared" si="232"/>
        <v>44.052</v>
      </c>
      <c r="S2443" s="2">
        <f t="shared" si="233"/>
        <v>6.8328339235449018</v>
      </c>
    </row>
    <row r="2444" spans="1:19" hidden="1">
      <c r="A2444" t="s">
        <v>2497</v>
      </c>
      <c r="B2444" t="s">
        <v>30</v>
      </c>
      <c r="C2444">
        <v>152</v>
      </c>
      <c r="D2444">
        <v>3390</v>
      </c>
      <c r="E2444" s="2">
        <v>209.39</v>
      </c>
      <c r="F2444">
        <v>18</v>
      </c>
      <c r="G2444">
        <v>6</v>
      </c>
      <c r="H2444">
        <v>3.9E-2</v>
      </c>
      <c r="I2444" s="3">
        <v>1620</v>
      </c>
      <c r="J2444" s="1">
        <v>45600</v>
      </c>
      <c r="K2444" t="s">
        <v>31</v>
      </c>
      <c r="L2444" t="s">
        <v>7</v>
      </c>
      <c r="M2444" t="s">
        <v>41</v>
      </c>
      <c r="N2444" s="1">
        <f t="shared" si="228"/>
        <v>45600</v>
      </c>
      <c r="O2444" s="4">
        <f t="shared" si="229"/>
        <v>4.4837758112094395E-2</v>
      </c>
      <c r="P2444">
        <f t="shared" si="230"/>
        <v>1.3775657894736841</v>
      </c>
      <c r="Q2444" s="2">
        <f t="shared" si="231"/>
        <v>11.632777777777777</v>
      </c>
      <c r="R2444" s="2">
        <f t="shared" si="232"/>
        <v>34.898333333333333</v>
      </c>
      <c r="S2444" s="2">
        <f t="shared" si="233"/>
        <v>7.7367591575528927</v>
      </c>
    </row>
    <row r="2445" spans="1:19" hidden="1">
      <c r="A2445" t="s">
        <v>2498</v>
      </c>
      <c r="B2445" t="s">
        <v>30</v>
      </c>
      <c r="C2445">
        <v>113</v>
      </c>
      <c r="D2445">
        <v>3532</v>
      </c>
      <c r="E2445" s="2">
        <v>247.57</v>
      </c>
      <c r="F2445">
        <v>29</v>
      </c>
      <c r="G2445">
        <v>6</v>
      </c>
      <c r="H2445">
        <v>5.5E-2</v>
      </c>
      <c r="I2445" s="3">
        <v>1273</v>
      </c>
      <c r="J2445" s="1">
        <v>45616</v>
      </c>
      <c r="K2445" t="s">
        <v>31</v>
      </c>
      <c r="L2445" t="s">
        <v>8</v>
      </c>
      <c r="M2445" t="s">
        <v>32</v>
      </c>
      <c r="N2445" s="1">
        <f t="shared" si="228"/>
        <v>45616</v>
      </c>
      <c r="O2445" s="4">
        <f t="shared" si="229"/>
        <v>3.199320498301246E-2</v>
      </c>
      <c r="P2445">
        <f t="shared" si="230"/>
        <v>2.1908849557522125</v>
      </c>
      <c r="Q2445" s="2">
        <f t="shared" si="231"/>
        <v>8.5368965517241371</v>
      </c>
      <c r="R2445" s="2">
        <f t="shared" si="232"/>
        <v>41.261666666666663</v>
      </c>
      <c r="S2445" s="2">
        <f t="shared" si="233"/>
        <v>5.1419800460475829</v>
      </c>
    </row>
    <row r="2446" spans="1:19" hidden="1">
      <c r="A2446" t="s">
        <v>2499</v>
      </c>
      <c r="B2446" t="s">
        <v>30</v>
      </c>
      <c r="C2446">
        <v>93</v>
      </c>
      <c r="D2446">
        <v>3683</v>
      </c>
      <c r="E2446" s="2">
        <v>201.45</v>
      </c>
      <c r="F2446">
        <v>11</v>
      </c>
      <c r="G2446">
        <v>10</v>
      </c>
      <c r="H2446">
        <v>0.108</v>
      </c>
      <c r="I2446" s="3">
        <v>1331</v>
      </c>
      <c r="J2446" s="1">
        <v>45610</v>
      </c>
      <c r="K2446" t="s">
        <v>31</v>
      </c>
      <c r="L2446" t="s">
        <v>8</v>
      </c>
      <c r="M2446" t="s">
        <v>32</v>
      </c>
      <c r="N2446" s="1">
        <f t="shared" si="228"/>
        <v>45610</v>
      </c>
      <c r="O2446" s="4">
        <f t="shared" si="229"/>
        <v>2.5251153950583763E-2</v>
      </c>
      <c r="P2446">
        <f t="shared" si="230"/>
        <v>2.1661290322580644</v>
      </c>
      <c r="Q2446" s="2">
        <f t="shared" si="231"/>
        <v>18.313636363636363</v>
      </c>
      <c r="R2446" s="2">
        <f t="shared" si="232"/>
        <v>20.145</v>
      </c>
      <c r="S2446" s="2">
        <f t="shared" si="233"/>
        <v>6.6070985356167791</v>
      </c>
    </row>
    <row r="2447" spans="1:19" hidden="1">
      <c r="A2447" t="s">
        <v>2500</v>
      </c>
      <c r="B2447" t="s">
        <v>30</v>
      </c>
      <c r="C2447">
        <v>141</v>
      </c>
      <c r="D2447">
        <v>5031</v>
      </c>
      <c r="E2447" s="2">
        <v>189.92</v>
      </c>
      <c r="F2447">
        <v>23</v>
      </c>
      <c r="G2447">
        <v>5</v>
      </c>
      <c r="H2447">
        <v>3.5000000000000003E-2</v>
      </c>
      <c r="I2447" s="3">
        <v>1093</v>
      </c>
      <c r="J2447" s="1">
        <v>45597</v>
      </c>
      <c r="K2447" t="s">
        <v>31</v>
      </c>
      <c r="L2447" t="s">
        <v>7</v>
      </c>
      <c r="M2447" t="s">
        <v>37</v>
      </c>
      <c r="N2447" s="1">
        <f t="shared" si="228"/>
        <v>45597</v>
      </c>
      <c r="O2447" s="4">
        <f t="shared" si="229"/>
        <v>2.8026237328562909E-2</v>
      </c>
      <c r="P2447">
        <f t="shared" si="230"/>
        <v>1.3469503546099291</v>
      </c>
      <c r="Q2447" s="2">
        <f t="shared" si="231"/>
        <v>8.2573913043478253</v>
      </c>
      <c r="R2447" s="2">
        <f t="shared" si="232"/>
        <v>37.983999999999995</v>
      </c>
      <c r="S2447" s="2">
        <f t="shared" si="233"/>
        <v>5.755054759898905</v>
      </c>
    </row>
    <row r="2448" spans="1:19" hidden="1">
      <c r="A2448" t="s">
        <v>2501</v>
      </c>
      <c r="B2448" t="s">
        <v>30</v>
      </c>
      <c r="C2448">
        <v>191</v>
      </c>
      <c r="D2448">
        <v>5660</v>
      </c>
      <c r="E2448" s="2">
        <v>192.49</v>
      </c>
      <c r="F2448">
        <v>21</v>
      </c>
      <c r="G2448">
        <v>5</v>
      </c>
      <c r="H2448">
        <v>5.6000000000000001E-2</v>
      </c>
      <c r="I2448" s="3">
        <v>1023</v>
      </c>
      <c r="J2448" s="1">
        <v>45362</v>
      </c>
      <c r="K2448" t="s">
        <v>31</v>
      </c>
      <c r="L2448" t="s">
        <v>8</v>
      </c>
      <c r="M2448" t="s">
        <v>35</v>
      </c>
      <c r="N2448" s="1">
        <f t="shared" si="228"/>
        <v>45362</v>
      </c>
      <c r="O2448" s="4">
        <f t="shared" si="229"/>
        <v>3.3745583038869258E-2</v>
      </c>
      <c r="P2448">
        <f t="shared" si="230"/>
        <v>1.0078010471204188</v>
      </c>
      <c r="Q2448" s="2">
        <f t="shared" si="231"/>
        <v>9.1661904761904758</v>
      </c>
      <c r="R2448" s="2">
        <f t="shared" si="232"/>
        <v>38.498000000000005</v>
      </c>
      <c r="S2448" s="2">
        <f t="shared" si="233"/>
        <v>5.3145617954179434</v>
      </c>
    </row>
    <row r="2449" spans="1:19">
      <c r="A2449" t="s">
        <v>2502</v>
      </c>
      <c r="B2449" t="s">
        <v>30</v>
      </c>
      <c r="C2449">
        <v>187</v>
      </c>
      <c r="D2449">
        <v>3450</v>
      </c>
      <c r="E2449" s="2">
        <v>234.31</v>
      </c>
      <c r="F2449">
        <v>18</v>
      </c>
      <c r="G2449">
        <v>9</v>
      </c>
      <c r="H2449">
        <v>4.5999999999999999E-2</v>
      </c>
      <c r="I2449" s="3">
        <v>1609</v>
      </c>
      <c r="J2449" s="1">
        <v>45614</v>
      </c>
      <c r="K2449" t="s">
        <v>31</v>
      </c>
      <c r="L2449" t="s">
        <v>9</v>
      </c>
      <c r="M2449" t="s">
        <v>41</v>
      </c>
      <c r="N2449" s="1">
        <f t="shared" si="228"/>
        <v>45614</v>
      </c>
      <c r="O2449" s="4">
        <f t="shared" si="229"/>
        <v>5.4202898550724639E-2</v>
      </c>
      <c r="P2449">
        <f t="shared" si="230"/>
        <v>1.2529946524064171</v>
      </c>
      <c r="Q2449" s="2">
        <f t="shared" si="231"/>
        <v>13.017222222222223</v>
      </c>
      <c r="R2449" s="2">
        <f t="shared" si="232"/>
        <v>26.034444444444446</v>
      </c>
      <c r="S2449" s="2">
        <f t="shared" si="233"/>
        <v>6.8669711066535788</v>
      </c>
    </row>
    <row r="2450" spans="1:19" hidden="1">
      <c r="A2450" t="s">
        <v>2503</v>
      </c>
      <c r="B2450" t="s">
        <v>30</v>
      </c>
      <c r="C2450">
        <v>118</v>
      </c>
      <c r="D2450">
        <v>4804</v>
      </c>
      <c r="E2450" s="2">
        <v>227.98</v>
      </c>
      <c r="F2450">
        <v>28</v>
      </c>
      <c r="G2450">
        <v>9</v>
      </c>
      <c r="H2450">
        <v>3.9E-2</v>
      </c>
      <c r="I2450" s="3">
        <v>1064</v>
      </c>
      <c r="J2450" s="1" t="s">
        <v>357</v>
      </c>
      <c r="K2450" t="s">
        <v>31</v>
      </c>
      <c r="L2450" t="s">
        <v>8</v>
      </c>
      <c r="M2450" t="s">
        <v>32</v>
      </c>
      <c r="N2450" s="1">
        <f t="shared" si="228"/>
        <v>45624</v>
      </c>
      <c r="O2450" s="4">
        <f t="shared" si="229"/>
        <v>2.4562864279766863E-2</v>
      </c>
      <c r="P2450">
        <f t="shared" si="230"/>
        <v>1.9320338983050847</v>
      </c>
      <c r="Q2450" s="2">
        <f t="shared" si="231"/>
        <v>8.142142857142856</v>
      </c>
      <c r="R2450" s="2">
        <f t="shared" si="232"/>
        <v>25.33111111111111</v>
      </c>
      <c r="S2450" s="2">
        <f t="shared" si="233"/>
        <v>4.6670760593034482</v>
      </c>
    </row>
    <row r="2451" spans="1:19">
      <c r="A2451" t="s">
        <v>2504</v>
      </c>
      <c r="B2451" t="s">
        <v>30</v>
      </c>
      <c r="C2451">
        <v>184</v>
      </c>
      <c r="D2451">
        <v>5983</v>
      </c>
      <c r="E2451" s="2">
        <v>242.62</v>
      </c>
      <c r="F2451">
        <v>25</v>
      </c>
      <c r="G2451">
        <v>6</v>
      </c>
      <c r="H2451">
        <v>4.5999999999999999E-2</v>
      </c>
      <c r="I2451" s="3">
        <v>1538</v>
      </c>
      <c r="J2451" s="1">
        <v>45599</v>
      </c>
      <c r="K2451" t="s">
        <v>31</v>
      </c>
      <c r="L2451" t="s">
        <v>7</v>
      </c>
      <c r="M2451" t="s">
        <v>35</v>
      </c>
      <c r="N2451" s="1">
        <f t="shared" si="228"/>
        <v>45599</v>
      </c>
      <c r="O2451" s="4">
        <f t="shared" si="229"/>
        <v>3.0753802440247367E-2</v>
      </c>
      <c r="P2451">
        <f t="shared" si="230"/>
        <v>1.3185869565217392</v>
      </c>
      <c r="Q2451" s="2">
        <f t="shared" si="231"/>
        <v>9.7048000000000005</v>
      </c>
      <c r="R2451" s="2">
        <f t="shared" si="232"/>
        <v>40.436666666666667</v>
      </c>
      <c r="S2451" s="2">
        <f t="shared" si="233"/>
        <v>6.3391311515950868</v>
      </c>
    </row>
    <row r="2452" spans="1:19" hidden="1">
      <c r="A2452" t="s">
        <v>2505</v>
      </c>
      <c r="B2452" t="s">
        <v>30</v>
      </c>
      <c r="C2452">
        <v>167</v>
      </c>
      <c r="D2452">
        <v>5051</v>
      </c>
      <c r="E2452" s="2">
        <v>202.95</v>
      </c>
      <c r="F2452">
        <v>21</v>
      </c>
      <c r="G2452">
        <v>10</v>
      </c>
      <c r="H2452">
        <v>0.06</v>
      </c>
      <c r="I2452" s="3">
        <v>1812</v>
      </c>
      <c r="J2452" s="1">
        <v>45606</v>
      </c>
      <c r="K2452" t="s">
        <v>31</v>
      </c>
      <c r="L2452" t="s">
        <v>8</v>
      </c>
      <c r="M2452" t="s">
        <v>32</v>
      </c>
      <c r="N2452" s="1">
        <f t="shared" si="228"/>
        <v>45606</v>
      </c>
      <c r="O2452" s="4">
        <f t="shared" si="229"/>
        <v>3.3062759849534745E-2</v>
      </c>
      <c r="P2452">
        <f t="shared" si="230"/>
        <v>1.2152694610778443</v>
      </c>
      <c r="Q2452" s="2">
        <f t="shared" si="231"/>
        <v>9.6642857142857146</v>
      </c>
      <c r="R2452" s="2">
        <f t="shared" si="232"/>
        <v>20.294999999999998</v>
      </c>
      <c r="S2452" s="2">
        <f t="shared" si="233"/>
        <v>8.928307464892832</v>
      </c>
    </row>
    <row r="2453" spans="1:19" hidden="1">
      <c r="A2453" t="s">
        <v>2506</v>
      </c>
      <c r="B2453" t="s">
        <v>30</v>
      </c>
      <c r="C2453">
        <v>162</v>
      </c>
      <c r="D2453">
        <v>3815</v>
      </c>
      <c r="E2453" s="2">
        <v>221.44</v>
      </c>
      <c r="F2453">
        <v>13</v>
      </c>
      <c r="G2453">
        <v>7</v>
      </c>
      <c r="H2453">
        <v>0.04</v>
      </c>
      <c r="I2453" s="3">
        <v>1728</v>
      </c>
      <c r="J2453" s="1">
        <v>45617</v>
      </c>
      <c r="K2453" t="s">
        <v>31</v>
      </c>
      <c r="L2453" t="s">
        <v>7</v>
      </c>
      <c r="M2453" t="s">
        <v>35</v>
      </c>
      <c r="N2453" s="1">
        <f t="shared" si="228"/>
        <v>45617</v>
      </c>
      <c r="O2453" s="4">
        <f t="shared" si="229"/>
        <v>4.2463958060288333E-2</v>
      </c>
      <c r="P2453">
        <f t="shared" si="230"/>
        <v>1.3669135802469137</v>
      </c>
      <c r="Q2453" s="2">
        <f t="shared" si="231"/>
        <v>17.033846153846152</v>
      </c>
      <c r="R2453" s="2">
        <f t="shared" si="232"/>
        <v>31.634285714285713</v>
      </c>
      <c r="S2453" s="2">
        <f t="shared" si="233"/>
        <v>7.803468208092486</v>
      </c>
    </row>
    <row r="2454" spans="1:19" hidden="1">
      <c r="A2454" t="s">
        <v>2507</v>
      </c>
      <c r="B2454" t="s">
        <v>30</v>
      </c>
      <c r="C2454">
        <v>125</v>
      </c>
      <c r="D2454">
        <v>5370</v>
      </c>
      <c r="E2454" s="2">
        <v>183.67</v>
      </c>
      <c r="F2454">
        <v>18</v>
      </c>
      <c r="G2454">
        <v>10</v>
      </c>
      <c r="H2454">
        <v>4.2000000000000003E-2</v>
      </c>
      <c r="I2454" s="3">
        <v>1815</v>
      </c>
      <c r="J2454" s="1" t="s">
        <v>50</v>
      </c>
      <c r="K2454" t="s">
        <v>31</v>
      </c>
      <c r="L2454" t="s">
        <v>9</v>
      </c>
      <c r="M2454" t="s">
        <v>35</v>
      </c>
      <c r="N2454" s="1">
        <f t="shared" si="228"/>
        <v>45610</v>
      </c>
      <c r="O2454" s="4">
        <f t="shared" si="229"/>
        <v>2.3277467411545624E-2</v>
      </c>
      <c r="P2454">
        <f t="shared" si="230"/>
        <v>1.46936</v>
      </c>
      <c r="Q2454" s="2">
        <f t="shared" si="231"/>
        <v>10.203888888888889</v>
      </c>
      <c r="R2454" s="2">
        <f t="shared" si="232"/>
        <v>18.366999999999997</v>
      </c>
      <c r="S2454" s="2">
        <f t="shared" si="233"/>
        <v>9.8818533238961184</v>
      </c>
    </row>
    <row r="2455" spans="1:19">
      <c r="A2455" t="s">
        <v>2508</v>
      </c>
      <c r="B2455" t="s">
        <v>30</v>
      </c>
      <c r="C2455">
        <v>102</v>
      </c>
      <c r="D2455">
        <v>4451</v>
      </c>
      <c r="E2455" s="2">
        <v>219.15</v>
      </c>
      <c r="F2455">
        <v>29</v>
      </c>
      <c r="G2455">
        <v>7</v>
      </c>
      <c r="H2455">
        <v>4.5999999999999999E-2</v>
      </c>
      <c r="I2455" s="3">
        <v>1491</v>
      </c>
      <c r="J2455" s="1" t="s">
        <v>86</v>
      </c>
      <c r="K2455" t="s">
        <v>31</v>
      </c>
      <c r="L2455" t="s">
        <v>8</v>
      </c>
      <c r="M2455" t="s">
        <v>37</v>
      </c>
      <c r="N2455" s="1">
        <f t="shared" si="228"/>
        <v>45625</v>
      </c>
      <c r="O2455" s="4">
        <f t="shared" si="229"/>
        <v>2.2916198607054593E-2</v>
      </c>
      <c r="P2455">
        <f t="shared" si="230"/>
        <v>2.1485294117647058</v>
      </c>
      <c r="Q2455" s="2">
        <f t="shared" si="231"/>
        <v>7.5568965517241384</v>
      </c>
      <c r="R2455" s="2">
        <f t="shared" si="232"/>
        <v>31.307142857142857</v>
      </c>
      <c r="S2455" s="2">
        <f t="shared" si="233"/>
        <v>6.8035592060232712</v>
      </c>
    </row>
    <row r="2456" spans="1:19">
      <c r="A2456" t="s">
        <v>2509</v>
      </c>
      <c r="B2456" t="s">
        <v>30</v>
      </c>
      <c r="C2456">
        <v>141</v>
      </c>
      <c r="D2456">
        <v>4243</v>
      </c>
      <c r="E2456" s="2">
        <v>190.94</v>
      </c>
      <c r="F2456">
        <v>24</v>
      </c>
      <c r="G2456">
        <v>6</v>
      </c>
      <c r="H2456">
        <v>4.5999999999999999E-2</v>
      </c>
      <c r="I2456" s="3">
        <v>1505</v>
      </c>
      <c r="J2456" s="1">
        <v>45618</v>
      </c>
      <c r="K2456" t="s">
        <v>31</v>
      </c>
      <c r="L2456" t="s">
        <v>7</v>
      </c>
      <c r="M2456" t="s">
        <v>39</v>
      </c>
      <c r="N2456" s="1">
        <f t="shared" si="228"/>
        <v>45618</v>
      </c>
      <c r="O2456" s="4">
        <f t="shared" si="229"/>
        <v>3.3231204336554326E-2</v>
      </c>
      <c r="P2456">
        <f t="shared" si="230"/>
        <v>1.3541843971631204</v>
      </c>
      <c r="Q2456" s="2">
        <f t="shared" si="231"/>
        <v>7.9558333333333335</v>
      </c>
      <c r="R2456" s="2">
        <f t="shared" si="232"/>
        <v>31.823333333333334</v>
      </c>
      <c r="S2456" s="2">
        <f t="shared" si="233"/>
        <v>7.8820571907405466</v>
      </c>
    </row>
    <row r="2457" spans="1:19">
      <c r="A2457" t="s">
        <v>2510</v>
      </c>
      <c r="B2457" t="s">
        <v>30</v>
      </c>
      <c r="C2457">
        <v>121</v>
      </c>
      <c r="D2457">
        <v>3844</v>
      </c>
      <c r="E2457" s="2">
        <v>242.19</v>
      </c>
      <c r="F2457">
        <v>29</v>
      </c>
      <c r="G2457">
        <v>3</v>
      </c>
      <c r="H2457">
        <v>4.5999999999999999E-2</v>
      </c>
      <c r="I2457" s="3">
        <v>1897</v>
      </c>
      <c r="J2457" s="1">
        <v>45606</v>
      </c>
      <c r="K2457" t="s">
        <v>31</v>
      </c>
      <c r="L2457" t="s">
        <v>8</v>
      </c>
      <c r="M2457" t="s">
        <v>32</v>
      </c>
      <c r="N2457" s="1">
        <f t="shared" si="228"/>
        <v>45606</v>
      </c>
      <c r="O2457" s="4">
        <f t="shared" si="229"/>
        <v>3.1477627471383975E-2</v>
      </c>
      <c r="P2457">
        <f t="shared" si="230"/>
        <v>2.0015702479338842</v>
      </c>
      <c r="Q2457" s="2">
        <f t="shared" si="231"/>
        <v>8.3513793103448268</v>
      </c>
      <c r="R2457" s="2">
        <f t="shared" si="232"/>
        <v>80.73</v>
      </c>
      <c r="S2457" s="2">
        <f t="shared" si="233"/>
        <v>7.8326933399397172</v>
      </c>
    </row>
    <row r="2458" spans="1:19" hidden="1">
      <c r="A2458" t="s">
        <v>2511</v>
      </c>
      <c r="B2458" t="s">
        <v>30</v>
      </c>
      <c r="C2458">
        <v>142</v>
      </c>
      <c r="D2458">
        <v>4023</v>
      </c>
      <c r="E2458" s="2">
        <v>186.79</v>
      </c>
      <c r="F2458">
        <v>17</v>
      </c>
      <c r="G2458">
        <v>3</v>
      </c>
      <c r="H2458">
        <v>2.1000000000000001E-2</v>
      </c>
      <c r="I2458" s="3">
        <v>1172</v>
      </c>
      <c r="J2458" s="1">
        <v>45619</v>
      </c>
      <c r="K2458" t="s">
        <v>31</v>
      </c>
      <c r="L2458" t="s">
        <v>9</v>
      </c>
      <c r="M2458" t="s">
        <v>39</v>
      </c>
      <c r="N2458" s="1">
        <f t="shared" si="228"/>
        <v>45619</v>
      </c>
      <c r="O2458" s="4">
        <f t="shared" si="229"/>
        <v>3.5297042008451407E-2</v>
      </c>
      <c r="P2458">
        <f t="shared" si="230"/>
        <v>1.3154225352112676</v>
      </c>
      <c r="Q2458" s="2">
        <f t="shared" si="231"/>
        <v>10.987647058823528</v>
      </c>
      <c r="R2458" s="2">
        <f t="shared" si="232"/>
        <v>62.263333333333328</v>
      </c>
      <c r="S2458" s="2">
        <f t="shared" si="233"/>
        <v>6.2744258257936725</v>
      </c>
    </row>
    <row r="2459" spans="1:19" hidden="1">
      <c r="A2459" t="s">
        <v>2512</v>
      </c>
      <c r="B2459" t="s">
        <v>30</v>
      </c>
      <c r="C2459">
        <v>150</v>
      </c>
      <c r="D2459">
        <v>4409</v>
      </c>
      <c r="E2459" s="2">
        <v>223.45</v>
      </c>
      <c r="F2459">
        <v>23</v>
      </c>
      <c r="G2459">
        <v>7</v>
      </c>
      <c r="H2459">
        <v>4.7E-2</v>
      </c>
      <c r="I2459" s="3">
        <v>1578</v>
      </c>
      <c r="J2459" s="1">
        <v>45609</v>
      </c>
      <c r="K2459" t="s">
        <v>31</v>
      </c>
      <c r="L2459" t="s">
        <v>7</v>
      </c>
      <c r="M2459" t="s">
        <v>32</v>
      </c>
      <c r="N2459" s="1">
        <f t="shared" si="228"/>
        <v>45609</v>
      </c>
      <c r="O2459" s="4">
        <f t="shared" si="229"/>
        <v>3.4021320027217056E-2</v>
      </c>
      <c r="P2459">
        <f t="shared" si="230"/>
        <v>1.4896666666666667</v>
      </c>
      <c r="Q2459" s="2">
        <f t="shared" si="231"/>
        <v>9.715217391304348</v>
      </c>
      <c r="R2459" s="2">
        <f t="shared" si="232"/>
        <v>31.921428571428571</v>
      </c>
      <c r="S2459" s="2">
        <f t="shared" si="233"/>
        <v>7.0619825464309693</v>
      </c>
    </row>
    <row r="2460" spans="1:19" hidden="1">
      <c r="A2460" t="s">
        <v>2513</v>
      </c>
      <c r="B2460" t="s">
        <v>30</v>
      </c>
      <c r="C2460">
        <v>117</v>
      </c>
      <c r="D2460">
        <v>3109</v>
      </c>
      <c r="E2460" s="2">
        <v>239.1</v>
      </c>
      <c r="F2460">
        <v>21</v>
      </c>
      <c r="G2460">
        <v>3</v>
      </c>
      <c r="H2460">
        <v>2.5999999999999999E-2</v>
      </c>
      <c r="I2460" s="3">
        <v>1505</v>
      </c>
      <c r="J2460" s="1">
        <v>45623</v>
      </c>
      <c r="K2460" t="s">
        <v>31</v>
      </c>
      <c r="L2460" t="s">
        <v>9</v>
      </c>
      <c r="M2460" t="s">
        <v>35</v>
      </c>
      <c r="N2460" s="1">
        <f t="shared" si="228"/>
        <v>45623</v>
      </c>
      <c r="O2460" s="4">
        <f t="shared" si="229"/>
        <v>3.7632679318108715E-2</v>
      </c>
      <c r="P2460">
        <f t="shared" si="230"/>
        <v>2.0435897435897434</v>
      </c>
      <c r="Q2460" s="2">
        <f t="shared" si="231"/>
        <v>11.385714285714286</v>
      </c>
      <c r="R2460" s="2">
        <f t="shared" si="232"/>
        <v>79.7</v>
      </c>
      <c r="S2460" s="2">
        <f t="shared" si="233"/>
        <v>6.2944374738603095</v>
      </c>
    </row>
    <row r="2461" spans="1:19" hidden="1">
      <c r="A2461" t="s">
        <v>2514</v>
      </c>
      <c r="B2461" t="s">
        <v>30</v>
      </c>
      <c r="C2461">
        <v>142</v>
      </c>
      <c r="D2461">
        <v>5613</v>
      </c>
      <c r="E2461" s="2">
        <v>180.45</v>
      </c>
      <c r="F2461">
        <v>11</v>
      </c>
      <c r="G2461">
        <v>9</v>
      </c>
      <c r="H2461">
        <v>6.3E-2</v>
      </c>
      <c r="I2461" s="3">
        <v>1978</v>
      </c>
      <c r="J2461" s="1">
        <v>45624</v>
      </c>
      <c r="K2461" t="s">
        <v>31</v>
      </c>
      <c r="L2461" t="s">
        <v>8</v>
      </c>
      <c r="M2461" t="s">
        <v>39</v>
      </c>
      <c r="N2461" s="1">
        <f t="shared" si="228"/>
        <v>45624</v>
      </c>
      <c r="O2461" s="4">
        <f t="shared" si="229"/>
        <v>2.5298414395154106E-2</v>
      </c>
      <c r="P2461">
        <f t="shared" si="230"/>
        <v>1.2707746478873239</v>
      </c>
      <c r="Q2461" s="2">
        <f t="shared" si="231"/>
        <v>16.404545454545453</v>
      </c>
      <c r="R2461" s="2">
        <f t="shared" si="232"/>
        <v>20.049999999999997</v>
      </c>
      <c r="S2461" s="2">
        <f t="shared" si="233"/>
        <v>10.961485175949017</v>
      </c>
    </row>
    <row r="2462" spans="1:19" hidden="1">
      <c r="A2462" t="s">
        <v>2515</v>
      </c>
      <c r="B2462" t="s">
        <v>30</v>
      </c>
      <c r="C2462">
        <v>103</v>
      </c>
      <c r="D2462">
        <v>4821</v>
      </c>
      <c r="E2462" s="2">
        <v>214.54</v>
      </c>
      <c r="F2462">
        <v>30</v>
      </c>
      <c r="G2462">
        <v>6</v>
      </c>
      <c r="H2462">
        <v>5.8000000000000003E-2</v>
      </c>
      <c r="I2462" s="3">
        <v>1408</v>
      </c>
      <c r="J2462" s="1" t="s">
        <v>217</v>
      </c>
      <c r="K2462" t="s">
        <v>31</v>
      </c>
      <c r="L2462" t="s">
        <v>9</v>
      </c>
      <c r="M2462" t="s">
        <v>37</v>
      </c>
      <c r="N2462" s="1">
        <f t="shared" si="228"/>
        <v>45609</v>
      </c>
      <c r="O2462" s="4">
        <f t="shared" si="229"/>
        <v>2.13648620618129E-2</v>
      </c>
      <c r="P2462">
        <f t="shared" si="230"/>
        <v>2.0829126213592231</v>
      </c>
      <c r="Q2462" s="2">
        <f t="shared" si="231"/>
        <v>7.1513333333333327</v>
      </c>
      <c r="R2462" s="2">
        <f t="shared" si="232"/>
        <v>35.756666666666668</v>
      </c>
      <c r="S2462" s="2">
        <f t="shared" si="233"/>
        <v>6.5628787172555239</v>
      </c>
    </row>
    <row r="2463" spans="1:19" hidden="1">
      <c r="A2463" t="s">
        <v>2516</v>
      </c>
      <c r="B2463" t="s">
        <v>30</v>
      </c>
      <c r="C2463">
        <v>187</v>
      </c>
      <c r="D2463">
        <v>3289</v>
      </c>
      <c r="E2463" s="2">
        <v>186.04</v>
      </c>
      <c r="F2463">
        <v>23</v>
      </c>
      <c r="G2463">
        <v>5</v>
      </c>
      <c r="H2463">
        <v>2.7E-2</v>
      </c>
      <c r="I2463" s="3">
        <v>1645</v>
      </c>
      <c r="J2463" s="1">
        <v>45602</v>
      </c>
      <c r="K2463" t="s">
        <v>31</v>
      </c>
      <c r="L2463" t="s">
        <v>7</v>
      </c>
      <c r="M2463" t="s">
        <v>35</v>
      </c>
      <c r="N2463" s="1">
        <f t="shared" si="228"/>
        <v>45602</v>
      </c>
      <c r="O2463" s="4">
        <f t="shared" si="229"/>
        <v>5.6856187290969896E-2</v>
      </c>
      <c r="P2463">
        <f t="shared" si="230"/>
        <v>0.99486631016042781</v>
      </c>
      <c r="Q2463" s="2">
        <f t="shared" si="231"/>
        <v>8.0886956521739126</v>
      </c>
      <c r="R2463" s="2">
        <f t="shared" si="232"/>
        <v>37.207999999999998</v>
      </c>
      <c r="S2463" s="2">
        <f t="shared" si="233"/>
        <v>8.8421844764566764</v>
      </c>
    </row>
    <row r="2464" spans="1:19" hidden="1">
      <c r="A2464" t="s">
        <v>2517</v>
      </c>
      <c r="B2464" t="s">
        <v>30</v>
      </c>
      <c r="C2464">
        <v>172</v>
      </c>
      <c r="D2464">
        <v>4441</v>
      </c>
      <c r="E2464" s="2">
        <v>209.18</v>
      </c>
      <c r="F2464">
        <v>17</v>
      </c>
      <c r="G2464">
        <v>10</v>
      </c>
      <c r="H2464">
        <v>4.2999999999999997E-2</v>
      </c>
      <c r="I2464" s="3">
        <v>1505</v>
      </c>
      <c r="J2464" s="1">
        <v>45625</v>
      </c>
      <c r="K2464" t="s">
        <v>31</v>
      </c>
      <c r="L2464" t="s">
        <v>7</v>
      </c>
      <c r="M2464" t="s">
        <v>37</v>
      </c>
      <c r="N2464" s="1">
        <f t="shared" si="228"/>
        <v>45625</v>
      </c>
      <c r="O2464" s="4">
        <f t="shared" si="229"/>
        <v>3.8730015762215714E-2</v>
      </c>
      <c r="P2464">
        <f t="shared" si="230"/>
        <v>1.2161627906976744</v>
      </c>
      <c r="Q2464" s="2">
        <f t="shared" si="231"/>
        <v>12.304705882352941</v>
      </c>
      <c r="R2464" s="2">
        <f t="shared" si="232"/>
        <v>20.917999999999999</v>
      </c>
      <c r="S2464" s="2">
        <f t="shared" si="233"/>
        <v>7.1947604933550053</v>
      </c>
    </row>
    <row r="2465" spans="1:19" hidden="1">
      <c r="A2465" t="s">
        <v>2518</v>
      </c>
      <c r="B2465" t="s">
        <v>30</v>
      </c>
      <c r="C2465">
        <v>105</v>
      </c>
      <c r="D2465">
        <v>3000</v>
      </c>
      <c r="E2465" s="2">
        <v>185.97</v>
      </c>
      <c r="F2465">
        <v>17</v>
      </c>
      <c r="G2465">
        <v>6</v>
      </c>
      <c r="H2465">
        <v>5.7000000000000002E-2</v>
      </c>
      <c r="I2465" s="3">
        <v>1993</v>
      </c>
      <c r="J2465" s="1">
        <v>45625</v>
      </c>
      <c r="K2465" t="s">
        <v>31</v>
      </c>
      <c r="L2465" t="s">
        <v>8</v>
      </c>
      <c r="M2465" t="s">
        <v>37</v>
      </c>
      <c r="N2465" s="1">
        <f t="shared" si="228"/>
        <v>45625</v>
      </c>
      <c r="O2465" s="4">
        <f t="shared" si="229"/>
        <v>3.5000000000000003E-2</v>
      </c>
      <c r="P2465">
        <f t="shared" si="230"/>
        <v>1.7711428571428571</v>
      </c>
      <c r="Q2465" s="2">
        <f t="shared" si="231"/>
        <v>10.939411764705882</v>
      </c>
      <c r="R2465" s="2">
        <f t="shared" si="232"/>
        <v>30.995000000000001</v>
      </c>
      <c r="S2465" s="2">
        <f t="shared" si="233"/>
        <v>10.716782276711298</v>
      </c>
    </row>
    <row r="2466" spans="1:19" hidden="1">
      <c r="A2466" t="s">
        <v>2519</v>
      </c>
      <c r="B2466" t="s">
        <v>30</v>
      </c>
      <c r="C2466">
        <v>181</v>
      </c>
      <c r="D2466">
        <v>4156</v>
      </c>
      <c r="E2466" s="2">
        <v>245.68</v>
      </c>
      <c r="F2466">
        <v>22</v>
      </c>
      <c r="G2466">
        <v>10</v>
      </c>
      <c r="H2466">
        <v>3.1E-2</v>
      </c>
      <c r="I2466" s="3">
        <v>1336</v>
      </c>
      <c r="J2466" s="1">
        <v>45610</v>
      </c>
      <c r="K2466" t="s">
        <v>31</v>
      </c>
      <c r="L2466" t="s">
        <v>8</v>
      </c>
      <c r="M2466" t="s">
        <v>32</v>
      </c>
      <c r="N2466" s="1">
        <f t="shared" si="228"/>
        <v>45610</v>
      </c>
      <c r="O2466" s="4">
        <f t="shared" si="229"/>
        <v>4.3551491819056785E-2</v>
      </c>
      <c r="P2466">
        <f t="shared" si="230"/>
        <v>1.3573480662983426</v>
      </c>
      <c r="Q2466" s="2">
        <f t="shared" si="231"/>
        <v>11.167272727272728</v>
      </c>
      <c r="R2466" s="2">
        <f t="shared" si="232"/>
        <v>24.568000000000001</v>
      </c>
      <c r="S2466" s="2">
        <f t="shared" si="233"/>
        <v>5.4379680885704982</v>
      </c>
    </row>
    <row r="2467" spans="1:19">
      <c r="A2467" t="s">
        <v>2520</v>
      </c>
      <c r="B2467" t="s">
        <v>30</v>
      </c>
      <c r="C2467">
        <v>172</v>
      </c>
      <c r="D2467">
        <v>5314</v>
      </c>
      <c r="E2467" s="2">
        <v>240.69</v>
      </c>
      <c r="F2467">
        <v>14</v>
      </c>
      <c r="G2467">
        <v>9</v>
      </c>
      <c r="H2467">
        <v>4.5999999999999999E-2</v>
      </c>
      <c r="I2467" s="3">
        <v>1998</v>
      </c>
      <c r="J2467" s="1">
        <v>45619</v>
      </c>
      <c r="K2467" t="s">
        <v>31</v>
      </c>
      <c r="L2467" t="s">
        <v>9</v>
      </c>
      <c r="M2467" t="s">
        <v>32</v>
      </c>
      <c r="N2467" s="1">
        <f t="shared" si="228"/>
        <v>45619</v>
      </c>
      <c r="O2467" s="4">
        <f t="shared" si="229"/>
        <v>3.2367331576966502E-2</v>
      </c>
      <c r="P2467">
        <f t="shared" si="230"/>
        <v>1.399360465116279</v>
      </c>
      <c r="Q2467" s="2">
        <f t="shared" si="231"/>
        <v>17.192142857142859</v>
      </c>
      <c r="R2467" s="2">
        <f t="shared" si="232"/>
        <v>26.743333333333332</v>
      </c>
      <c r="S2467" s="2">
        <f t="shared" si="233"/>
        <v>8.3011342390626943</v>
      </c>
    </row>
    <row r="2468" spans="1:19" hidden="1">
      <c r="A2468" t="s">
        <v>2521</v>
      </c>
      <c r="B2468" t="s">
        <v>30</v>
      </c>
      <c r="C2468">
        <v>98</v>
      </c>
      <c r="D2468">
        <v>4655</v>
      </c>
      <c r="E2468" s="2">
        <v>182.99</v>
      </c>
      <c r="F2468">
        <v>21</v>
      </c>
      <c r="G2468">
        <v>10</v>
      </c>
      <c r="H2468">
        <v>0.10199999999999999</v>
      </c>
      <c r="I2468" s="3">
        <v>1918</v>
      </c>
      <c r="J2468" s="1" t="s">
        <v>206</v>
      </c>
      <c r="K2468" t="s">
        <v>31</v>
      </c>
      <c r="L2468" t="s">
        <v>7</v>
      </c>
      <c r="M2468" t="s">
        <v>35</v>
      </c>
      <c r="N2468" s="1">
        <f t="shared" si="228"/>
        <v>45621</v>
      </c>
      <c r="O2468" s="4">
        <f t="shared" si="229"/>
        <v>2.1052631578947368E-2</v>
      </c>
      <c r="P2468">
        <f t="shared" si="230"/>
        <v>1.8672448979591838</v>
      </c>
      <c r="Q2468" s="2">
        <f t="shared" si="231"/>
        <v>8.713809523809525</v>
      </c>
      <c r="R2468" s="2">
        <f t="shared" si="232"/>
        <v>18.298999999999999</v>
      </c>
      <c r="S2468" s="2">
        <f t="shared" si="233"/>
        <v>10.48144707361058</v>
      </c>
    </row>
    <row r="2469" spans="1:19">
      <c r="A2469" t="s">
        <v>2522</v>
      </c>
      <c r="B2469" t="s">
        <v>30</v>
      </c>
      <c r="C2469">
        <v>92</v>
      </c>
      <c r="D2469">
        <v>3226</v>
      </c>
      <c r="E2469" s="2">
        <v>236.27</v>
      </c>
      <c r="F2469">
        <v>17</v>
      </c>
      <c r="G2469">
        <v>6</v>
      </c>
      <c r="H2469">
        <v>4.5999999999999999E-2</v>
      </c>
      <c r="I2469" s="3">
        <v>1473</v>
      </c>
      <c r="J2469" s="1">
        <v>45576</v>
      </c>
      <c r="K2469" t="s">
        <v>31</v>
      </c>
      <c r="L2469" t="s">
        <v>9</v>
      </c>
      <c r="M2469" t="s">
        <v>39</v>
      </c>
      <c r="N2469" s="1">
        <f t="shared" si="228"/>
        <v>45576</v>
      </c>
      <c r="O2469" s="4">
        <f t="shared" si="229"/>
        <v>2.8518288902665841E-2</v>
      </c>
      <c r="P2469">
        <f t="shared" si="230"/>
        <v>2.5681521739130435</v>
      </c>
      <c r="Q2469" s="2">
        <f t="shared" si="231"/>
        <v>13.898235294117647</v>
      </c>
      <c r="R2469" s="2">
        <f t="shared" si="232"/>
        <v>39.378333333333337</v>
      </c>
      <c r="S2469" s="2">
        <f t="shared" si="233"/>
        <v>6.2343928556312687</v>
      </c>
    </row>
    <row r="2470" spans="1:19" hidden="1">
      <c r="A2470" t="s">
        <v>2523</v>
      </c>
      <c r="B2470" t="s">
        <v>30</v>
      </c>
      <c r="C2470">
        <v>102</v>
      </c>
      <c r="D2470">
        <v>5246</v>
      </c>
      <c r="E2470" s="2">
        <v>234.71</v>
      </c>
      <c r="F2470">
        <v>20</v>
      </c>
      <c r="G2470">
        <v>4</v>
      </c>
      <c r="H2470">
        <v>3.9E-2</v>
      </c>
      <c r="I2470" s="3">
        <v>1903</v>
      </c>
      <c r="J2470" s="1" t="s">
        <v>206</v>
      </c>
      <c r="K2470" t="s">
        <v>31</v>
      </c>
      <c r="L2470" t="s">
        <v>9</v>
      </c>
      <c r="M2470" t="s">
        <v>39</v>
      </c>
      <c r="N2470" s="1">
        <f t="shared" si="228"/>
        <v>45621</v>
      </c>
      <c r="O2470" s="4">
        <f t="shared" si="229"/>
        <v>1.9443385436523065E-2</v>
      </c>
      <c r="P2470">
        <f t="shared" si="230"/>
        <v>2.3010784313725492</v>
      </c>
      <c r="Q2470" s="2">
        <f t="shared" si="231"/>
        <v>11.7355</v>
      </c>
      <c r="R2470" s="2">
        <f t="shared" si="232"/>
        <v>58.677500000000002</v>
      </c>
      <c r="S2470" s="2">
        <f t="shared" si="233"/>
        <v>8.1078778066550203</v>
      </c>
    </row>
    <row r="2471" spans="1:19" hidden="1">
      <c r="A2471" t="s">
        <v>2524</v>
      </c>
      <c r="B2471" t="s">
        <v>30</v>
      </c>
      <c r="C2471">
        <v>143</v>
      </c>
      <c r="D2471">
        <v>5545</v>
      </c>
      <c r="E2471" s="2">
        <v>246.64</v>
      </c>
      <c r="F2471">
        <v>26</v>
      </c>
      <c r="G2471">
        <v>9</v>
      </c>
      <c r="H2471">
        <v>6.3E-2</v>
      </c>
      <c r="I2471" s="3">
        <v>1105</v>
      </c>
      <c r="J2471" s="1">
        <v>45604</v>
      </c>
      <c r="K2471" t="s">
        <v>31</v>
      </c>
      <c r="L2471" t="s">
        <v>8</v>
      </c>
      <c r="M2471" t="s">
        <v>32</v>
      </c>
      <c r="N2471" s="1">
        <f t="shared" si="228"/>
        <v>45604</v>
      </c>
      <c r="O2471" s="4">
        <f t="shared" si="229"/>
        <v>2.5788999098286743E-2</v>
      </c>
      <c r="P2471">
        <f t="shared" si="230"/>
        <v>1.7247552447552446</v>
      </c>
      <c r="Q2471" s="2">
        <f t="shared" si="231"/>
        <v>9.4861538461538455</v>
      </c>
      <c r="R2471" s="2">
        <f t="shared" si="232"/>
        <v>27.404444444444444</v>
      </c>
      <c r="S2471" s="2">
        <f t="shared" si="233"/>
        <v>4.4802140771975347</v>
      </c>
    </row>
    <row r="2472" spans="1:19" hidden="1">
      <c r="A2472" t="s">
        <v>2525</v>
      </c>
      <c r="B2472" t="s">
        <v>30</v>
      </c>
      <c r="C2472">
        <v>111</v>
      </c>
      <c r="D2472">
        <v>4069</v>
      </c>
      <c r="E2472" s="2">
        <v>203.57</v>
      </c>
      <c r="F2472">
        <v>25</v>
      </c>
      <c r="G2472">
        <v>4</v>
      </c>
      <c r="H2472">
        <v>3.3000000000000002E-2</v>
      </c>
      <c r="I2472" s="3">
        <v>1724</v>
      </c>
      <c r="J2472" s="1">
        <v>45603</v>
      </c>
      <c r="K2472" t="s">
        <v>31</v>
      </c>
      <c r="L2472" t="s">
        <v>8</v>
      </c>
      <c r="M2472" t="s">
        <v>39</v>
      </c>
      <c r="N2472" s="1">
        <f t="shared" si="228"/>
        <v>45603</v>
      </c>
      <c r="O2472" s="4">
        <f t="shared" si="229"/>
        <v>2.7279429835340378E-2</v>
      </c>
      <c r="P2472">
        <f t="shared" si="230"/>
        <v>1.833963963963964</v>
      </c>
      <c r="Q2472" s="2">
        <f t="shared" si="231"/>
        <v>8.1427999999999994</v>
      </c>
      <c r="R2472" s="2">
        <f t="shared" si="232"/>
        <v>50.892499999999998</v>
      </c>
      <c r="S2472" s="2">
        <f t="shared" si="233"/>
        <v>8.4688313602200722</v>
      </c>
    </row>
    <row r="2473" spans="1:19" hidden="1">
      <c r="A2473" t="s">
        <v>2526</v>
      </c>
      <c r="B2473" t="s">
        <v>30</v>
      </c>
      <c r="C2473">
        <v>116</v>
      </c>
      <c r="D2473">
        <v>4689</v>
      </c>
      <c r="E2473" s="2">
        <v>198.9</v>
      </c>
      <c r="F2473">
        <v>27</v>
      </c>
      <c r="G2473">
        <v>3</v>
      </c>
      <c r="H2473">
        <v>2.5999999999999999E-2</v>
      </c>
      <c r="I2473" s="3">
        <v>1553</v>
      </c>
      <c r="J2473" s="1">
        <v>45620</v>
      </c>
      <c r="K2473" t="s">
        <v>31</v>
      </c>
      <c r="L2473" t="s">
        <v>8</v>
      </c>
      <c r="M2473" t="s">
        <v>39</v>
      </c>
      <c r="N2473" s="1">
        <f t="shared" si="228"/>
        <v>45620</v>
      </c>
      <c r="O2473" s="4">
        <f t="shared" si="229"/>
        <v>2.4738750266581361E-2</v>
      </c>
      <c r="P2473">
        <f t="shared" si="230"/>
        <v>1.7146551724137931</v>
      </c>
      <c r="Q2473" s="2">
        <f t="shared" si="231"/>
        <v>7.3666666666666671</v>
      </c>
      <c r="R2473" s="2">
        <f t="shared" si="232"/>
        <v>66.3</v>
      </c>
      <c r="S2473" s="2">
        <f t="shared" si="233"/>
        <v>7.8079436902966313</v>
      </c>
    </row>
    <row r="2474" spans="1:19" hidden="1">
      <c r="A2474" t="s">
        <v>2527</v>
      </c>
      <c r="B2474" t="s">
        <v>30</v>
      </c>
      <c r="C2474">
        <v>148</v>
      </c>
      <c r="D2474">
        <v>3907</v>
      </c>
      <c r="E2474" s="2">
        <v>199.43</v>
      </c>
      <c r="F2474">
        <v>11</v>
      </c>
      <c r="G2474">
        <v>7</v>
      </c>
      <c r="H2474">
        <v>4.7E-2</v>
      </c>
      <c r="I2474" s="3">
        <v>1253</v>
      </c>
      <c r="J2474" s="1">
        <v>45616</v>
      </c>
      <c r="K2474" t="s">
        <v>31</v>
      </c>
      <c r="L2474" t="s">
        <v>7</v>
      </c>
      <c r="M2474" t="s">
        <v>37</v>
      </c>
      <c r="N2474" s="1">
        <f t="shared" si="228"/>
        <v>45616</v>
      </c>
      <c r="O2474" s="4">
        <f t="shared" si="229"/>
        <v>3.7880726900435119E-2</v>
      </c>
      <c r="P2474">
        <f t="shared" si="230"/>
        <v>1.3475000000000001</v>
      </c>
      <c r="Q2474" s="2">
        <f t="shared" si="231"/>
        <v>18.13</v>
      </c>
      <c r="R2474" s="2">
        <f t="shared" si="232"/>
        <v>28.490000000000002</v>
      </c>
      <c r="S2474" s="2">
        <f t="shared" si="233"/>
        <v>6.2829062829062829</v>
      </c>
    </row>
    <row r="2475" spans="1:19" hidden="1">
      <c r="A2475" t="s">
        <v>2528</v>
      </c>
      <c r="B2475" t="s">
        <v>30</v>
      </c>
      <c r="C2475">
        <v>90</v>
      </c>
      <c r="D2475">
        <v>5137</v>
      </c>
      <c r="E2475" s="2">
        <v>219.64</v>
      </c>
      <c r="F2475">
        <v>21</v>
      </c>
      <c r="G2475">
        <v>7</v>
      </c>
      <c r="H2475">
        <v>7.8E-2</v>
      </c>
      <c r="I2475" s="3">
        <v>1958</v>
      </c>
      <c r="J2475" s="1">
        <v>45626</v>
      </c>
      <c r="K2475" t="s">
        <v>31</v>
      </c>
      <c r="L2475" t="s">
        <v>8</v>
      </c>
      <c r="M2475" t="s">
        <v>41</v>
      </c>
      <c r="N2475" s="1">
        <f t="shared" si="228"/>
        <v>45626</v>
      </c>
      <c r="O2475" s="4">
        <f t="shared" si="229"/>
        <v>1.7519953280124588E-2</v>
      </c>
      <c r="P2475">
        <f t="shared" si="230"/>
        <v>2.4404444444444442</v>
      </c>
      <c r="Q2475" s="2">
        <f t="shared" si="231"/>
        <v>10.459047619047618</v>
      </c>
      <c r="R2475" s="2">
        <f t="shared" si="232"/>
        <v>31.377142857142854</v>
      </c>
      <c r="S2475" s="2">
        <f t="shared" si="233"/>
        <v>8.9145875068293581</v>
      </c>
    </row>
    <row r="2476" spans="1:19">
      <c r="A2476" t="s">
        <v>2529</v>
      </c>
      <c r="B2476" t="s">
        <v>30</v>
      </c>
      <c r="C2476">
        <v>80</v>
      </c>
      <c r="D2476">
        <v>3836</v>
      </c>
      <c r="E2476" s="2">
        <v>209.37</v>
      </c>
      <c r="F2476">
        <v>20</v>
      </c>
      <c r="G2476">
        <v>7</v>
      </c>
      <c r="H2476">
        <v>4.5999999999999999E-2</v>
      </c>
      <c r="I2476" s="3">
        <v>1937</v>
      </c>
      <c r="J2476" s="1" t="s">
        <v>357</v>
      </c>
      <c r="K2476" t="s">
        <v>31</v>
      </c>
      <c r="L2476" t="s">
        <v>9</v>
      </c>
      <c r="M2476" t="s">
        <v>41</v>
      </c>
      <c r="N2476" s="1">
        <f t="shared" si="228"/>
        <v>45624</v>
      </c>
      <c r="O2476" s="4">
        <f t="shared" si="229"/>
        <v>2.0855057351407715E-2</v>
      </c>
      <c r="P2476">
        <f t="shared" si="230"/>
        <v>2.6171250000000001</v>
      </c>
      <c r="Q2476" s="2">
        <f t="shared" si="231"/>
        <v>10.468500000000001</v>
      </c>
      <c r="R2476" s="2">
        <f t="shared" si="232"/>
        <v>29.91</v>
      </c>
      <c r="S2476" s="2">
        <f t="shared" si="233"/>
        <v>9.2515642164589007</v>
      </c>
    </row>
    <row r="2477" spans="1:19" hidden="1">
      <c r="A2477" t="s">
        <v>2530</v>
      </c>
      <c r="B2477" t="s">
        <v>30</v>
      </c>
      <c r="C2477">
        <v>188</v>
      </c>
      <c r="D2477">
        <v>4727</v>
      </c>
      <c r="E2477" s="2">
        <v>245.59</v>
      </c>
      <c r="F2477">
        <v>12</v>
      </c>
      <c r="G2477">
        <v>6</v>
      </c>
      <c r="H2477">
        <v>3.2000000000000001E-2</v>
      </c>
      <c r="I2477" s="3">
        <v>1321</v>
      </c>
      <c r="J2477" s="1" t="s">
        <v>167</v>
      </c>
      <c r="K2477" t="s">
        <v>31</v>
      </c>
      <c r="L2477" t="s">
        <v>8</v>
      </c>
      <c r="M2477" t="s">
        <v>32</v>
      </c>
      <c r="N2477" s="1">
        <f t="shared" si="228"/>
        <v>45620</v>
      </c>
      <c r="O2477" s="4">
        <f t="shared" si="229"/>
        <v>3.9771525280304636E-2</v>
      </c>
      <c r="P2477">
        <f t="shared" si="230"/>
        <v>1.3063297872340425</v>
      </c>
      <c r="Q2477" s="2">
        <f t="shared" si="231"/>
        <v>20.465833333333332</v>
      </c>
      <c r="R2477" s="2">
        <f t="shared" si="232"/>
        <v>40.931666666666665</v>
      </c>
      <c r="S2477" s="2">
        <f t="shared" si="233"/>
        <v>5.378883505028706</v>
      </c>
    </row>
    <row r="2478" spans="1:19" hidden="1">
      <c r="A2478" t="s">
        <v>2531</v>
      </c>
      <c r="B2478" t="s">
        <v>30</v>
      </c>
      <c r="C2478">
        <v>114</v>
      </c>
      <c r="D2478">
        <v>3880</v>
      </c>
      <c r="E2478" s="2">
        <v>215.57</v>
      </c>
      <c r="F2478">
        <v>18</v>
      </c>
      <c r="G2478">
        <v>3</v>
      </c>
      <c r="H2478">
        <v>2.5999999999999999E-2</v>
      </c>
      <c r="I2478" s="3">
        <v>1217</v>
      </c>
      <c r="J2478" s="1">
        <v>45614</v>
      </c>
      <c r="K2478" t="s">
        <v>31</v>
      </c>
      <c r="L2478" t="s">
        <v>8</v>
      </c>
      <c r="M2478" t="s">
        <v>37</v>
      </c>
      <c r="N2478" s="1">
        <f t="shared" si="228"/>
        <v>45614</v>
      </c>
      <c r="O2478" s="4">
        <f t="shared" si="229"/>
        <v>2.9381443298969072E-2</v>
      </c>
      <c r="P2478">
        <f t="shared" si="230"/>
        <v>1.8909649122807017</v>
      </c>
      <c r="Q2478" s="2">
        <f t="shared" si="231"/>
        <v>11.976111111111111</v>
      </c>
      <c r="R2478" s="2">
        <f t="shared" si="232"/>
        <v>71.856666666666669</v>
      </c>
      <c r="S2478" s="2">
        <f t="shared" si="233"/>
        <v>5.6454979820939837</v>
      </c>
    </row>
    <row r="2479" spans="1:19" hidden="1">
      <c r="A2479" t="s">
        <v>2532</v>
      </c>
      <c r="B2479" t="s">
        <v>30</v>
      </c>
      <c r="C2479">
        <v>112</v>
      </c>
      <c r="D2479">
        <v>3639</v>
      </c>
      <c r="E2479" s="2">
        <v>185.6</v>
      </c>
      <c r="F2479">
        <v>27</v>
      </c>
      <c r="G2479">
        <v>7</v>
      </c>
      <c r="H2479">
        <v>6.2E-2</v>
      </c>
      <c r="I2479" s="3">
        <v>1517</v>
      </c>
      <c r="J2479" s="1">
        <v>45613</v>
      </c>
      <c r="K2479" t="s">
        <v>31</v>
      </c>
      <c r="L2479" t="s">
        <v>9</v>
      </c>
      <c r="M2479" t="s">
        <v>46</v>
      </c>
      <c r="N2479" s="1">
        <f t="shared" si="228"/>
        <v>45613</v>
      </c>
      <c r="O2479" s="4">
        <f t="shared" si="229"/>
        <v>3.0777686177521298E-2</v>
      </c>
      <c r="P2479">
        <f t="shared" si="230"/>
        <v>1.657142857142857</v>
      </c>
      <c r="Q2479" s="2">
        <f t="shared" si="231"/>
        <v>6.8740740740740742</v>
      </c>
      <c r="R2479" s="2">
        <f t="shared" si="232"/>
        <v>26.514285714285712</v>
      </c>
      <c r="S2479" s="2">
        <f t="shared" si="233"/>
        <v>8.1734913793103452</v>
      </c>
    </row>
    <row r="2480" spans="1:19">
      <c r="A2480" t="s">
        <v>2533</v>
      </c>
      <c r="B2480" t="s">
        <v>30</v>
      </c>
      <c r="C2480">
        <v>96</v>
      </c>
      <c r="D2480">
        <v>3858</v>
      </c>
      <c r="E2480" s="2">
        <v>199.81</v>
      </c>
      <c r="F2480">
        <v>15</v>
      </c>
      <c r="G2480">
        <v>7</v>
      </c>
      <c r="H2480">
        <v>4.5999999999999999E-2</v>
      </c>
      <c r="I2480" s="3">
        <v>1672</v>
      </c>
      <c r="J2480" s="1" t="s">
        <v>89</v>
      </c>
      <c r="K2480" t="s">
        <v>31</v>
      </c>
      <c r="L2480" t="s">
        <v>8</v>
      </c>
      <c r="M2480" t="s">
        <v>37</v>
      </c>
      <c r="N2480" s="1">
        <f t="shared" si="228"/>
        <v>45611</v>
      </c>
      <c r="O2480" s="4">
        <f t="shared" si="229"/>
        <v>2.4883359253499222E-2</v>
      </c>
      <c r="P2480">
        <f t="shared" si="230"/>
        <v>2.0813541666666668</v>
      </c>
      <c r="Q2480" s="2">
        <f t="shared" si="231"/>
        <v>13.320666666666666</v>
      </c>
      <c r="R2480" s="2">
        <f t="shared" si="232"/>
        <v>28.544285714285714</v>
      </c>
      <c r="S2480" s="2">
        <f t="shared" si="233"/>
        <v>8.3679495520744709</v>
      </c>
    </row>
    <row r="2481" spans="1:19">
      <c r="A2481" t="s">
        <v>2534</v>
      </c>
      <c r="B2481" t="s">
        <v>30</v>
      </c>
      <c r="C2481">
        <v>139</v>
      </c>
      <c r="D2481">
        <v>3699</v>
      </c>
      <c r="E2481" s="2">
        <v>186.22</v>
      </c>
      <c r="F2481">
        <v>23</v>
      </c>
      <c r="G2481">
        <v>7</v>
      </c>
      <c r="H2481">
        <v>4.5999999999999999E-2</v>
      </c>
      <c r="I2481" s="3">
        <v>1218</v>
      </c>
      <c r="J2481" s="1">
        <v>45619</v>
      </c>
      <c r="K2481" t="s">
        <v>31</v>
      </c>
      <c r="L2481" t="s">
        <v>9</v>
      </c>
      <c r="M2481" t="s">
        <v>46</v>
      </c>
      <c r="N2481" s="1">
        <f t="shared" si="228"/>
        <v>45619</v>
      </c>
      <c r="O2481" s="4">
        <f t="shared" si="229"/>
        <v>3.7577723709110569E-2</v>
      </c>
      <c r="P2481">
        <f t="shared" si="230"/>
        <v>1.3397122302158273</v>
      </c>
      <c r="Q2481" s="2">
        <f t="shared" si="231"/>
        <v>8.0965217391304343</v>
      </c>
      <c r="R2481" s="2">
        <f t="shared" si="232"/>
        <v>26.602857142857143</v>
      </c>
      <c r="S2481" s="2">
        <f t="shared" si="233"/>
        <v>6.5406508430888195</v>
      </c>
    </row>
    <row r="2482" spans="1:19" hidden="1">
      <c r="A2482" t="s">
        <v>2535</v>
      </c>
      <c r="B2482" t="s">
        <v>30</v>
      </c>
      <c r="C2482">
        <v>172</v>
      </c>
      <c r="D2482">
        <v>5955</v>
      </c>
      <c r="E2482" s="2">
        <v>216.07</v>
      </c>
      <c r="F2482">
        <v>15</v>
      </c>
      <c r="G2482">
        <v>7</v>
      </c>
      <c r="H2482">
        <v>3.7999999999999999E-2</v>
      </c>
      <c r="I2482" s="3">
        <v>1323</v>
      </c>
      <c r="J2482" s="1">
        <v>45598</v>
      </c>
      <c r="K2482" t="s">
        <v>31</v>
      </c>
      <c r="L2482" t="s">
        <v>8</v>
      </c>
      <c r="M2482" t="s">
        <v>32</v>
      </c>
      <c r="N2482" s="1">
        <f t="shared" si="228"/>
        <v>45598</v>
      </c>
      <c r="O2482" s="4">
        <f t="shared" si="229"/>
        <v>2.8883291351805205E-2</v>
      </c>
      <c r="P2482">
        <f t="shared" si="230"/>
        <v>1.2562209302325582</v>
      </c>
      <c r="Q2482" s="2">
        <f t="shared" si="231"/>
        <v>14.404666666666666</v>
      </c>
      <c r="R2482" s="2">
        <f t="shared" si="232"/>
        <v>30.867142857142856</v>
      </c>
      <c r="S2482" s="2">
        <f t="shared" si="233"/>
        <v>6.1230156893599297</v>
      </c>
    </row>
    <row r="2483" spans="1:19">
      <c r="A2483" t="s">
        <v>2536</v>
      </c>
      <c r="B2483" t="s">
        <v>30</v>
      </c>
      <c r="C2483">
        <v>134</v>
      </c>
      <c r="D2483">
        <v>5520</v>
      </c>
      <c r="E2483" s="2">
        <v>189.43</v>
      </c>
      <c r="F2483">
        <v>22</v>
      </c>
      <c r="G2483">
        <v>10</v>
      </c>
      <c r="H2483">
        <v>4.5999999999999999E-2</v>
      </c>
      <c r="I2483" s="3">
        <v>1319</v>
      </c>
      <c r="J2483" s="1" t="s">
        <v>64</v>
      </c>
      <c r="K2483" t="s">
        <v>31</v>
      </c>
      <c r="L2483" t="s">
        <v>7</v>
      </c>
      <c r="M2483" t="s">
        <v>37</v>
      </c>
      <c r="N2483" s="1">
        <f t="shared" si="228"/>
        <v>45626</v>
      </c>
      <c r="O2483" s="4">
        <f t="shared" si="229"/>
        <v>2.4275362318840581E-2</v>
      </c>
      <c r="P2483">
        <f t="shared" si="230"/>
        <v>1.4136567164179106</v>
      </c>
      <c r="Q2483" s="2">
        <f t="shared" si="231"/>
        <v>8.6104545454545462</v>
      </c>
      <c r="R2483" s="2">
        <f t="shared" si="232"/>
        <v>18.943000000000001</v>
      </c>
      <c r="S2483" s="2">
        <f t="shared" si="233"/>
        <v>6.9629942458955814</v>
      </c>
    </row>
    <row r="2484" spans="1:19" hidden="1">
      <c r="A2484" t="s">
        <v>2537</v>
      </c>
      <c r="B2484" t="s">
        <v>30</v>
      </c>
      <c r="C2484">
        <v>148</v>
      </c>
      <c r="D2484">
        <v>3884</v>
      </c>
      <c r="E2484" s="2">
        <v>233.46</v>
      </c>
      <c r="F2484">
        <v>14</v>
      </c>
      <c r="G2484">
        <v>5</v>
      </c>
      <c r="H2484">
        <v>3.4000000000000002E-2</v>
      </c>
      <c r="I2484" s="3">
        <v>1138</v>
      </c>
      <c r="J2484" s="1">
        <v>45607</v>
      </c>
      <c r="K2484" t="s">
        <v>31</v>
      </c>
      <c r="L2484" t="s">
        <v>8</v>
      </c>
      <c r="M2484" t="s">
        <v>37</v>
      </c>
      <c r="N2484" s="1">
        <f t="shared" si="228"/>
        <v>45607</v>
      </c>
      <c r="O2484" s="4">
        <f t="shared" si="229"/>
        <v>3.8105046343975282E-2</v>
      </c>
      <c r="P2484">
        <f t="shared" si="230"/>
        <v>1.5774324324324325</v>
      </c>
      <c r="Q2484" s="2">
        <f t="shared" si="231"/>
        <v>16.675714285714285</v>
      </c>
      <c r="R2484" s="2">
        <f t="shared" si="232"/>
        <v>46.692</v>
      </c>
      <c r="S2484" s="2">
        <f t="shared" si="233"/>
        <v>4.8744967017904566</v>
      </c>
    </row>
    <row r="2485" spans="1:19" hidden="1">
      <c r="A2485" t="s">
        <v>2538</v>
      </c>
      <c r="B2485" t="s">
        <v>30</v>
      </c>
      <c r="C2485">
        <v>191</v>
      </c>
      <c r="D2485">
        <v>5361</v>
      </c>
      <c r="E2485" s="2">
        <v>220.04</v>
      </c>
      <c r="F2485">
        <v>17</v>
      </c>
      <c r="G2485">
        <v>10</v>
      </c>
      <c r="H2485">
        <v>5.1999999999999998E-2</v>
      </c>
      <c r="I2485" s="3">
        <v>1034</v>
      </c>
      <c r="J2485" s="1">
        <v>45605</v>
      </c>
      <c r="K2485" t="s">
        <v>31</v>
      </c>
      <c r="L2485" t="s">
        <v>8</v>
      </c>
      <c r="M2485" t="s">
        <v>46</v>
      </c>
      <c r="N2485" s="1">
        <f t="shared" si="228"/>
        <v>45605</v>
      </c>
      <c r="O2485" s="4">
        <f t="shared" si="229"/>
        <v>3.562768140272337E-2</v>
      </c>
      <c r="P2485">
        <f t="shared" si="230"/>
        <v>1.152041884816754</v>
      </c>
      <c r="Q2485" s="2">
        <f t="shared" si="231"/>
        <v>12.943529411764706</v>
      </c>
      <c r="R2485" s="2">
        <f t="shared" si="232"/>
        <v>22.003999999999998</v>
      </c>
      <c r="S2485" s="2">
        <f t="shared" si="233"/>
        <v>4.6991456098891113</v>
      </c>
    </row>
    <row r="2486" spans="1:19" hidden="1">
      <c r="A2486" t="s">
        <v>2539</v>
      </c>
      <c r="B2486" t="s">
        <v>30</v>
      </c>
      <c r="C2486">
        <v>168</v>
      </c>
      <c r="D2486">
        <v>5384</v>
      </c>
      <c r="E2486" s="2">
        <v>235.64</v>
      </c>
      <c r="F2486">
        <v>28</v>
      </c>
      <c r="G2486">
        <v>3</v>
      </c>
      <c r="H2486">
        <v>1.7999999999999999E-2</v>
      </c>
      <c r="I2486" s="3">
        <v>1505</v>
      </c>
      <c r="J2486" s="1">
        <v>45612</v>
      </c>
      <c r="K2486" t="s">
        <v>31</v>
      </c>
      <c r="L2486" t="s">
        <v>8</v>
      </c>
      <c r="M2486" t="s">
        <v>35</v>
      </c>
      <c r="N2486" s="1">
        <f t="shared" si="228"/>
        <v>45612</v>
      </c>
      <c r="O2486" s="4">
        <f t="shared" si="229"/>
        <v>3.1203566121842496E-2</v>
      </c>
      <c r="P2486">
        <f t="shared" si="230"/>
        <v>1.4026190476190474</v>
      </c>
      <c r="Q2486" s="2">
        <f t="shared" si="231"/>
        <v>8.4157142857142855</v>
      </c>
      <c r="R2486" s="2">
        <f t="shared" si="232"/>
        <v>78.546666666666667</v>
      </c>
      <c r="S2486" s="2">
        <f t="shared" si="233"/>
        <v>6.3868613138686134</v>
      </c>
    </row>
    <row r="2487" spans="1:19" hidden="1">
      <c r="A2487" t="s">
        <v>2540</v>
      </c>
      <c r="B2487" t="s">
        <v>30</v>
      </c>
      <c r="C2487">
        <v>84</v>
      </c>
      <c r="D2487">
        <v>4388</v>
      </c>
      <c r="E2487" s="2">
        <v>238.98</v>
      </c>
      <c r="F2487">
        <v>29</v>
      </c>
      <c r="G2487">
        <v>4</v>
      </c>
      <c r="H2487">
        <v>4.8000000000000001E-2</v>
      </c>
      <c r="I2487" s="3">
        <v>1271</v>
      </c>
      <c r="J2487" s="1" t="s">
        <v>50</v>
      </c>
      <c r="K2487" t="s">
        <v>31</v>
      </c>
      <c r="L2487" t="s">
        <v>8</v>
      </c>
      <c r="M2487" t="s">
        <v>46</v>
      </c>
      <c r="N2487" s="1">
        <f t="shared" si="228"/>
        <v>45610</v>
      </c>
      <c r="O2487" s="4">
        <f t="shared" si="229"/>
        <v>1.9143117593436645E-2</v>
      </c>
      <c r="P2487">
        <f t="shared" si="230"/>
        <v>2.8449999999999998</v>
      </c>
      <c r="Q2487" s="2">
        <f t="shared" si="231"/>
        <v>8.2406896551724138</v>
      </c>
      <c r="R2487" s="2">
        <f t="shared" si="232"/>
        <v>59.744999999999997</v>
      </c>
      <c r="S2487" s="2">
        <f t="shared" si="233"/>
        <v>5.3184366892627004</v>
      </c>
    </row>
    <row r="2488" spans="1:19" hidden="1">
      <c r="A2488" t="s">
        <v>2541</v>
      </c>
      <c r="B2488" t="s">
        <v>30</v>
      </c>
      <c r="C2488">
        <v>80</v>
      </c>
      <c r="D2488">
        <v>5699</v>
      </c>
      <c r="E2488" s="2">
        <v>213.94</v>
      </c>
      <c r="F2488">
        <v>17</v>
      </c>
      <c r="G2488">
        <v>6</v>
      </c>
      <c r="H2488">
        <v>7.4999999999999997E-2</v>
      </c>
      <c r="I2488" s="3">
        <v>1511</v>
      </c>
      <c r="J2488" s="1" t="s">
        <v>206</v>
      </c>
      <c r="K2488" t="s">
        <v>31</v>
      </c>
      <c r="L2488" t="s">
        <v>8</v>
      </c>
      <c r="M2488" t="s">
        <v>32</v>
      </c>
      <c r="N2488" s="1">
        <f t="shared" si="228"/>
        <v>45621</v>
      </c>
      <c r="O2488" s="4">
        <f t="shared" si="229"/>
        <v>1.4037550447446921E-2</v>
      </c>
      <c r="P2488">
        <f t="shared" si="230"/>
        <v>2.6742499999999998</v>
      </c>
      <c r="Q2488" s="2">
        <f t="shared" si="231"/>
        <v>12.584705882352941</v>
      </c>
      <c r="R2488" s="2">
        <f t="shared" si="232"/>
        <v>35.656666666666666</v>
      </c>
      <c r="S2488" s="2">
        <f t="shared" si="233"/>
        <v>7.0627278676264371</v>
      </c>
    </row>
    <row r="2489" spans="1:19">
      <c r="A2489" t="s">
        <v>2542</v>
      </c>
      <c r="B2489" t="s">
        <v>30</v>
      </c>
      <c r="C2489">
        <v>136</v>
      </c>
      <c r="D2489">
        <v>3705</v>
      </c>
      <c r="E2489" s="2">
        <v>212.05</v>
      </c>
      <c r="F2489">
        <v>16</v>
      </c>
      <c r="G2489">
        <v>9</v>
      </c>
      <c r="H2489">
        <v>4.5999999999999999E-2</v>
      </c>
      <c r="I2489" s="3">
        <v>1471</v>
      </c>
      <c r="J2489" s="1">
        <v>45610</v>
      </c>
      <c r="K2489" t="s">
        <v>31</v>
      </c>
      <c r="L2489" t="s">
        <v>7</v>
      </c>
      <c r="M2489" t="s">
        <v>46</v>
      </c>
      <c r="N2489" s="1">
        <f t="shared" si="228"/>
        <v>45610</v>
      </c>
      <c r="O2489" s="4">
        <f t="shared" si="229"/>
        <v>3.6707152496626178E-2</v>
      </c>
      <c r="P2489">
        <f t="shared" si="230"/>
        <v>1.5591911764705884</v>
      </c>
      <c r="Q2489" s="2">
        <f t="shared" si="231"/>
        <v>13.253125000000001</v>
      </c>
      <c r="R2489" s="2">
        <f t="shared" si="232"/>
        <v>23.561111111111114</v>
      </c>
      <c r="S2489" s="2">
        <f t="shared" si="233"/>
        <v>6.9370431502004237</v>
      </c>
    </row>
    <row r="2490" spans="1:19">
      <c r="A2490" t="s">
        <v>2543</v>
      </c>
      <c r="B2490" t="s">
        <v>30</v>
      </c>
      <c r="C2490">
        <v>139</v>
      </c>
      <c r="D2490">
        <v>3256</v>
      </c>
      <c r="E2490" s="2">
        <v>233.35</v>
      </c>
      <c r="F2490">
        <v>15</v>
      </c>
      <c r="G2490">
        <v>7</v>
      </c>
      <c r="H2490">
        <v>4.5999999999999999E-2</v>
      </c>
      <c r="I2490" s="3">
        <v>1106</v>
      </c>
      <c r="J2490" s="1">
        <v>45576</v>
      </c>
      <c r="K2490" t="s">
        <v>31</v>
      </c>
      <c r="L2490" t="s">
        <v>9</v>
      </c>
      <c r="M2490" t="s">
        <v>46</v>
      </c>
      <c r="N2490" s="1">
        <f t="shared" si="228"/>
        <v>45576</v>
      </c>
      <c r="O2490" s="4">
        <f t="shared" si="229"/>
        <v>4.269041769041769E-2</v>
      </c>
      <c r="P2490">
        <f t="shared" si="230"/>
        <v>1.6787769784172661</v>
      </c>
      <c r="Q2490" s="2">
        <f t="shared" si="231"/>
        <v>15.556666666666667</v>
      </c>
      <c r="R2490" s="2">
        <f t="shared" si="232"/>
        <v>33.335714285714282</v>
      </c>
      <c r="S2490" s="2">
        <f t="shared" si="233"/>
        <v>4.7396614527533751</v>
      </c>
    </row>
    <row r="2491" spans="1:19" hidden="1">
      <c r="A2491" t="s">
        <v>2544</v>
      </c>
      <c r="B2491" t="s">
        <v>30</v>
      </c>
      <c r="C2491">
        <v>157</v>
      </c>
      <c r="D2491">
        <v>4026</v>
      </c>
      <c r="E2491" s="2">
        <v>192.69</v>
      </c>
      <c r="F2491">
        <v>19</v>
      </c>
      <c r="G2491">
        <v>3</v>
      </c>
      <c r="H2491">
        <v>1.9E-2</v>
      </c>
      <c r="I2491" s="3">
        <v>1028</v>
      </c>
      <c r="J2491" s="1">
        <v>45605</v>
      </c>
      <c r="K2491" t="s">
        <v>31</v>
      </c>
      <c r="L2491" t="s">
        <v>9</v>
      </c>
      <c r="M2491" t="s">
        <v>46</v>
      </c>
      <c r="N2491" s="1">
        <f t="shared" si="228"/>
        <v>45605</v>
      </c>
      <c r="O2491" s="4">
        <f t="shared" si="229"/>
        <v>3.8996522603079981E-2</v>
      </c>
      <c r="P2491">
        <f t="shared" si="230"/>
        <v>1.2273248407643311</v>
      </c>
      <c r="Q2491" s="2">
        <f t="shared" si="231"/>
        <v>10.141578947368421</v>
      </c>
      <c r="R2491" s="2">
        <f t="shared" si="232"/>
        <v>64.23</v>
      </c>
      <c r="S2491" s="2">
        <f t="shared" si="233"/>
        <v>5.3349940318646532</v>
      </c>
    </row>
    <row r="2492" spans="1:19" hidden="1">
      <c r="A2492" t="s">
        <v>2545</v>
      </c>
      <c r="B2492" t="s">
        <v>30</v>
      </c>
      <c r="C2492">
        <v>139</v>
      </c>
      <c r="D2492">
        <v>3148</v>
      </c>
      <c r="E2492" s="2">
        <v>182.49</v>
      </c>
      <c r="F2492">
        <v>21</v>
      </c>
      <c r="G2492">
        <v>3</v>
      </c>
      <c r="H2492">
        <v>3.2000000000000001E-2</v>
      </c>
      <c r="I2492" s="3">
        <v>1493</v>
      </c>
      <c r="J2492" s="1">
        <v>45618</v>
      </c>
      <c r="K2492" t="s">
        <v>31</v>
      </c>
      <c r="L2492" t="s">
        <v>9</v>
      </c>
      <c r="M2492" t="s">
        <v>35</v>
      </c>
      <c r="N2492" s="1">
        <f t="shared" si="228"/>
        <v>45618</v>
      </c>
      <c r="O2492" s="4">
        <f t="shared" si="229"/>
        <v>4.4155019059720454E-2</v>
      </c>
      <c r="P2492">
        <f t="shared" si="230"/>
        <v>1.3128776978417267</v>
      </c>
      <c r="Q2492" s="2">
        <f t="shared" si="231"/>
        <v>8.6900000000000013</v>
      </c>
      <c r="R2492" s="2">
        <f t="shared" si="232"/>
        <v>60.830000000000005</v>
      </c>
      <c r="S2492" s="2">
        <f t="shared" si="233"/>
        <v>8.181270206586662</v>
      </c>
    </row>
    <row r="2493" spans="1:19">
      <c r="A2493" t="s">
        <v>2546</v>
      </c>
      <c r="B2493" t="s">
        <v>30</v>
      </c>
      <c r="C2493">
        <v>137</v>
      </c>
      <c r="D2493">
        <v>5244</v>
      </c>
      <c r="E2493" s="2">
        <v>187.79</v>
      </c>
      <c r="F2493">
        <v>20</v>
      </c>
      <c r="G2493">
        <v>7</v>
      </c>
      <c r="H2493">
        <v>4.5999999999999999E-2</v>
      </c>
      <c r="I2493" s="3">
        <v>1915</v>
      </c>
      <c r="J2493" s="1">
        <v>45607</v>
      </c>
      <c r="K2493" t="s">
        <v>31</v>
      </c>
      <c r="L2493" t="s">
        <v>9</v>
      </c>
      <c r="M2493" t="s">
        <v>41</v>
      </c>
      <c r="N2493" s="1">
        <f t="shared" si="228"/>
        <v>45607</v>
      </c>
      <c r="O2493" s="4">
        <f t="shared" si="229"/>
        <v>2.612509534706331E-2</v>
      </c>
      <c r="P2493">
        <f t="shared" si="230"/>
        <v>1.3707299270072992</v>
      </c>
      <c r="Q2493" s="2">
        <f t="shared" si="231"/>
        <v>9.3895</v>
      </c>
      <c r="R2493" s="2">
        <f t="shared" si="232"/>
        <v>26.827142857142857</v>
      </c>
      <c r="S2493" s="2">
        <f t="shared" si="233"/>
        <v>10.197561105490175</v>
      </c>
    </row>
    <row r="2494" spans="1:19" hidden="1">
      <c r="A2494" t="s">
        <v>2547</v>
      </c>
      <c r="B2494" t="s">
        <v>30</v>
      </c>
      <c r="C2494">
        <v>121</v>
      </c>
      <c r="D2494">
        <v>5220</v>
      </c>
      <c r="E2494" s="2">
        <v>200.98</v>
      </c>
      <c r="F2494">
        <v>21</v>
      </c>
      <c r="G2494">
        <v>5</v>
      </c>
      <c r="H2494">
        <v>4.1000000000000002E-2</v>
      </c>
      <c r="I2494" s="3">
        <v>1773</v>
      </c>
      <c r="J2494" s="1">
        <v>45609</v>
      </c>
      <c r="K2494" t="s">
        <v>31</v>
      </c>
      <c r="L2494" t="s">
        <v>7</v>
      </c>
      <c r="M2494" t="s">
        <v>37</v>
      </c>
      <c r="N2494" s="1">
        <f t="shared" si="228"/>
        <v>45609</v>
      </c>
      <c r="O2494" s="4">
        <f t="shared" si="229"/>
        <v>2.3180076628352489E-2</v>
      </c>
      <c r="P2494">
        <f t="shared" si="230"/>
        <v>1.6609917355371899</v>
      </c>
      <c r="Q2494" s="2">
        <f t="shared" si="231"/>
        <v>9.5704761904761906</v>
      </c>
      <c r="R2494" s="2">
        <f t="shared" si="232"/>
        <v>40.195999999999998</v>
      </c>
      <c r="S2494" s="2">
        <f t="shared" si="233"/>
        <v>8.8217733107771927</v>
      </c>
    </row>
    <row r="2495" spans="1:19" hidden="1">
      <c r="A2495" t="s">
        <v>2548</v>
      </c>
      <c r="B2495" t="s">
        <v>30</v>
      </c>
      <c r="C2495">
        <v>169</v>
      </c>
      <c r="D2495">
        <v>5430</v>
      </c>
      <c r="E2495" s="2">
        <v>233.01</v>
      </c>
      <c r="F2495">
        <v>27</v>
      </c>
      <c r="G2495">
        <v>7</v>
      </c>
      <c r="H2495">
        <v>5.2999999999999999E-2</v>
      </c>
      <c r="I2495" s="3">
        <v>2000</v>
      </c>
      <c r="J2495" s="1">
        <v>45606</v>
      </c>
      <c r="K2495" t="s">
        <v>31</v>
      </c>
      <c r="L2495" t="s">
        <v>8</v>
      </c>
      <c r="M2495" t="s">
        <v>32</v>
      </c>
      <c r="N2495" s="1">
        <f t="shared" si="228"/>
        <v>45606</v>
      </c>
      <c r="O2495" s="4">
        <f t="shared" si="229"/>
        <v>3.1123388581952117E-2</v>
      </c>
      <c r="P2495">
        <f t="shared" si="230"/>
        <v>1.3787573964497042</v>
      </c>
      <c r="Q2495" s="2">
        <f t="shared" si="231"/>
        <v>8.629999999999999</v>
      </c>
      <c r="R2495" s="2">
        <f t="shared" si="232"/>
        <v>33.287142857142854</v>
      </c>
      <c r="S2495" s="2">
        <f t="shared" si="233"/>
        <v>8.5833226041800792</v>
      </c>
    </row>
    <row r="2496" spans="1:19" hidden="1">
      <c r="A2496" t="s">
        <v>2549</v>
      </c>
      <c r="B2496" t="s">
        <v>30</v>
      </c>
      <c r="C2496">
        <v>83</v>
      </c>
      <c r="D2496">
        <v>4693</v>
      </c>
      <c r="E2496" s="2">
        <v>188.45</v>
      </c>
      <c r="F2496">
        <v>24</v>
      </c>
      <c r="G2496">
        <v>6</v>
      </c>
      <c r="H2496">
        <v>7.1999999999999995E-2</v>
      </c>
      <c r="I2496" s="3">
        <v>1539</v>
      </c>
      <c r="J2496" s="1">
        <v>45612</v>
      </c>
      <c r="K2496" t="s">
        <v>31</v>
      </c>
      <c r="L2496" t="s">
        <v>8</v>
      </c>
      <c r="M2496" t="s">
        <v>46</v>
      </c>
      <c r="N2496" s="1">
        <f t="shared" si="228"/>
        <v>45612</v>
      </c>
      <c r="O2496" s="4">
        <f t="shared" si="229"/>
        <v>1.76859151928404E-2</v>
      </c>
      <c r="P2496">
        <f t="shared" si="230"/>
        <v>2.2704819277108435</v>
      </c>
      <c r="Q2496" s="2">
        <f t="shared" si="231"/>
        <v>7.8520833333333329</v>
      </c>
      <c r="R2496" s="2">
        <f t="shared" si="232"/>
        <v>31.408333333333331</v>
      </c>
      <c r="S2496" s="2">
        <f t="shared" si="233"/>
        <v>8.1666224462722212</v>
      </c>
    </row>
    <row r="2497" spans="1:19">
      <c r="A2497" t="s">
        <v>2550</v>
      </c>
      <c r="B2497" t="s">
        <v>30</v>
      </c>
      <c r="C2497">
        <v>175</v>
      </c>
      <c r="D2497">
        <v>4723</v>
      </c>
      <c r="E2497" s="2">
        <v>237.92</v>
      </c>
      <c r="F2497">
        <v>19</v>
      </c>
      <c r="G2497">
        <v>7</v>
      </c>
      <c r="H2497">
        <v>4.5999999999999999E-2</v>
      </c>
      <c r="I2497" s="3">
        <v>1906</v>
      </c>
      <c r="J2497" s="1">
        <v>45608</v>
      </c>
      <c r="K2497" t="s">
        <v>31</v>
      </c>
      <c r="L2497" t="s">
        <v>8</v>
      </c>
      <c r="M2497" t="s">
        <v>41</v>
      </c>
      <c r="N2497" s="1">
        <f t="shared" si="228"/>
        <v>45608</v>
      </c>
      <c r="O2497" s="4">
        <f t="shared" si="229"/>
        <v>3.7052720728350627E-2</v>
      </c>
      <c r="P2497">
        <f t="shared" si="230"/>
        <v>1.3595428571428572</v>
      </c>
      <c r="Q2497" s="2">
        <f t="shared" si="231"/>
        <v>12.522105263157894</v>
      </c>
      <c r="R2497" s="2">
        <f t="shared" si="232"/>
        <v>33.988571428571426</v>
      </c>
      <c r="S2497" s="2">
        <f t="shared" si="233"/>
        <v>8.0110961667787493</v>
      </c>
    </row>
    <row r="2498" spans="1:19" hidden="1">
      <c r="A2498" t="s">
        <v>2551</v>
      </c>
      <c r="B2498" t="s">
        <v>30</v>
      </c>
      <c r="C2498">
        <v>123</v>
      </c>
      <c r="D2498">
        <v>5812</v>
      </c>
      <c r="E2498" s="2">
        <v>180.11</v>
      </c>
      <c r="F2498">
        <v>25</v>
      </c>
      <c r="G2498">
        <v>4</v>
      </c>
      <c r="H2498">
        <v>3.3000000000000002E-2</v>
      </c>
      <c r="I2498" s="3">
        <v>1293</v>
      </c>
      <c r="J2498" s="1">
        <v>45617</v>
      </c>
      <c r="K2498" t="s">
        <v>31</v>
      </c>
      <c r="L2498" t="s">
        <v>9</v>
      </c>
      <c r="M2498" t="s">
        <v>37</v>
      </c>
      <c r="N2498" s="1">
        <f t="shared" ref="N2498:N2561" si="234">IF(A2498="","",IF(ISNUMBER(J2498),J2498,IF(MID(J2498,5,1)="-",DATE(LEFT(J2498,4),MID(J2498,6,2),RIGHT(J2498,2)),IF(MID(J2498,5,1)="/",DATE(LEFT(J2498,4),MID(J2498,6,2),RIGHT(J2498,2)),DATE(RIGHT(J2498,4),MID(J2498,4,2),LEFT(J2498,2))))))</f>
        <v>45617</v>
      </c>
      <c r="O2498" s="4">
        <f t="shared" ref="O2498:O2561" si="235">IFERROR(C2498/D2498,0)</f>
        <v>2.1163110805230558E-2</v>
      </c>
      <c r="P2498">
        <f t="shared" ref="P2498:P2561" si="236">IFERROR(E2498/C2498,0)</f>
        <v>1.4643089430894309</v>
      </c>
      <c r="Q2498" s="2">
        <f t="shared" ref="Q2498:Q2561" si="237">IFERROR(E2498/F2498,0)</f>
        <v>7.2044000000000006</v>
      </c>
      <c r="R2498" s="2">
        <f t="shared" ref="R2498:R2561" si="238">IFERROR(E2498/G2498,0)</f>
        <v>45.027500000000003</v>
      </c>
      <c r="S2498" s="2">
        <f t="shared" ref="S2498:S2561" si="239">IFERROR(I2498/E2498,0)</f>
        <v>7.1789461995447219</v>
      </c>
    </row>
    <row r="2499" spans="1:19">
      <c r="A2499" t="s">
        <v>2552</v>
      </c>
      <c r="B2499" t="s">
        <v>30</v>
      </c>
      <c r="C2499">
        <v>135</v>
      </c>
      <c r="D2499">
        <v>4611</v>
      </c>
      <c r="E2499" s="2">
        <v>215.57</v>
      </c>
      <c r="F2499">
        <v>17</v>
      </c>
      <c r="G2499">
        <v>7</v>
      </c>
      <c r="H2499">
        <v>4.5999999999999999E-2</v>
      </c>
      <c r="I2499" s="3">
        <v>1697</v>
      </c>
      <c r="J2499" s="1" t="s">
        <v>50</v>
      </c>
      <c r="K2499" t="s">
        <v>31</v>
      </c>
      <c r="L2499" t="s">
        <v>7</v>
      </c>
      <c r="M2499" t="s">
        <v>41</v>
      </c>
      <c r="N2499" s="1">
        <f t="shared" si="234"/>
        <v>45610</v>
      </c>
      <c r="O2499" s="4">
        <f t="shared" si="235"/>
        <v>2.9277813923227064E-2</v>
      </c>
      <c r="P2499">
        <f t="shared" si="236"/>
        <v>1.5968148148148147</v>
      </c>
      <c r="Q2499" s="2">
        <f t="shared" si="237"/>
        <v>12.680588235294117</v>
      </c>
      <c r="R2499" s="2">
        <f t="shared" si="238"/>
        <v>30.795714285714286</v>
      </c>
      <c r="S2499" s="2">
        <f t="shared" si="239"/>
        <v>7.8721528969708219</v>
      </c>
    </row>
    <row r="2500" spans="1:19" hidden="1">
      <c r="A2500" t="s">
        <v>2553</v>
      </c>
      <c r="B2500" t="s">
        <v>30</v>
      </c>
      <c r="C2500">
        <v>126</v>
      </c>
      <c r="D2500">
        <v>4960</v>
      </c>
      <c r="E2500" s="2">
        <v>228.68</v>
      </c>
      <c r="F2500">
        <v>30</v>
      </c>
      <c r="G2500">
        <v>3</v>
      </c>
      <c r="H2500">
        <v>5.8000000000000003E-2</v>
      </c>
      <c r="I2500" s="3">
        <v>1114</v>
      </c>
      <c r="J2500" s="1" t="s">
        <v>100</v>
      </c>
      <c r="K2500" t="s">
        <v>31</v>
      </c>
      <c r="L2500" t="s">
        <v>8</v>
      </c>
      <c r="M2500" t="s">
        <v>41</v>
      </c>
      <c r="N2500" s="1">
        <f t="shared" si="234"/>
        <v>45622</v>
      </c>
      <c r="O2500" s="4">
        <f t="shared" si="235"/>
        <v>2.5403225806451612E-2</v>
      </c>
      <c r="P2500">
        <f t="shared" si="236"/>
        <v>1.814920634920635</v>
      </c>
      <c r="Q2500" s="2">
        <f t="shared" si="237"/>
        <v>7.6226666666666665</v>
      </c>
      <c r="R2500" s="2">
        <f t="shared" si="238"/>
        <v>76.226666666666674</v>
      </c>
      <c r="S2500" s="2">
        <f t="shared" si="239"/>
        <v>4.8714360678677631</v>
      </c>
    </row>
    <row r="2501" spans="1:19">
      <c r="A2501" t="s">
        <v>2554</v>
      </c>
      <c r="B2501" t="s">
        <v>30</v>
      </c>
      <c r="C2501">
        <v>171</v>
      </c>
      <c r="D2501">
        <v>4549</v>
      </c>
      <c r="E2501" s="2">
        <v>181.87</v>
      </c>
      <c r="F2501">
        <v>18</v>
      </c>
      <c r="G2501">
        <v>3</v>
      </c>
      <c r="H2501">
        <v>4.5999999999999999E-2</v>
      </c>
      <c r="I2501" s="3">
        <v>1965</v>
      </c>
      <c r="J2501" s="1">
        <v>45546</v>
      </c>
      <c r="K2501" t="s">
        <v>31</v>
      </c>
      <c r="L2501" t="s">
        <v>8</v>
      </c>
      <c r="M2501" t="s">
        <v>46</v>
      </c>
      <c r="N2501" s="1">
        <f t="shared" si="234"/>
        <v>45546</v>
      </c>
      <c r="O2501" s="4">
        <f t="shared" si="235"/>
        <v>3.7590679270169271E-2</v>
      </c>
      <c r="P2501">
        <f t="shared" si="236"/>
        <v>1.0635672514619883</v>
      </c>
      <c r="Q2501" s="2">
        <f t="shared" si="237"/>
        <v>10.103888888888889</v>
      </c>
      <c r="R2501" s="2">
        <f t="shared" si="238"/>
        <v>60.623333333333335</v>
      </c>
      <c r="S2501" s="2">
        <f t="shared" si="239"/>
        <v>10.804420740089075</v>
      </c>
    </row>
    <row r="2502" spans="1:19" hidden="1">
      <c r="A2502" t="s">
        <v>2555</v>
      </c>
      <c r="B2502" t="s">
        <v>30</v>
      </c>
      <c r="C2502">
        <v>185</v>
      </c>
      <c r="D2502">
        <v>4803</v>
      </c>
      <c r="E2502" s="2">
        <v>248.77</v>
      </c>
      <c r="F2502">
        <v>30</v>
      </c>
      <c r="G2502">
        <v>5</v>
      </c>
      <c r="H2502">
        <v>2.7E-2</v>
      </c>
      <c r="I2502" s="3">
        <v>1806</v>
      </c>
      <c r="J2502" s="1">
        <v>45601</v>
      </c>
      <c r="K2502" t="s">
        <v>31</v>
      </c>
      <c r="L2502" t="s">
        <v>8</v>
      </c>
      <c r="M2502" t="s">
        <v>32</v>
      </c>
      <c r="N2502" s="1">
        <f t="shared" si="234"/>
        <v>45601</v>
      </c>
      <c r="O2502" s="4">
        <f t="shared" si="235"/>
        <v>3.8517593170934832E-2</v>
      </c>
      <c r="P2502">
        <f t="shared" si="236"/>
        <v>1.3447027027027028</v>
      </c>
      <c r="Q2502" s="2">
        <f t="shared" si="237"/>
        <v>8.2923333333333336</v>
      </c>
      <c r="R2502" s="2">
        <f t="shared" si="238"/>
        <v>49.754000000000005</v>
      </c>
      <c r="S2502" s="2">
        <f t="shared" si="239"/>
        <v>7.2597178116332355</v>
      </c>
    </row>
    <row r="2503" spans="1:19" hidden="1">
      <c r="A2503" t="s">
        <v>2556</v>
      </c>
      <c r="B2503" t="s">
        <v>30</v>
      </c>
      <c r="C2503">
        <v>157</v>
      </c>
      <c r="D2503">
        <v>3164</v>
      </c>
      <c r="E2503" s="2">
        <v>227.73</v>
      </c>
      <c r="F2503">
        <v>20</v>
      </c>
      <c r="G2503">
        <v>3</v>
      </c>
      <c r="H2503">
        <v>3.4000000000000002E-2</v>
      </c>
      <c r="I2503" s="3">
        <v>1505</v>
      </c>
      <c r="J2503" s="1" t="s">
        <v>34</v>
      </c>
      <c r="K2503" t="s">
        <v>31</v>
      </c>
      <c r="L2503" t="s">
        <v>8</v>
      </c>
      <c r="M2503" t="s">
        <v>39</v>
      </c>
      <c r="N2503" s="1">
        <f t="shared" si="234"/>
        <v>45616</v>
      </c>
      <c r="O2503" s="4">
        <f t="shared" si="235"/>
        <v>4.9620733249051835E-2</v>
      </c>
      <c r="P2503">
        <f t="shared" si="236"/>
        <v>1.4505095541401274</v>
      </c>
      <c r="Q2503" s="2">
        <f t="shared" si="237"/>
        <v>11.3865</v>
      </c>
      <c r="R2503" s="2">
        <f t="shared" si="238"/>
        <v>75.91</v>
      </c>
      <c r="S2503" s="2">
        <f t="shared" si="239"/>
        <v>6.608703288982567</v>
      </c>
    </row>
    <row r="2504" spans="1:19" hidden="1">
      <c r="A2504" t="s">
        <v>2557</v>
      </c>
      <c r="B2504" t="s">
        <v>30</v>
      </c>
      <c r="C2504">
        <v>123</v>
      </c>
      <c r="D2504">
        <v>3343</v>
      </c>
      <c r="E2504" s="2">
        <v>190.66</v>
      </c>
      <c r="F2504">
        <v>14</v>
      </c>
      <c r="G2504">
        <v>5</v>
      </c>
      <c r="H2504">
        <v>4.1000000000000002E-2</v>
      </c>
      <c r="I2504" s="3">
        <v>1562</v>
      </c>
      <c r="J2504" s="1" t="s">
        <v>132</v>
      </c>
      <c r="K2504" t="s">
        <v>31</v>
      </c>
      <c r="L2504" t="s">
        <v>8</v>
      </c>
      <c r="M2504" t="s">
        <v>35</v>
      </c>
      <c r="N2504" s="1">
        <f t="shared" si="234"/>
        <v>45613</v>
      </c>
      <c r="O2504" s="4">
        <f t="shared" si="235"/>
        <v>3.6793299431648219E-2</v>
      </c>
      <c r="P2504">
        <f t="shared" si="236"/>
        <v>1.5500813008130081</v>
      </c>
      <c r="Q2504" s="2">
        <f t="shared" si="237"/>
        <v>13.618571428571428</v>
      </c>
      <c r="R2504" s="2">
        <f t="shared" si="238"/>
        <v>38.131999999999998</v>
      </c>
      <c r="S2504" s="2">
        <f t="shared" si="239"/>
        <v>8.1925941466484851</v>
      </c>
    </row>
    <row r="2505" spans="1:19" hidden="1">
      <c r="A2505" t="s">
        <v>2558</v>
      </c>
      <c r="B2505" t="s">
        <v>30</v>
      </c>
      <c r="C2505">
        <v>122</v>
      </c>
      <c r="D2505">
        <v>5718</v>
      </c>
      <c r="E2505" s="2">
        <v>211.65</v>
      </c>
      <c r="F2505">
        <v>14</v>
      </c>
      <c r="G2505">
        <v>4</v>
      </c>
      <c r="H2505">
        <v>3.3000000000000002E-2</v>
      </c>
      <c r="I2505" s="3">
        <v>1857</v>
      </c>
      <c r="J2505" s="1" t="s">
        <v>348</v>
      </c>
      <c r="K2505" t="s">
        <v>31</v>
      </c>
      <c r="L2505" t="s">
        <v>9</v>
      </c>
      <c r="M2505" t="s">
        <v>37</v>
      </c>
      <c r="N2505" s="1">
        <f t="shared" si="234"/>
        <v>45615</v>
      </c>
      <c r="O2505" s="4">
        <f t="shared" si="235"/>
        <v>2.1336131514515563E-2</v>
      </c>
      <c r="P2505">
        <f t="shared" si="236"/>
        <v>1.7348360655737705</v>
      </c>
      <c r="Q2505" s="2">
        <f t="shared" si="237"/>
        <v>15.117857142857144</v>
      </c>
      <c r="R2505" s="2">
        <f t="shared" si="238"/>
        <v>52.912500000000001</v>
      </c>
      <c r="S2505" s="2">
        <f t="shared" si="239"/>
        <v>8.7739192062367106</v>
      </c>
    </row>
    <row r="2506" spans="1:19" hidden="1">
      <c r="A2506" t="s">
        <v>2559</v>
      </c>
      <c r="B2506" t="s">
        <v>30</v>
      </c>
      <c r="C2506">
        <v>97</v>
      </c>
      <c r="D2506">
        <v>3754</v>
      </c>
      <c r="E2506" s="2">
        <v>180.42</v>
      </c>
      <c r="F2506">
        <v>24</v>
      </c>
      <c r="G2506">
        <v>10</v>
      </c>
      <c r="H2506">
        <v>0.10299999999999999</v>
      </c>
      <c r="I2506" s="3">
        <v>1011</v>
      </c>
      <c r="J2506" s="1">
        <v>45612</v>
      </c>
      <c r="K2506" t="s">
        <v>31</v>
      </c>
      <c r="L2506" t="s">
        <v>9</v>
      </c>
      <c r="M2506" t="s">
        <v>46</v>
      </c>
      <c r="N2506" s="1">
        <f t="shared" si="234"/>
        <v>45612</v>
      </c>
      <c r="O2506" s="4">
        <f t="shared" si="235"/>
        <v>2.5839104954714972E-2</v>
      </c>
      <c r="P2506">
        <f t="shared" si="236"/>
        <v>1.8599999999999999</v>
      </c>
      <c r="Q2506" s="2">
        <f t="shared" si="237"/>
        <v>7.5174999999999992</v>
      </c>
      <c r="R2506" s="2">
        <f t="shared" si="238"/>
        <v>18.041999999999998</v>
      </c>
      <c r="S2506" s="2">
        <f t="shared" si="239"/>
        <v>5.6035916195543738</v>
      </c>
    </row>
    <row r="2507" spans="1:19" hidden="1">
      <c r="A2507" t="s">
        <v>2560</v>
      </c>
      <c r="B2507" t="s">
        <v>30</v>
      </c>
      <c r="C2507">
        <v>88</v>
      </c>
      <c r="D2507">
        <v>3684</v>
      </c>
      <c r="E2507" s="2">
        <v>198.73</v>
      </c>
      <c r="F2507">
        <v>30</v>
      </c>
      <c r="G2507">
        <v>4</v>
      </c>
      <c r="H2507">
        <v>4.4999999999999998E-2</v>
      </c>
      <c r="I2507" s="3">
        <v>1195</v>
      </c>
      <c r="J2507" s="1">
        <v>45333</v>
      </c>
      <c r="K2507" t="s">
        <v>31</v>
      </c>
      <c r="L2507" t="s">
        <v>8</v>
      </c>
      <c r="M2507" t="s">
        <v>41</v>
      </c>
      <c r="N2507" s="1">
        <f t="shared" si="234"/>
        <v>45333</v>
      </c>
      <c r="O2507" s="4">
        <f t="shared" si="235"/>
        <v>2.3887079261672096E-2</v>
      </c>
      <c r="P2507">
        <f t="shared" si="236"/>
        <v>2.2582954545454546</v>
      </c>
      <c r="Q2507" s="2">
        <f t="shared" si="237"/>
        <v>6.6243333333333334</v>
      </c>
      <c r="R2507" s="2">
        <f t="shared" si="238"/>
        <v>49.682499999999997</v>
      </c>
      <c r="S2507" s="2">
        <f t="shared" si="239"/>
        <v>6.0131837166004125</v>
      </c>
    </row>
    <row r="2508" spans="1:19" hidden="1">
      <c r="A2508" t="s">
        <v>2561</v>
      </c>
      <c r="B2508" t="s">
        <v>30</v>
      </c>
      <c r="C2508">
        <v>81</v>
      </c>
      <c r="D2508">
        <v>5068</v>
      </c>
      <c r="E2508" s="2">
        <v>204.53</v>
      </c>
      <c r="F2508">
        <v>20</v>
      </c>
      <c r="G2508">
        <v>9</v>
      </c>
      <c r="H2508">
        <v>4.3999999999999997E-2</v>
      </c>
      <c r="I2508" s="3">
        <v>1773</v>
      </c>
      <c r="J2508" s="1">
        <v>45599</v>
      </c>
      <c r="K2508" t="s">
        <v>31</v>
      </c>
      <c r="L2508" t="s">
        <v>9</v>
      </c>
      <c r="M2508" t="s">
        <v>37</v>
      </c>
      <c r="N2508" s="1">
        <f t="shared" si="234"/>
        <v>45599</v>
      </c>
      <c r="O2508" s="4">
        <f t="shared" si="235"/>
        <v>1.5982636148382006E-2</v>
      </c>
      <c r="P2508">
        <f t="shared" si="236"/>
        <v>2.5250617283950616</v>
      </c>
      <c r="Q2508" s="2">
        <f t="shared" si="237"/>
        <v>10.2265</v>
      </c>
      <c r="R2508" s="2">
        <f t="shared" si="238"/>
        <v>22.725555555555555</v>
      </c>
      <c r="S2508" s="2">
        <f t="shared" si="239"/>
        <v>8.668654965041803</v>
      </c>
    </row>
    <row r="2509" spans="1:19" hidden="1">
      <c r="A2509" t="s">
        <v>2562</v>
      </c>
      <c r="B2509" t="s">
        <v>30</v>
      </c>
      <c r="C2509">
        <v>96</v>
      </c>
      <c r="D2509">
        <v>5538</v>
      </c>
      <c r="E2509" s="2">
        <v>188.79</v>
      </c>
      <c r="F2509">
        <v>28</v>
      </c>
      <c r="G2509">
        <v>6</v>
      </c>
      <c r="H2509">
        <v>6.2E-2</v>
      </c>
      <c r="I2509" s="3">
        <v>1181</v>
      </c>
      <c r="J2509" s="1">
        <v>45614</v>
      </c>
      <c r="K2509" t="s">
        <v>31</v>
      </c>
      <c r="L2509" t="s">
        <v>8</v>
      </c>
      <c r="M2509" t="s">
        <v>41</v>
      </c>
      <c r="N2509" s="1">
        <f t="shared" si="234"/>
        <v>45614</v>
      </c>
      <c r="O2509" s="4">
        <f t="shared" si="235"/>
        <v>1.7334777898158179E-2</v>
      </c>
      <c r="P2509">
        <f t="shared" si="236"/>
        <v>1.9665625</v>
      </c>
      <c r="Q2509" s="2">
        <f t="shared" si="237"/>
        <v>6.7424999999999997</v>
      </c>
      <c r="R2509" s="2">
        <f t="shared" si="238"/>
        <v>31.465</v>
      </c>
      <c r="S2509" s="2">
        <f t="shared" si="239"/>
        <v>6.2556279463954665</v>
      </c>
    </row>
    <row r="2510" spans="1:19" hidden="1">
      <c r="A2510" t="s">
        <v>2563</v>
      </c>
      <c r="B2510" t="s">
        <v>30</v>
      </c>
      <c r="C2510">
        <v>163</v>
      </c>
      <c r="D2510">
        <v>4813</v>
      </c>
      <c r="E2510" s="2">
        <v>190.77</v>
      </c>
      <c r="F2510">
        <v>22</v>
      </c>
      <c r="G2510">
        <v>8</v>
      </c>
      <c r="H2510">
        <v>4.9000000000000002E-2</v>
      </c>
      <c r="I2510" s="3">
        <v>1505</v>
      </c>
      <c r="J2510" s="1">
        <v>45621</v>
      </c>
      <c r="K2510" t="s">
        <v>31</v>
      </c>
      <c r="L2510" t="s">
        <v>7</v>
      </c>
      <c r="M2510" t="s">
        <v>41</v>
      </c>
      <c r="N2510" s="1">
        <f t="shared" si="234"/>
        <v>45621</v>
      </c>
      <c r="O2510" s="4">
        <f t="shared" si="235"/>
        <v>3.3866611261167669E-2</v>
      </c>
      <c r="P2510">
        <f t="shared" si="236"/>
        <v>1.1703680981595093</v>
      </c>
      <c r="Q2510" s="2">
        <f t="shared" si="237"/>
        <v>8.6713636363636368</v>
      </c>
      <c r="R2510" s="2">
        <f t="shared" si="238"/>
        <v>23.846250000000001</v>
      </c>
      <c r="S2510" s="2">
        <f t="shared" si="239"/>
        <v>7.8890810924149495</v>
      </c>
    </row>
    <row r="2511" spans="1:19">
      <c r="A2511" t="s">
        <v>2564</v>
      </c>
      <c r="B2511" t="s">
        <v>30</v>
      </c>
      <c r="C2511">
        <v>139</v>
      </c>
      <c r="D2511">
        <v>3003</v>
      </c>
      <c r="E2511" s="2">
        <v>210.63</v>
      </c>
      <c r="F2511">
        <v>16</v>
      </c>
      <c r="G2511">
        <v>10</v>
      </c>
      <c r="H2511">
        <v>4.5999999999999999E-2</v>
      </c>
      <c r="I2511" s="3">
        <v>1756</v>
      </c>
      <c r="J2511" s="1">
        <v>45612</v>
      </c>
      <c r="K2511" t="s">
        <v>31</v>
      </c>
      <c r="L2511" t="s">
        <v>9</v>
      </c>
      <c r="M2511" t="s">
        <v>39</v>
      </c>
      <c r="N2511" s="1">
        <f t="shared" si="234"/>
        <v>45612</v>
      </c>
      <c r="O2511" s="4">
        <f t="shared" si="235"/>
        <v>4.6287046287046288E-2</v>
      </c>
      <c r="P2511">
        <f t="shared" si="236"/>
        <v>1.5153237410071942</v>
      </c>
      <c r="Q2511" s="2">
        <f t="shared" si="237"/>
        <v>13.164375</v>
      </c>
      <c r="R2511" s="2">
        <f t="shared" si="238"/>
        <v>21.062999999999999</v>
      </c>
      <c r="S2511" s="2">
        <f t="shared" si="239"/>
        <v>8.3368940796657647</v>
      </c>
    </row>
    <row r="2512" spans="1:19">
      <c r="A2512" t="s">
        <v>2565</v>
      </c>
      <c r="B2512" t="s">
        <v>30</v>
      </c>
      <c r="C2512">
        <v>142</v>
      </c>
      <c r="D2512">
        <v>3348</v>
      </c>
      <c r="E2512" s="2">
        <v>242.31</v>
      </c>
      <c r="F2512">
        <v>12</v>
      </c>
      <c r="G2512">
        <v>8</v>
      </c>
      <c r="H2512">
        <v>4.5999999999999999E-2</v>
      </c>
      <c r="I2512" s="3">
        <v>1220</v>
      </c>
      <c r="J2512" s="1">
        <v>45617</v>
      </c>
      <c r="K2512" t="s">
        <v>31</v>
      </c>
      <c r="L2512" t="s">
        <v>9</v>
      </c>
      <c r="M2512" t="s">
        <v>41</v>
      </c>
      <c r="N2512" s="1">
        <f t="shared" si="234"/>
        <v>45617</v>
      </c>
      <c r="O2512" s="4">
        <f t="shared" si="235"/>
        <v>4.2413381123058543E-2</v>
      </c>
      <c r="P2512">
        <f t="shared" si="236"/>
        <v>1.7064084507042254</v>
      </c>
      <c r="Q2512" s="2">
        <f t="shared" si="237"/>
        <v>20.192499999999999</v>
      </c>
      <c r="R2512" s="2">
        <f t="shared" si="238"/>
        <v>30.28875</v>
      </c>
      <c r="S2512" s="2">
        <f t="shared" si="239"/>
        <v>5.0348726837522184</v>
      </c>
    </row>
    <row r="2513" spans="1:19" hidden="1">
      <c r="A2513" t="s">
        <v>2566</v>
      </c>
      <c r="B2513" t="s">
        <v>30</v>
      </c>
      <c r="C2513">
        <v>83</v>
      </c>
      <c r="D2513">
        <v>3926</v>
      </c>
      <c r="E2513" s="2">
        <v>186.63</v>
      </c>
      <c r="F2513">
        <v>21</v>
      </c>
      <c r="G2513">
        <v>5</v>
      </c>
      <c r="H2513">
        <v>0.06</v>
      </c>
      <c r="I2513" s="3">
        <v>1407</v>
      </c>
      <c r="J2513" s="1">
        <v>45602</v>
      </c>
      <c r="K2513" t="s">
        <v>31</v>
      </c>
      <c r="L2513" t="s">
        <v>9</v>
      </c>
      <c r="M2513" t="s">
        <v>37</v>
      </c>
      <c r="N2513" s="1">
        <f t="shared" si="234"/>
        <v>45602</v>
      </c>
      <c r="O2513" s="4">
        <f t="shared" si="235"/>
        <v>2.1141110545084055E-2</v>
      </c>
      <c r="P2513">
        <f t="shared" si="236"/>
        <v>2.2485542168674697</v>
      </c>
      <c r="Q2513" s="2">
        <f t="shared" si="237"/>
        <v>8.887142857142857</v>
      </c>
      <c r="R2513" s="2">
        <f t="shared" si="238"/>
        <v>37.326000000000001</v>
      </c>
      <c r="S2513" s="2">
        <f t="shared" si="239"/>
        <v>7.5389808712425657</v>
      </c>
    </row>
    <row r="2514" spans="1:19" hidden="1">
      <c r="A2514" t="s">
        <v>2567</v>
      </c>
      <c r="B2514" t="s">
        <v>30</v>
      </c>
      <c r="C2514">
        <v>188</v>
      </c>
      <c r="D2514">
        <v>3069</v>
      </c>
      <c r="E2514" s="2">
        <v>214.16</v>
      </c>
      <c r="F2514">
        <v>26</v>
      </c>
      <c r="G2514">
        <v>4</v>
      </c>
      <c r="H2514">
        <v>2.1000000000000001E-2</v>
      </c>
      <c r="I2514" s="3">
        <v>1563</v>
      </c>
      <c r="J2514" s="1">
        <v>45610</v>
      </c>
      <c r="K2514" t="s">
        <v>31</v>
      </c>
      <c r="L2514" t="s">
        <v>7</v>
      </c>
      <c r="M2514" t="s">
        <v>32</v>
      </c>
      <c r="N2514" s="1">
        <f t="shared" si="234"/>
        <v>45610</v>
      </c>
      <c r="O2514" s="4">
        <f t="shared" si="235"/>
        <v>6.1257738677093519E-2</v>
      </c>
      <c r="P2514">
        <f t="shared" si="236"/>
        <v>1.1391489361702127</v>
      </c>
      <c r="Q2514" s="2">
        <f t="shared" si="237"/>
        <v>8.2369230769230768</v>
      </c>
      <c r="R2514" s="2">
        <f t="shared" si="238"/>
        <v>53.54</v>
      </c>
      <c r="S2514" s="2">
        <f t="shared" si="239"/>
        <v>7.2982816585730292</v>
      </c>
    </row>
    <row r="2515" spans="1:19" hidden="1">
      <c r="A2515" t="s">
        <v>2568</v>
      </c>
      <c r="B2515" t="s">
        <v>30</v>
      </c>
      <c r="C2515">
        <v>193</v>
      </c>
      <c r="D2515">
        <v>3978</v>
      </c>
      <c r="E2515" s="2">
        <v>231.8</v>
      </c>
      <c r="F2515">
        <v>20</v>
      </c>
      <c r="G2515">
        <v>3</v>
      </c>
      <c r="H2515">
        <v>4.5999999999999999E-2</v>
      </c>
      <c r="I2515" s="3">
        <v>1126</v>
      </c>
      <c r="J2515" s="1">
        <v>45612</v>
      </c>
      <c r="K2515" t="s">
        <v>31</v>
      </c>
      <c r="L2515" t="s">
        <v>8</v>
      </c>
      <c r="M2515" t="s">
        <v>41</v>
      </c>
      <c r="N2515" s="1">
        <f t="shared" si="234"/>
        <v>45612</v>
      </c>
      <c r="O2515" s="4">
        <f t="shared" si="235"/>
        <v>4.8516842634489694E-2</v>
      </c>
      <c r="P2515">
        <f t="shared" si="236"/>
        <v>1.2010362694300518</v>
      </c>
      <c r="Q2515" s="2">
        <f t="shared" si="237"/>
        <v>11.59</v>
      </c>
      <c r="R2515" s="2">
        <f t="shared" si="238"/>
        <v>77.266666666666666</v>
      </c>
      <c r="S2515" s="2">
        <f t="shared" si="239"/>
        <v>4.8576358930112162</v>
      </c>
    </row>
    <row r="2516" spans="1:19" hidden="1">
      <c r="A2516" t="s">
        <v>2569</v>
      </c>
      <c r="B2516" t="s">
        <v>30</v>
      </c>
      <c r="C2516">
        <v>181</v>
      </c>
      <c r="D2516">
        <v>3652</v>
      </c>
      <c r="E2516" s="2">
        <v>206.2</v>
      </c>
      <c r="F2516">
        <v>27</v>
      </c>
      <c r="G2516">
        <v>7</v>
      </c>
      <c r="H2516">
        <v>3.9E-2</v>
      </c>
      <c r="I2516" s="3">
        <v>1690</v>
      </c>
      <c r="J2516" s="1">
        <v>45599</v>
      </c>
      <c r="K2516" t="s">
        <v>31</v>
      </c>
      <c r="L2516" t="s">
        <v>9</v>
      </c>
      <c r="M2516" t="s">
        <v>46</v>
      </c>
      <c r="N2516" s="1">
        <f t="shared" si="234"/>
        <v>45599</v>
      </c>
      <c r="O2516" s="4">
        <f t="shared" si="235"/>
        <v>4.95618838992333E-2</v>
      </c>
      <c r="P2516">
        <f t="shared" si="236"/>
        <v>1.1392265193370166</v>
      </c>
      <c r="Q2516" s="2">
        <f t="shared" si="237"/>
        <v>7.6370370370370368</v>
      </c>
      <c r="R2516" s="2">
        <f t="shared" si="238"/>
        <v>29.457142857142856</v>
      </c>
      <c r="S2516" s="2">
        <f t="shared" si="239"/>
        <v>8.1959262851600396</v>
      </c>
    </row>
    <row r="2517" spans="1:19" hidden="1">
      <c r="A2517" t="s">
        <v>2570</v>
      </c>
      <c r="B2517" t="s">
        <v>30</v>
      </c>
      <c r="C2517">
        <v>199</v>
      </c>
      <c r="D2517">
        <v>4400</v>
      </c>
      <c r="E2517" s="2">
        <v>228.05</v>
      </c>
      <c r="F2517">
        <v>26</v>
      </c>
      <c r="G2517">
        <v>8</v>
      </c>
      <c r="H2517">
        <v>0.04</v>
      </c>
      <c r="I2517" s="3">
        <v>1025</v>
      </c>
      <c r="J2517" s="1">
        <v>45605</v>
      </c>
      <c r="K2517" t="s">
        <v>31</v>
      </c>
      <c r="L2517" t="s">
        <v>9</v>
      </c>
      <c r="M2517" t="s">
        <v>32</v>
      </c>
      <c r="N2517" s="1">
        <f t="shared" si="234"/>
        <v>45605</v>
      </c>
      <c r="O2517" s="4">
        <f t="shared" si="235"/>
        <v>4.5227272727272727E-2</v>
      </c>
      <c r="P2517">
        <f t="shared" si="236"/>
        <v>1.1459798994974875</v>
      </c>
      <c r="Q2517" s="2">
        <f t="shared" si="237"/>
        <v>8.7711538461538474</v>
      </c>
      <c r="R2517" s="2">
        <f t="shared" si="238"/>
        <v>28.506250000000001</v>
      </c>
      <c r="S2517" s="2">
        <f t="shared" si="239"/>
        <v>4.4946283709712782</v>
      </c>
    </row>
    <row r="2518" spans="1:19" hidden="1">
      <c r="A2518" t="s">
        <v>2571</v>
      </c>
      <c r="B2518" t="s">
        <v>30</v>
      </c>
      <c r="C2518">
        <v>167</v>
      </c>
      <c r="D2518">
        <v>5503</v>
      </c>
      <c r="E2518" s="2">
        <v>232.28</v>
      </c>
      <c r="F2518">
        <v>19</v>
      </c>
      <c r="G2518">
        <v>9</v>
      </c>
      <c r="H2518">
        <v>5.3999999999999999E-2</v>
      </c>
      <c r="I2518" s="3">
        <v>1644</v>
      </c>
      <c r="J2518" s="1">
        <v>45601</v>
      </c>
      <c r="K2518" t="s">
        <v>31</v>
      </c>
      <c r="L2518" t="s">
        <v>8</v>
      </c>
      <c r="M2518" t="s">
        <v>39</v>
      </c>
      <c r="N2518" s="1">
        <f t="shared" si="234"/>
        <v>45601</v>
      </c>
      <c r="O2518" s="4">
        <f t="shared" si="235"/>
        <v>3.0347083409049611E-2</v>
      </c>
      <c r="P2518">
        <f t="shared" si="236"/>
        <v>1.3908982035928144</v>
      </c>
      <c r="Q2518" s="2">
        <f t="shared" si="237"/>
        <v>12.225263157894737</v>
      </c>
      <c r="R2518" s="2">
        <f t="shared" si="238"/>
        <v>25.808888888888887</v>
      </c>
      <c r="S2518" s="2">
        <f t="shared" si="239"/>
        <v>7.0776648872050973</v>
      </c>
    </row>
    <row r="2519" spans="1:19" hidden="1">
      <c r="A2519" t="s">
        <v>2572</v>
      </c>
      <c r="B2519" t="s">
        <v>30</v>
      </c>
      <c r="C2519">
        <v>189</v>
      </c>
      <c r="D2519">
        <v>4955</v>
      </c>
      <c r="E2519" s="2">
        <v>215.87</v>
      </c>
      <c r="F2519">
        <v>21</v>
      </c>
      <c r="G2519">
        <v>3</v>
      </c>
      <c r="H2519">
        <v>3.3000000000000002E-2</v>
      </c>
      <c r="I2519" s="3">
        <v>1238</v>
      </c>
      <c r="J2519" s="1">
        <v>45613</v>
      </c>
      <c r="K2519" t="s">
        <v>31</v>
      </c>
      <c r="L2519" t="s">
        <v>8</v>
      </c>
      <c r="M2519" t="s">
        <v>37</v>
      </c>
      <c r="N2519" s="1">
        <f t="shared" si="234"/>
        <v>45613</v>
      </c>
      <c r="O2519" s="4">
        <f t="shared" si="235"/>
        <v>3.8143289606458124E-2</v>
      </c>
      <c r="P2519">
        <f t="shared" si="236"/>
        <v>1.1421693121693122</v>
      </c>
      <c r="Q2519" s="2">
        <f t="shared" si="237"/>
        <v>10.279523809523809</v>
      </c>
      <c r="R2519" s="2">
        <f t="shared" si="238"/>
        <v>71.956666666666663</v>
      </c>
      <c r="S2519" s="2">
        <f t="shared" si="239"/>
        <v>5.7349330615648304</v>
      </c>
    </row>
    <row r="2520" spans="1:19" hidden="1">
      <c r="A2520" t="s">
        <v>2573</v>
      </c>
      <c r="B2520" t="s">
        <v>30</v>
      </c>
      <c r="C2520">
        <v>125</v>
      </c>
      <c r="D2520">
        <v>3469</v>
      </c>
      <c r="E2520" s="2">
        <v>192.84</v>
      </c>
      <c r="F2520">
        <v>16</v>
      </c>
      <c r="G2520">
        <v>8</v>
      </c>
      <c r="H2520">
        <v>3.5999999999999997E-2</v>
      </c>
      <c r="I2520" s="3">
        <v>1259</v>
      </c>
      <c r="J2520" s="1">
        <v>45613</v>
      </c>
      <c r="K2520" t="s">
        <v>31</v>
      </c>
      <c r="L2520" t="s">
        <v>7</v>
      </c>
      <c r="M2520" t="s">
        <v>35</v>
      </c>
      <c r="N2520" s="1">
        <f t="shared" si="234"/>
        <v>45613</v>
      </c>
      <c r="O2520" s="4">
        <f t="shared" si="235"/>
        <v>3.6033439031421158E-2</v>
      </c>
      <c r="P2520">
        <f t="shared" si="236"/>
        <v>1.5427200000000001</v>
      </c>
      <c r="Q2520" s="2">
        <f t="shared" si="237"/>
        <v>12.0525</v>
      </c>
      <c r="R2520" s="2">
        <f t="shared" si="238"/>
        <v>24.105</v>
      </c>
      <c r="S2520" s="2">
        <f t="shared" si="239"/>
        <v>6.5287284795685538</v>
      </c>
    </row>
    <row r="2521" spans="1:19" hidden="1">
      <c r="A2521" t="s">
        <v>2574</v>
      </c>
      <c r="B2521" t="s">
        <v>30</v>
      </c>
      <c r="C2521">
        <v>166</v>
      </c>
      <c r="D2521">
        <v>4096</v>
      </c>
      <c r="E2521" s="2">
        <v>204.43</v>
      </c>
      <c r="F2521">
        <v>28</v>
      </c>
      <c r="G2521">
        <v>5</v>
      </c>
      <c r="H2521">
        <v>0.03</v>
      </c>
      <c r="I2521" s="3">
        <v>1579</v>
      </c>
      <c r="J2521" s="1">
        <v>45454</v>
      </c>
      <c r="K2521" t="s">
        <v>31</v>
      </c>
      <c r="L2521" t="s">
        <v>7</v>
      </c>
      <c r="M2521" t="s">
        <v>32</v>
      </c>
      <c r="N2521" s="1">
        <f t="shared" si="234"/>
        <v>45454</v>
      </c>
      <c r="O2521" s="4">
        <f t="shared" si="235"/>
        <v>4.052734375E-2</v>
      </c>
      <c r="P2521">
        <f t="shared" si="236"/>
        <v>1.2315060240963855</v>
      </c>
      <c r="Q2521" s="2">
        <f t="shared" si="237"/>
        <v>7.3010714285714284</v>
      </c>
      <c r="R2521" s="2">
        <f t="shared" si="238"/>
        <v>40.886000000000003</v>
      </c>
      <c r="S2521" s="2">
        <f t="shared" si="239"/>
        <v>7.7239152766228045</v>
      </c>
    </row>
    <row r="2522" spans="1:19" hidden="1">
      <c r="A2522" t="s">
        <v>2575</v>
      </c>
      <c r="B2522" t="s">
        <v>30</v>
      </c>
      <c r="C2522">
        <v>181</v>
      </c>
      <c r="D2522">
        <v>5171</v>
      </c>
      <c r="E2522" s="2">
        <v>208.69</v>
      </c>
      <c r="F2522">
        <v>14</v>
      </c>
      <c r="G2522">
        <v>4</v>
      </c>
      <c r="H2522">
        <v>2.1999999999999999E-2</v>
      </c>
      <c r="I2522" s="3">
        <v>1628</v>
      </c>
      <c r="J2522" s="1">
        <v>45619</v>
      </c>
      <c r="K2522" t="s">
        <v>31</v>
      </c>
      <c r="L2522" t="s">
        <v>8</v>
      </c>
      <c r="M2522" t="s">
        <v>35</v>
      </c>
      <c r="N2522" s="1">
        <f t="shared" si="234"/>
        <v>45619</v>
      </c>
      <c r="O2522" s="4">
        <f t="shared" si="235"/>
        <v>3.5002900792883387E-2</v>
      </c>
      <c r="P2522">
        <f t="shared" si="236"/>
        <v>1.1529834254143647</v>
      </c>
      <c r="Q2522" s="2">
        <f t="shared" si="237"/>
        <v>14.906428571428572</v>
      </c>
      <c r="R2522" s="2">
        <f t="shared" si="238"/>
        <v>52.172499999999999</v>
      </c>
      <c r="S2522" s="2">
        <f t="shared" si="239"/>
        <v>7.8010446116248984</v>
      </c>
    </row>
    <row r="2523" spans="1:19">
      <c r="A2523" t="s">
        <v>2576</v>
      </c>
      <c r="B2523" t="s">
        <v>30</v>
      </c>
      <c r="C2523">
        <v>139</v>
      </c>
      <c r="D2523">
        <v>4878</v>
      </c>
      <c r="E2523" s="2">
        <v>183.26</v>
      </c>
      <c r="F2523">
        <v>25</v>
      </c>
      <c r="G2523">
        <v>3</v>
      </c>
      <c r="H2523">
        <v>4.5999999999999999E-2</v>
      </c>
      <c r="I2523" s="3">
        <v>1986</v>
      </c>
      <c r="J2523" s="1">
        <v>45619</v>
      </c>
      <c r="K2523" t="s">
        <v>31</v>
      </c>
      <c r="L2523" t="s">
        <v>7</v>
      </c>
      <c r="M2523" t="s">
        <v>32</v>
      </c>
      <c r="N2523" s="1">
        <f t="shared" si="234"/>
        <v>45619</v>
      </c>
      <c r="O2523" s="4">
        <f t="shared" si="235"/>
        <v>2.8495284952849528E-2</v>
      </c>
      <c r="P2523">
        <f t="shared" si="236"/>
        <v>1.3184172661870504</v>
      </c>
      <c r="Q2523" s="2">
        <f t="shared" si="237"/>
        <v>7.3304</v>
      </c>
      <c r="R2523" s="2">
        <f t="shared" si="238"/>
        <v>61.086666666666666</v>
      </c>
      <c r="S2523" s="2">
        <f t="shared" si="239"/>
        <v>10.837062097566299</v>
      </c>
    </row>
    <row r="2524" spans="1:19" hidden="1">
      <c r="A2524" t="s">
        <v>2577</v>
      </c>
      <c r="B2524" t="s">
        <v>30</v>
      </c>
      <c r="C2524">
        <v>127</v>
      </c>
      <c r="D2524">
        <v>3682</v>
      </c>
      <c r="E2524" s="2">
        <v>215.57</v>
      </c>
      <c r="F2524">
        <v>21</v>
      </c>
      <c r="G2524">
        <v>9</v>
      </c>
      <c r="H2524">
        <v>7.0999999999999994E-2</v>
      </c>
      <c r="I2524" s="3">
        <v>1384</v>
      </c>
      <c r="J2524" s="1">
        <v>45618</v>
      </c>
      <c r="K2524" t="s">
        <v>31</v>
      </c>
      <c r="L2524" t="s">
        <v>9</v>
      </c>
      <c r="M2524" t="s">
        <v>39</v>
      </c>
      <c r="N2524" s="1">
        <f t="shared" si="234"/>
        <v>45618</v>
      </c>
      <c r="O2524" s="4">
        <f t="shared" si="235"/>
        <v>3.4492123845736015E-2</v>
      </c>
      <c r="P2524">
        <f t="shared" si="236"/>
        <v>1.6974015748031495</v>
      </c>
      <c r="Q2524" s="2">
        <f t="shared" si="237"/>
        <v>10.265238095238095</v>
      </c>
      <c r="R2524" s="2">
        <f t="shared" si="238"/>
        <v>23.952222222222222</v>
      </c>
      <c r="S2524" s="2">
        <f t="shared" si="239"/>
        <v>6.4201883378948832</v>
      </c>
    </row>
    <row r="2525" spans="1:19" hidden="1">
      <c r="A2525" t="s">
        <v>2578</v>
      </c>
      <c r="B2525" t="s">
        <v>30</v>
      </c>
      <c r="C2525">
        <v>83</v>
      </c>
      <c r="D2525">
        <v>3933</v>
      </c>
      <c r="E2525" s="2">
        <v>214.61</v>
      </c>
      <c r="F2525">
        <v>29</v>
      </c>
      <c r="G2525">
        <v>6</v>
      </c>
      <c r="H2525">
        <v>4.8000000000000001E-2</v>
      </c>
      <c r="I2525" s="3">
        <v>1427</v>
      </c>
      <c r="J2525" s="1" t="s">
        <v>34</v>
      </c>
      <c r="K2525" t="s">
        <v>31</v>
      </c>
      <c r="L2525" t="s">
        <v>9</v>
      </c>
      <c r="M2525" t="s">
        <v>39</v>
      </c>
      <c r="N2525" s="1">
        <f t="shared" si="234"/>
        <v>45616</v>
      </c>
      <c r="O2525" s="4">
        <f t="shared" si="235"/>
        <v>2.1103483346046274E-2</v>
      </c>
      <c r="P2525">
        <f t="shared" si="236"/>
        <v>2.5856626506024099</v>
      </c>
      <c r="Q2525" s="2">
        <f t="shared" si="237"/>
        <v>7.4003448275862072</v>
      </c>
      <c r="R2525" s="2">
        <f t="shared" si="238"/>
        <v>35.768333333333338</v>
      </c>
      <c r="S2525" s="2">
        <f t="shared" si="239"/>
        <v>6.6492707702343781</v>
      </c>
    </row>
    <row r="2526" spans="1:19">
      <c r="A2526" t="s">
        <v>2579</v>
      </c>
      <c r="B2526" t="s">
        <v>30</v>
      </c>
      <c r="C2526">
        <v>80</v>
      </c>
      <c r="D2526">
        <v>3240</v>
      </c>
      <c r="E2526" s="2">
        <v>221.11</v>
      </c>
      <c r="F2526">
        <v>29</v>
      </c>
      <c r="G2526">
        <v>7</v>
      </c>
      <c r="H2526">
        <v>4.5999999999999999E-2</v>
      </c>
      <c r="I2526" s="3">
        <v>1263</v>
      </c>
      <c r="J2526" s="1" t="s">
        <v>50</v>
      </c>
      <c r="K2526" t="s">
        <v>31</v>
      </c>
      <c r="L2526" t="s">
        <v>7</v>
      </c>
      <c r="M2526" t="s">
        <v>32</v>
      </c>
      <c r="N2526" s="1">
        <f t="shared" si="234"/>
        <v>45610</v>
      </c>
      <c r="O2526" s="4">
        <f t="shared" si="235"/>
        <v>2.4691358024691357E-2</v>
      </c>
      <c r="P2526">
        <f t="shared" si="236"/>
        <v>2.7638750000000001</v>
      </c>
      <c r="Q2526" s="2">
        <f t="shared" si="237"/>
        <v>7.6244827586206902</v>
      </c>
      <c r="R2526" s="2">
        <f t="shared" si="238"/>
        <v>31.587142857142858</v>
      </c>
      <c r="S2526" s="2">
        <f t="shared" si="239"/>
        <v>5.7120890054723885</v>
      </c>
    </row>
    <row r="2527" spans="1:19" hidden="1">
      <c r="A2527" t="s">
        <v>2580</v>
      </c>
      <c r="B2527" t="s">
        <v>30</v>
      </c>
      <c r="C2527">
        <v>105</v>
      </c>
      <c r="D2527">
        <v>3030</v>
      </c>
      <c r="E2527" s="2">
        <v>185.91</v>
      </c>
      <c r="F2527">
        <v>24</v>
      </c>
      <c r="G2527">
        <v>5</v>
      </c>
      <c r="H2527">
        <v>4.8000000000000001E-2</v>
      </c>
      <c r="I2527" s="3">
        <v>1263</v>
      </c>
      <c r="J2527" s="1">
        <v>45598</v>
      </c>
      <c r="K2527" t="s">
        <v>31</v>
      </c>
      <c r="L2527" t="s">
        <v>7</v>
      </c>
      <c r="M2527" t="s">
        <v>35</v>
      </c>
      <c r="N2527" s="1">
        <f t="shared" si="234"/>
        <v>45598</v>
      </c>
      <c r="O2527" s="4">
        <f t="shared" si="235"/>
        <v>3.4653465346534656E-2</v>
      </c>
      <c r="P2527">
        <f t="shared" si="236"/>
        <v>1.7705714285714285</v>
      </c>
      <c r="Q2527" s="2">
        <f t="shared" si="237"/>
        <v>7.7462499999999999</v>
      </c>
      <c r="R2527" s="2">
        <f t="shared" si="238"/>
        <v>37.182000000000002</v>
      </c>
      <c r="S2527" s="2">
        <f t="shared" si="239"/>
        <v>6.7936098111989676</v>
      </c>
    </row>
    <row r="2528" spans="1:19">
      <c r="A2528" t="s">
        <v>2581</v>
      </c>
      <c r="B2528" t="s">
        <v>30</v>
      </c>
      <c r="C2528">
        <v>155</v>
      </c>
      <c r="D2528">
        <v>4676</v>
      </c>
      <c r="E2528" s="2">
        <v>219.3</v>
      </c>
      <c r="F2528">
        <v>26</v>
      </c>
      <c r="G2528">
        <v>7</v>
      </c>
      <c r="H2528">
        <v>4.5999999999999999E-2</v>
      </c>
      <c r="I2528" s="3">
        <v>1787</v>
      </c>
      <c r="J2528" s="1">
        <v>45598</v>
      </c>
      <c r="K2528" t="s">
        <v>31</v>
      </c>
      <c r="L2528" t="s">
        <v>9</v>
      </c>
      <c r="M2528" t="s">
        <v>32</v>
      </c>
      <c r="N2528" s="1">
        <f t="shared" si="234"/>
        <v>45598</v>
      </c>
      <c r="O2528" s="4">
        <f t="shared" si="235"/>
        <v>3.3147989734816079E-2</v>
      </c>
      <c r="P2528">
        <f t="shared" si="236"/>
        <v>1.4148387096774195</v>
      </c>
      <c r="Q2528" s="2">
        <f t="shared" si="237"/>
        <v>8.4346153846153857</v>
      </c>
      <c r="R2528" s="2">
        <f t="shared" si="238"/>
        <v>31.328571428571429</v>
      </c>
      <c r="S2528" s="2">
        <f t="shared" si="239"/>
        <v>8.1486548107615135</v>
      </c>
    </row>
    <row r="2529" spans="1:19" hidden="1">
      <c r="A2529" t="s">
        <v>2582</v>
      </c>
      <c r="B2529" t="s">
        <v>30</v>
      </c>
      <c r="C2529">
        <v>185</v>
      </c>
      <c r="D2529">
        <v>4518.5</v>
      </c>
      <c r="E2529" s="2">
        <v>208.41</v>
      </c>
      <c r="F2529">
        <v>25</v>
      </c>
      <c r="G2529">
        <v>3</v>
      </c>
      <c r="H2529">
        <v>4.7E-2</v>
      </c>
      <c r="I2529" s="3">
        <v>1006</v>
      </c>
      <c r="J2529" s="1">
        <v>45609</v>
      </c>
      <c r="K2529" t="s">
        <v>31</v>
      </c>
      <c r="L2529" t="s">
        <v>8</v>
      </c>
      <c r="M2529" t="s">
        <v>39</v>
      </c>
      <c r="N2529" s="1">
        <f t="shared" si="234"/>
        <v>45609</v>
      </c>
      <c r="O2529" s="4">
        <f t="shared" si="235"/>
        <v>4.0942790749142415E-2</v>
      </c>
      <c r="P2529">
        <f t="shared" si="236"/>
        <v>1.1265405405405404</v>
      </c>
      <c r="Q2529" s="2">
        <f t="shared" si="237"/>
        <v>8.3363999999999994</v>
      </c>
      <c r="R2529" s="2">
        <f t="shared" si="238"/>
        <v>69.47</v>
      </c>
      <c r="S2529" s="2">
        <f t="shared" si="239"/>
        <v>4.8270236552948518</v>
      </c>
    </row>
    <row r="2530" spans="1:19" hidden="1">
      <c r="A2530" t="s">
        <v>2583</v>
      </c>
      <c r="B2530" t="s">
        <v>30</v>
      </c>
      <c r="C2530">
        <v>132</v>
      </c>
      <c r="D2530">
        <v>5616</v>
      </c>
      <c r="E2530" s="2">
        <v>215.57</v>
      </c>
      <c r="F2530">
        <v>28</v>
      </c>
      <c r="G2530">
        <v>7</v>
      </c>
      <c r="H2530">
        <v>5.2999999999999999E-2</v>
      </c>
      <c r="I2530" s="3">
        <v>1491</v>
      </c>
      <c r="J2530" s="1" t="s">
        <v>100</v>
      </c>
      <c r="K2530" t="s">
        <v>31</v>
      </c>
      <c r="L2530" t="s">
        <v>7</v>
      </c>
      <c r="M2530" t="s">
        <v>37</v>
      </c>
      <c r="N2530" s="1">
        <f t="shared" si="234"/>
        <v>45622</v>
      </c>
      <c r="O2530" s="4">
        <f t="shared" si="235"/>
        <v>2.3504273504273504E-2</v>
      </c>
      <c r="P2530">
        <f t="shared" si="236"/>
        <v>1.6331060606060606</v>
      </c>
      <c r="Q2530" s="2">
        <f t="shared" si="237"/>
        <v>7.6989285714285716</v>
      </c>
      <c r="R2530" s="2">
        <f t="shared" si="238"/>
        <v>30.795714285714286</v>
      </c>
      <c r="S2530" s="2">
        <f t="shared" si="239"/>
        <v>6.9165468293361787</v>
      </c>
    </row>
    <row r="2531" spans="1:19" hidden="1">
      <c r="A2531" t="s">
        <v>2584</v>
      </c>
      <c r="B2531" t="s">
        <v>30</v>
      </c>
      <c r="C2531">
        <v>198</v>
      </c>
      <c r="D2531">
        <v>5736</v>
      </c>
      <c r="E2531" s="2">
        <v>227.53</v>
      </c>
      <c r="F2531">
        <v>14</v>
      </c>
      <c r="G2531">
        <v>9</v>
      </c>
      <c r="H2531">
        <v>4.4999999999999998E-2</v>
      </c>
      <c r="I2531" s="3">
        <v>1607</v>
      </c>
      <c r="J2531" s="1">
        <v>45614</v>
      </c>
      <c r="K2531" t="s">
        <v>31</v>
      </c>
      <c r="L2531" t="s">
        <v>8</v>
      </c>
      <c r="M2531" t="s">
        <v>32</v>
      </c>
      <c r="N2531" s="1">
        <f t="shared" si="234"/>
        <v>45614</v>
      </c>
      <c r="O2531" s="4">
        <f t="shared" si="235"/>
        <v>3.4518828451882845E-2</v>
      </c>
      <c r="P2531">
        <f t="shared" si="236"/>
        <v>1.1491414141414142</v>
      </c>
      <c r="Q2531" s="2">
        <f t="shared" si="237"/>
        <v>16.252142857142857</v>
      </c>
      <c r="R2531" s="2">
        <f t="shared" si="238"/>
        <v>25.281111111111112</v>
      </c>
      <c r="S2531" s="2">
        <f t="shared" si="239"/>
        <v>7.0628049048477122</v>
      </c>
    </row>
    <row r="2532" spans="1:19" hidden="1">
      <c r="A2532" t="s">
        <v>2585</v>
      </c>
      <c r="B2532" t="s">
        <v>30</v>
      </c>
      <c r="C2532">
        <v>184</v>
      </c>
      <c r="D2532">
        <v>3641</v>
      </c>
      <c r="E2532" s="2">
        <v>189</v>
      </c>
      <c r="F2532">
        <v>22</v>
      </c>
      <c r="G2532">
        <v>7</v>
      </c>
      <c r="H2532">
        <v>3.7999999999999999E-2</v>
      </c>
      <c r="I2532" s="3">
        <v>1905</v>
      </c>
      <c r="J2532" s="1">
        <v>45611</v>
      </c>
      <c r="K2532" t="s">
        <v>31</v>
      </c>
      <c r="L2532" t="s">
        <v>9</v>
      </c>
      <c r="M2532" t="s">
        <v>39</v>
      </c>
      <c r="N2532" s="1">
        <f t="shared" si="234"/>
        <v>45611</v>
      </c>
      <c r="O2532" s="4">
        <f t="shared" si="235"/>
        <v>5.0535567151881351E-2</v>
      </c>
      <c r="P2532">
        <f t="shared" si="236"/>
        <v>1.0271739130434783</v>
      </c>
      <c r="Q2532" s="2">
        <f t="shared" si="237"/>
        <v>8.5909090909090917</v>
      </c>
      <c r="R2532" s="2">
        <f t="shared" si="238"/>
        <v>27</v>
      </c>
      <c r="S2532" s="2">
        <f t="shared" si="239"/>
        <v>10.079365079365079</v>
      </c>
    </row>
    <row r="2533" spans="1:19" hidden="1">
      <c r="A2533" t="s">
        <v>2586</v>
      </c>
      <c r="B2533" t="s">
        <v>30</v>
      </c>
      <c r="C2533">
        <v>190</v>
      </c>
      <c r="D2533">
        <v>5429</v>
      </c>
      <c r="E2533" s="2">
        <v>243.6</v>
      </c>
      <c r="F2533">
        <v>23</v>
      </c>
      <c r="G2533">
        <v>8</v>
      </c>
      <c r="H2533">
        <v>3.6999999999999998E-2</v>
      </c>
      <c r="I2533" s="3">
        <v>1505</v>
      </c>
      <c r="J2533" s="1">
        <v>45619</v>
      </c>
      <c r="K2533" t="s">
        <v>31</v>
      </c>
      <c r="L2533" t="s">
        <v>9</v>
      </c>
      <c r="M2533" t="s">
        <v>35</v>
      </c>
      <c r="N2533" s="1">
        <f t="shared" si="234"/>
        <v>45619</v>
      </c>
      <c r="O2533" s="4">
        <f t="shared" si="235"/>
        <v>3.4997237060232084E-2</v>
      </c>
      <c r="P2533">
        <f t="shared" si="236"/>
        <v>1.2821052631578946</v>
      </c>
      <c r="Q2533" s="2">
        <f t="shared" si="237"/>
        <v>10.591304347826087</v>
      </c>
      <c r="R2533" s="2">
        <f t="shared" si="238"/>
        <v>30.45</v>
      </c>
      <c r="S2533" s="2">
        <f t="shared" si="239"/>
        <v>6.1781609195402298</v>
      </c>
    </row>
    <row r="2534" spans="1:19">
      <c r="A2534" t="s">
        <v>2587</v>
      </c>
      <c r="B2534" t="s">
        <v>30</v>
      </c>
      <c r="C2534">
        <v>127</v>
      </c>
      <c r="D2534">
        <v>4327</v>
      </c>
      <c r="E2534" s="2">
        <v>220.57</v>
      </c>
      <c r="F2534">
        <v>24</v>
      </c>
      <c r="G2534">
        <v>5</v>
      </c>
      <c r="H2534">
        <v>4.5999999999999999E-2</v>
      </c>
      <c r="I2534" s="3">
        <v>1017</v>
      </c>
      <c r="J2534" s="1" t="s">
        <v>94</v>
      </c>
      <c r="K2534" t="s">
        <v>31</v>
      </c>
      <c r="L2534" t="s">
        <v>8</v>
      </c>
      <c r="M2534" t="s">
        <v>35</v>
      </c>
      <c r="N2534" s="1">
        <f t="shared" si="234"/>
        <v>45617</v>
      </c>
      <c r="O2534" s="4">
        <f t="shared" si="235"/>
        <v>2.9350589322856481E-2</v>
      </c>
      <c r="P2534">
        <f t="shared" si="236"/>
        <v>1.7367716535433071</v>
      </c>
      <c r="Q2534" s="2">
        <f t="shared" si="237"/>
        <v>9.1904166666666658</v>
      </c>
      <c r="R2534" s="2">
        <f t="shared" si="238"/>
        <v>44.113999999999997</v>
      </c>
      <c r="S2534" s="2">
        <f t="shared" si="239"/>
        <v>4.6107811579090541</v>
      </c>
    </row>
    <row r="2535" spans="1:19">
      <c r="A2535" t="s">
        <v>2588</v>
      </c>
      <c r="B2535" t="s">
        <v>30</v>
      </c>
      <c r="C2535">
        <v>130</v>
      </c>
      <c r="D2535">
        <v>5340</v>
      </c>
      <c r="E2535" s="2">
        <v>221.95</v>
      </c>
      <c r="F2535">
        <v>27</v>
      </c>
      <c r="G2535">
        <v>7</v>
      </c>
      <c r="H2535">
        <v>4.5999999999999999E-2</v>
      </c>
      <c r="I2535" s="3">
        <v>1488</v>
      </c>
      <c r="J2535" s="1">
        <v>45598</v>
      </c>
      <c r="K2535" t="s">
        <v>31</v>
      </c>
      <c r="L2535" t="s">
        <v>9</v>
      </c>
      <c r="M2535" t="s">
        <v>37</v>
      </c>
      <c r="N2535" s="1">
        <f t="shared" si="234"/>
        <v>45598</v>
      </c>
      <c r="O2535" s="4">
        <f t="shared" si="235"/>
        <v>2.4344569288389514E-2</v>
      </c>
      <c r="P2535">
        <f t="shared" si="236"/>
        <v>1.7073076923076922</v>
      </c>
      <c r="Q2535" s="2">
        <f t="shared" si="237"/>
        <v>8.2203703703703699</v>
      </c>
      <c r="R2535" s="2">
        <f t="shared" si="238"/>
        <v>31.707142857142856</v>
      </c>
      <c r="S2535" s="2">
        <f t="shared" si="239"/>
        <v>6.7042126605091239</v>
      </c>
    </row>
    <row r="2536" spans="1:19">
      <c r="A2536" t="s">
        <v>2589</v>
      </c>
      <c r="B2536" t="s">
        <v>30</v>
      </c>
      <c r="C2536">
        <v>172</v>
      </c>
      <c r="D2536">
        <v>3612</v>
      </c>
      <c r="E2536" s="2">
        <v>191.27</v>
      </c>
      <c r="F2536">
        <v>25</v>
      </c>
      <c r="G2536">
        <v>10</v>
      </c>
      <c r="H2536">
        <v>4.5999999999999999E-2</v>
      </c>
      <c r="I2536" s="3">
        <v>1243</v>
      </c>
      <c r="J2536" s="1">
        <v>45614</v>
      </c>
      <c r="K2536" t="s">
        <v>31</v>
      </c>
      <c r="L2536" t="s">
        <v>8</v>
      </c>
      <c r="M2536" t="s">
        <v>46</v>
      </c>
      <c r="N2536" s="1">
        <f t="shared" si="234"/>
        <v>45614</v>
      </c>
      <c r="O2536" s="4">
        <f t="shared" si="235"/>
        <v>4.7619047619047616E-2</v>
      </c>
      <c r="P2536">
        <f t="shared" si="236"/>
        <v>1.1120348837209304</v>
      </c>
      <c r="Q2536" s="2">
        <f t="shared" si="237"/>
        <v>7.6508000000000003</v>
      </c>
      <c r="R2536" s="2">
        <f t="shared" si="238"/>
        <v>19.127000000000002</v>
      </c>
      <c r="S2536" s="2">
        <f t="shared" si="239"/>
        <v>6.4986668060856374</v>
      </c>
    </row>
    <row r="2537" spans="1:19" hidden="1">
      <c r="A2537" t="s">
        <v>2590</v>
      </c>
      <c r="B2537" t="s">
        <v>30</v>
      </c>
      <c r="C2537">
        <v>139</v>
      </c>
      <c r="D2537">
        <v>4195</v>
      </c>
      <c r="E2537" s="2">
        <v>226.79</v>
      </c>
      <c r="F2537">
        <v>27</v>
      </c>
      <c r="G2537">
        <v>3</v>
      </c>
      <c r="H2537">
        <v>0.05</v>
      </c>
      <c r="I2537" s="3">
        <v>1117</v>
      </c>
      <c r="J2537" s="1" t="s">
        <v>217</v>
      </c>
      <c r="K2537" t="s">
        <v>31</v>
      </c>
      <c r="L2537" t="s">
        <v>7</v>
      </c>
      <c r="M2537" t="s">
        <v>35</v>
      </c>
      <c r="N2537" s="1">
        <f t="shared" si="234"/>
        <v>45609</v>
      </c>
      <c r="O2537" s="4">
        <f t="shared" si="235"/>
        <v>3.3134684147794996E-2</v>
      </c>
      <c r="P2537">
        <f t="shared" si="236"/>
        <v>1.6315827338129496</v>
      </c>
      <c r="Q2537" s="2">
        <f t="shared" si="237"/>
        <v>8.3996296296296293</v>
      </c>
      <c r="R2537" s="2">
        <f t="shared" si="238"/>
        <v>75.596666666666664</v>
      </c>
      <c r="S2537" s="2">
        <f t="shared" si="239"/>
        <v>4.9252612549054193</v>
      </c>
    </row>
    <row r="2538" spans="1:19" hidden="1">
      <c r="A2538" t="s">
        <v>2591</v>
      </c>
      <c r="B2538" t="s">
        <v>30</v>
      </c>
      <c r="C2538">
        <v>144</v>
      </c>
      <c r="D2538">
        <v>5968</v>
      </c>
      <c r="E2538" s="2">
        <v>224.21</v>
      </c>
      <c r="F2538">
        <v>21</v>
      </c>
      <c r="G2538">
        <v>6</v>
      </c>
      <c r="H2538">
        <v>3.2000000000000001E-2</v>
      </c>
      <c r="I2538" s="3">
        <v>1993</v>
      </c>
      <c r="J2538" s="1">
        <v>45606</v>
      </c>
      <c r="K2538" t="s">
        <v>31</v>
      </c>
      <c r="L2538" t="s">
        <v>7</v>
      </c>
      <c r="M2538" t="s">
        <v>41</v>
      </c>
      <c r="N2538" s="1">
        <f t="shared" si="234"/>
        <v>45606</v>
      </c>
      <c r="O2538" s="4">
        <f t="shared" si="235"/>
        <v>2.4128686327077747E-2</v>
      </c>
      <c r="P2538">
        <f t="shared" si="236"/>
        <v>1.5570138888888889</v>
      </c>
      <c r="Q2538" s="2">
        <f t="shared" si="237"/>
        <v>10.676666666666668</v>
      </c>
      <c r="R2538" s="2">
        <f t="shared" si="238"/>
        <v>37.368333333333332</v>
      </c>
      <c r="S2538" s="2">
        <f t="shared" si="239"/>
        <v>8.8889880023192536</v>
      </c>
    </row>
    <row r="2539" spans="1:19" hidden="1">
      <c r="A2539" t="s">
        <v>2592</v>
      </c>
      <c r="B2539" t="s">
        <v>30</v>
      </c>
      <c r="C2539">
        <v>148</v>
      </c>
      <c r="D2539">
        <v>5431</v>
      </c>
      <c r="E2539" s="2">
        <v>216.71</v>
      </c>
      <c r="F2539">
        <v>20</v>
      </c>
      <c r="G2539">
        <v>6</v>
      </c>
      <c r="H2539">
        <v>4.1000000000000002E-2</v>
      </c>
      <c r="I2539" s="3">
        <v>1200</v>
      </c>
      <c r="J2539" s="1">
        <v>45616</v>
      </c>
      <c r="K2539" t="s">
        <v>31</v>
      </c>
      <c r="L2539" t="s">
        <v>8</v>
      </c>
      <c r="M2539" t="s">
        <v>41</v>
      </c>
      <c r="N2539" s="1">
        <f t="shared" si="234"/>
        <v>45616</v>
      </c>
      <c r="O2539" s="4">
        <f t="shared" si="235"/>
        <v>2.7250966672804272E-2</v>
      </c>
      <c r="P2539">
        <f t="shared" si="236"/>
        <v>1.4642567567567568</v>
      </c>
      <c r="Q2539" s="2">
        <f t="shared" si="237"/>
        <v>10.8355</v>
      </c>
      <c r="R2539" s="2">
        <f t="shared" si="238"/>
        <v>36.118333333333332</v>
      </c>
      <c r="S2539" s="2">
        <f t="shared" si="239"/>
        <v>5.5373540676480086</v>
      </c>
    </row>
    <row r="2540" spans="1:19" hidden="1">
      <c r="A2540" t="s">
        <v>2593</v>
      </c>
      <c r="B2540" t="s">
        <v>30</v>
      </c>
      <c r="C2540">
        <v>189</v>
      </c>
      <c r="D2540">
        <v>3420</v>
      </c>
      <c r="E2540" s="2">
        <v>181.35</v>
      </c>
      <c r="F2540">
        <v>26</v>
      </c>
      <c r="G2540">
        <v>6</v>
      </c>
      <c r="H2540">
        <v>3.2000000000000001E-2</v>
      </c>
      <c r="I2540" s="3">
        <v>1692</v>
      </c>
      <c r="J2540" s="1" t="s">
        <v>105</v>
      </c>
      <c r="K2540" t="s">
        <v>31</v>
      </c>
      <c r="L2540" t="s">
        <v>7</v>
      </c>
      <c r="M2540" t="s">
        <v>39</v>
      </c>
      <c r="N2540" s="1">
        <f t="shared" si="234"/>
        <v>45614</v>
      </c>
      <c r="O2540" s="4">
        <f t="shared" si="235"/>
        <v>5.526315789473684E-2</v>
      </c>
      <c r="P2540">
        <f t="shared" si="236"/>
        <v>0.95952380952380945</v>
      </c>
      <c r="Q2540" s="2">
        <f t="shared" si="237"/>
        <v>6.9749999999999996</v>
      </c>
      <c r="R2540" s="2">
        <f t="shared" si="238"/>
        <v>30.224999999999998</v>
      </c>
      <c r="S2540" s="2">
        <f t="shared" si="239"/>
        <v>9.3300248138957826</v>
      </c>
    </row>
    <row r="2541" spans="1:19" hidden="1">
      <c r="A2541" t="s">
        <v>2594</v>
      </c>
      <c r="B2541" t="s">
        <v>30</v>
      </c>
      <c r="C2541">
        <v>143</v>
      </c>
      <c r="D2541">
        <v>4701</v>
      </c>
      <c r="E2541" s="2">
        <v>222.43</v>
      </c>
      <c r="F2541">
        <v>29</v>
      </c>
      <c r="G2541">
        <v>4</v>
      </c>
      <c r="H2541">
        <v>2.8000000000000001E-2</v>
      </c>
      <c r="I2541" s="3">
        <v>1953</v>
      </c>
      <c r="J2541" s="1">
        <v>45603</v>
      </c>
      <c r="K2541" t="s">
        <v>31</v>
      </c>
      <c r="L2541" t="s">
        <v>9</v>
      </c>
      <c r="M2541" t="s">
        <v>37</v>
      </c>
      <c r="N2541" s="1">
        <f t="shared" si="234"/>
        <v>45603</v>
      </c>
      <c r="O2541" s="4">
        <f t="shared" si="235"/>
        <v>3.0419059774516061E-2</v>
      </c>
      <c r="P2541">
        <f t="shared" si="236"/>
        <v>1.5554545454545454</v>
      </c>
      <c r="Q2541" s="2">
        <f t="shared" si="237"/>
        <v>7.67</v>
      </c>
      <c r="R2541" s="2">
        <f t="shared" si="238"/>
        <v>55.607500000000002</v>
      </c>
      <c r="S2541" s="2">
        <f t="shared" si="239"/>
        <v>8.7802904284493994</v>
      </c>
    </row>
    <row r="2542" spans="1:19" hidden="1">
      <c r="A2542" t="s">
        <v>2595</v>
      </c>
      <c r="B2542" t="s">
        <v>30</v>
      </c>
      <c r="C2542">
        <v>185</v>
      </c>
      <c r="D2542">
        <v>4958</v>
      </c>
      <c r="E2542" s="2">
        <v>201.3</v>
      </c>
      <c r="F2542">
        <v>21</v>
      </c>
      <c r="G2542">
        <v>5</v>
      </c>
      <c r="H2542">
        <v>2.7E-2</v>
      </c>
      <c r="I2542" s="3">
        <v>1965</v>
      </c>
      <c r="J2542" s="1">
        <v>45454</v>
      </c>
      <c r="K2542" t="s">
        <v>31</v>
      </c>
      <c r="L2542" t="s">
        <v>7</v>
      </c>
      <c r="M2542" t="s">
        <v>46</v>
      </c>
      <c r="N2542" s="1">
        <f t="shared" si="234"/>
        <v>45454</v>
      </c>
      <c r="O2542" s="4">
        <f t="shared" si="235"/>
        <v>3.7313432835820892E-2</v>
      </c>
      <c r="P2542">
        <f t="shared" si="236"/>
        <v>1.0881081081081081</v>
      </c>
      <c r="Q2542" s="2">
        <f t="shared" si="237"/>
        <v>9.5857142857142854</v>
      </c>
      <c r="R2542" s="2">
        <f t="shared" si="238"/>
        <v>40.260000000000005</v>
      </c>
      <c r="S2542" s="2">
        <f t="shared" si="239"/>
        <v>9.761549925484351</v>
      </c>
    </row>
    <row r="2543" spans="1:19">
      <c r="A2543" t="s">
        <v>2596</v>
      </c>
      <c r="B2543" t="s">
        <v>30</v>
      </c>
      <c r="C2543">
        <v>172</v>
      </c>
      <c r="D2543">
        <v>5295</v>
      </c>
      <c r="E2543" s="2">
        <v>204.31</v>
      </c>
      <c r="F2543">
        <v>26</v>
      </c>
      <c r="G2543">
        <v>8</v>
      </c>
      <c r="H2543">
        <v>4.5999999999999999E-2</v>
      </c>
      <c r="I2543" s="3">
        <v>1218</v>
      </c>
      <c r="J2543" s="1">
        <v>45625</v>
      </c>
      <c r="K2543" t="s">
        <v>31</v>
      </c>
      <c r="L2543" t="s">
        <v>9</v>
      </c>
      <c r="M2543" t="s">
        <v>35</v>
      </c>
      <c r="N2543" s="1">
        <f t="shared" si="234"/>
        <v>45625</v>
      </c>
      <c r="O2543" s="4">
        <f t="shared" si="235"/>
        <v>3.2483474976392826E-2</v>
      </c>
      <c r="P2543">
        <f t="shared" si="236"/>
        <v>1.1878488372093023</v>
      </c>
      <c r="Q2543" s="2">
        <f t="shared" si="237"/>
        <v>7.858076923076923</v>
      </c>
      <c r="R2543" s="2">
        <f t="shared" si="238"/>
        <v>25.53875</v>
      </c>
      <c r="S2543" s="2">
        <f t="shared" si="239"/>
        <v>5.9615290489941755</v>
      </c>
    </row>
    <row r="2544" spans="1:19">
      <c r="A2544" t="s">
        <v>2597</v>
      </c>
      <c r="B2544" t="s">
        <v>30</v>
      </c>
      <c r="C2544">
        <v>121</v>
      </c>
      <c r="D2544">
        <v>3577</v>
      </c>
      <c r="E2544" s="2">
        <v>239.27</v>
      </c>
      <c r="F2544">
        <v>29</v>
      </c>
      <c r="G2544">
        <v>3</v>
      </c>
      <c r="H2544">
        <v>4.5999999999999999E-2</v>
      </c>
      <c r="I2544" s="3">
        <v>1735</v>
      </c>
      <c r="J2544" s="1">
        <v>45622</v>
      </c>
      <c r="K2544" t="s">
        <v>31</v>
      </c>
      <c r="L2544" t="s">
        <v>7</v>
      </c>
      <c r="M2544" t="s">
        <v>37</v>
      </c>
      <c r="N2544" s="1">
        <f t="shared" si="234"/>
        <v>45622</v>
      </c>
      <c r="O2544" s="4">
        <f t="shared" si="235"/>
        <v>3.3827229521945765E-2</v>
      </c>
      <c r="P2544">
        <f t="shared" si="236"/>
        <v>1.9774380165289258</v>
      </c>
      <c r="Q2544" s="2">
        <f t="shared" si="237"/>
        <v>8.2506896551724136</v>
      </c>
      <c r="R2544" s="2">
        <f t="shared" si="238"/>
        <v>79.756666666666675</v>
      </c>
      <c r="S2544" s="2">
        <f t="shared" si="239"/>
        <v>7.2512224683412043</v>
      </c>
    </row>
    <row r="2545" spans="1:19" hidden="1">
      <c r="A2545" t="s">
        <v>2598</v>
      </c>
      <c r="B2545" t="s">
        <v>30</v>
      </c>
      <c r="C2545">
        <v>158</v>
      </c>
      <c r="D2545">
        <v>3766</v>
      </c>
      <c r="E2545" s="2">
        <v>222.89</v>
      </c>
      <c r="F2545">
        <v>27</v>
      </c>
      <c r="G2545">
        <v>7</v>
      </c>
      <c r="H2545">
        <v>5.6000000000000001E-2</v>
      </c>
      <c r="I2545" s="3">
        <v>1673</v>
      </c>
      <c r="J2545" s="1">
        <v>45618</v>
      </c>
      <c r="K2545" t="s">
        <v>31</v>
      </c>
      <c r="L2545" t="s">
        <v>8</v>
      </c>
      <c r="M2545" t="s">
        <v>32</v>
      </c>
      <c r="N2545" s="1">
        <f t="shared" si="234"/>
        <v>45618</v>
      </c>
      <c r="O2545" s="4">
        <f t="shared" si="235"/>
        <v>4.1954328199681361E-2</v>
      </c>
      <c r="P2545">
        <f t="shared" si="236"/>
        <v>1.4106962025316454</v>
      </c>
      <c r="Q2545" s="2">
        <f t="shared" si="237"/>
        <v>8.2551851851851854</v>
      </c>
      <c r="R2545" s="2">
        <f t="shared" si="238"/>
        <v>31.841428571428569</v>
      </c>
      <c r="S2545" s="2">
        <f t="shared" si="239"/>
        <v>7.5059446363677154</v>
      </c>
    </row>
    <row r="2546" spans="1:19">
      <c r="A2546" t="s">
        <v>2599</v>
      </c>
      <c r="B2546" t="s">
        <v>30</v>
      </c>
      <c r="C2546">
        <v>137</v>
      </c>
      <c r="D2546">
        <v>4287</v>
      </c>
      <c r="E2546" s="2">
        <v>231.9</v>
      </c>
      <c r="F2546">
        <v>14</v>
      </c>
      <c r="G2546">
        <v>7</v>
      </c>
      <c r="H2546">
        <v>4.5999999999999999E-2</v>
      </c>
      <c r="I2546" s="3">
        <v>1829</v>
      </c>
      <c r="J2546" s="1">
        <v>45625</v>
      </c>
      <c r="K2546" t="s">
        <v>31</v>
      </c>
      <c r="L2546" t="s">
        <v>7</v>
      </c>
      <c r="M2546" t="s">
        <v>46</v>
      </c>
      <c r="N2546" s="1">
        <f t="shared" si="234"/>
        <v>45625</v>
      </c>
      <c r="O2546" s="4">
        <f t="shared" si="235"/>
        <v>3.1957079542803822E-2</v>
      </c>
      <c r="P2546">
        <f t="shared" si="236"/>
        <v>1.6927007299270074</v>
      </c>
      <c r="Q2546" s="2">
        <f t="shared" si="237"/>
        <v>16.564285714285713</v>
      </c>
      <c r="R2546" s="2">
        <f t="shared" si="238"/>
        <v>33.128571428571426</v>
      </c>
      <c r="S2546" s="2">
        <f t="shared" si="239"/>
        <v>7.8870202673566192</v>
      </c>
    </row>
    <row r="2547" spans="1:19" hidden="1">
      <c r="A2547" t="s">
        <v>2600</v>
      </c>
      <c r="B2547" t="s">
        <v>30</v>
      </c>
      <c r="C2547">
        <v>150</v>
      </c>
      <c r="D2547">
        <v>5630</v>
      </c>
      <c r="E2547" s="2">
        <v>239.21</v>
      </c>
      <c r="F2547">
        <v>26</v>
      </c>
      <c r="G2547">
        <v>4</v>
      </c>
      <c r="H2547">
        <v>2.7E-2</v>
      </c>
      <c r="I2547" s="3">
        <v>1302</v>
      </c>
      <c r="J2547" s="1" t="s">
        <v>64</v>
      </c>
      <c r="K2547" t="s">
        <v>31</v>
      </c>
      <c r="L2547" t="s">
        <v>9</v>
      </c>
      <c r="M2547" t="s">
        <v>46</v>
      </c>
      <c r="N2547" s="1">
        <f t="shared" si="234"/>
        <v>45626</v>
      </c>
      <c r="O2547" s="4">
        <f t="shared" si="235"/>
        <v>2.664298401420959E-2</v>
      </c>
      <c r="P2547">
        <f t="shared" si="236"/>
        <v>1.5947333333333333</v>
      </c>
      <c r="Q2547" s="2">
        <f t="shared" si="237"/>
        <v>9.2003846153846158</v>
      </c>
      <c r="R2547" s="2">
        <f t="shared" si="238"/>
        <v>59.802500000000002</v>
      </c>
      <c r="S2547" s="2">
        <f t="shared" si="239"/>
        <v>5.4429162660423893</v>
      </c>
    </row>
    <row r="2548" spans="1:19" hidden="1">
      <c r="A2548" t="s">
        <v>2601</v>
      </c>
      <c r="B2548" t="s">
        <v>30</v>
      </c>
      <c r="C2548">
        <v>93</v>
      </c>
      <c r="D2548">
        <v>4157</v>
      </c>
      <c r="E2548" s="2">
        <v>206.1</v>
      </c>
      <c r="F2548">
        <v>30</v>
      </c>
      <c r="G2548">
        <v>8</v>
      </c>
      <c r="H2548">
        <v>8.5999999999999993E-2</v>
      </c>
      <c r="I2548" s="3">
        <v>1129</v>
      </c>
      <c r="J2548" s="1">
        <v>45515</v>
      </c>
      <c r="K2548" t="s">
        <v>31</v>
      </c>
      <c r="L2548" t="s">
        <v>8</v>
      </c>
      <c r="M2548" t="s">
        <v>32</v>
      </c>
      <c r="N2548" s="1">
        <f t="shared" si="234"/>
        <v>45515</v>
      </c>
      <c r="O2548" s="4">
        <f t="shared" si="235"/>
        <v>2.237190281452971E-2</v>
      </c>
      <c r="P2548">
        <f t="shared" si="236"/>
        <v>2.2161290322580642</v>
      </c>
      <c r="Q2548" s="2">
        <f t="shared" si="237"/>
        <v>6.87</v>
      </c>
      <c r="R2548" s="2">
        <f t="shared" si="238"/>
        <v>25.762499999999999</v>
      </c>
      <c r="S2548" s="2">
        <f t="shared" si="239"/>
        <v>5.4779233381853469</v>
      </c>
    </row>
    <row r="2549" spans="1:19" hidden="1">
      <c r="A2549" t="s">
        <v>2602</v>
      </c>
      <c r="B2549" t="s">
        <v>30</v>
      </c>
      <c r="C2549">
        <v>101</v>
      </c>
      <c r="D2549">
        <v>5983</v>
      </c>
      <c r="E2549" s="2">
        <v>185.86</v>
      </c>
      <c r="F2549">
        <v>10</v>
      </c>
      <c r="G2549">
        <v>5</v>
      </c>
      <c r="H2549">
        <v>0.05</v>
      </c>
      <c r="I2549" s="3">
        <v>1019</v>
      </c>
      <c r="J2549" s="1">
        <v>45454</v>
      </c>
      <c r="K2549" t="s">
        <v>31</v>
      </c>
      <c r="L2549" t="s">
        <v>9</v>
      </c>
      <c r="M2549" t="s">
        <v>41</v>
      </c>
      <c r="N2549" s="1">
        <f t="shared" si="234"/>
        <v>45454</v>
      </c>
      <c r="O2549" s="4">
        <f t="shared" si="235"/>
        <v>1.688116329600535E-2</v>
      </c>
      <c r="P2549">
        <f t="shared" si="236"/>
        <v>1.8401980198019803</v>
      </c>
      <c r="Q2549" s="2">
        <f t="shared" si="237"/>
        <v>18.586000000000002</v>
      </c>
      <c r="R2549" s="2">
        <f t="shared" si="238"/>
        <v>37.172000000000004</v>
      </c>
      <c r="S2549" s="2">
        <f t="shared" si="239"/>
        <v>5.4826213278812004</v>
      </c>
    </row>
    <row r="2550" spans="1:19" hidden="1">
      <c r="A2550" t="s">
        <v>2603</v>
      </c>
      <c r="B2550" t="s">
        <v>30</v>
      </c>
      <c r="C2550">
        <v>178</v>
      </c>
      <c r="D2550">
        <v>3109</v>
      </c>
      <c r="E2550" s="2">
        <v>180.7</v>
      </c>
      <c r="F2550">
        <v>25</v>
      </c>
      <c r="G2550">
        <v>10</v>
      </c>
      <c r="H2550">
        <v>5.6000000000000001E-2</v>
      </c>
      <c r="I2550" s="3">
        <v>1709</v>
      </c>
      <c r="J2550" s="1">
        <v>45637</v>
      </c>
      <c r="K2550" t="s">
        <v>31</v>
      </c>
      <c r="L2550" t="s">
        <v>7</v>
      </c>
      <c r="M2550" t="s">
        <v>35</v>
      </c>
      <c r="N2550" s="1">
        <f t="shared" si="234"/>
        <v>45637</v>
      </c>
      <c r="O2550" s="4">
        <f t="shared" si="235"/>
        <v>5.7253136056609845E-2</v>
      </c>
      <c r="P2550">
        <f t="shared" si="236"/>
        <v>1.0151685393258427</v>
      </c>
      <c r="Q2550" s="2">
        <f t="shared" si="237"/>
        <v>7.2279999999999998</v>
      </c>
      <c r="R2550" s="2">
        <f t="shared" si="238"/>
        <v>18.07</v>
      </c>
      <c r="S2550" s="2">
        <f t="shared" si="239"/>
        <v>9.4576646375207538</v>
      </c>
    </row>
    <row r="2551" spans="1:19" hidden="1">
      <c r="A2551" t="s">
        <v>2604</v>
      </c>
      <c r="B2551" t="s">
        <v>30</v>
      </c>
      <c r="C2551">
        <v>96</v>
      </c>
      <c r="D2551">
        <v>3365</v>
      </c>
      <c r="E2551" s="2">
        <v>225.77</v>
      </c>
      <c r="F2551">
        <v>27</v>
      </c>
      <c r="G2551">
        <v>8</v>
      </c>
      <c r="H2551">
        <v>8.3000000000000004E-2</v>
      </c>
      <c r="I2551" s="3">
        <v>1884</v>
      </c>
      <c r="J2551" s="1" t="s">
        <v>64</v>
      </c>
      <c r="K2551" t="s">
        <v>31</v>
      </c>
      <c r="L2551" t="s">
        <v>9</v>
      </c>
      <c r="M2551" t="s">
        <v>35</v>
      </c>
      <c r="N2551" s="1">
        <f t="shared" si="234"/>
        <v>45626</v>
      </c>
      <c r="O2551" s="4">
        <f t="shared" si="235"/>
        <v>2.8528974739970282E-2</v>
      </c>
      <c r="P2551">
        <f t="shared" si="236"/>
        <v>2.3517708333333336</v>
      </c>
      <c r="Q2551" s="2">
        <f t="shared" si="237"/>
        <v>8.3618518518518528</v>
      </c>
      <c r="R2551" s="2">
        <f t="shared" si="238"/>
        <v>28.221250000000001</v>
      </c>
      <c r="S2551" s="2">
        <f t="shared" si="239"/>
        <v>8.3447756566417155</v>
      </c>
    </row>
    <row r="2552" spans="1:19" hidden="1">
      <c r="A2552" t="s">
        <v>2605</v>
      </c>
      <c r="B2552" t="s">
        <v>30</v>
      </c>
      <c r="C2552">
        <v>170</v>
      </c>
      <c r="D2552">
        <v>5380</v>
      </c>
      <c r="E2552" s="2">
        <v>204.62</v>
      </c>
      <c r="F2552">
        <v>20</v>
      </c>
      <c r="G2552">
        <v>4</v>
      </c>
      <c r="H2552">
        <v>2.4E-2</v>
      </c>
      <c r="I2552" s="3">
        <v>1473</v>
      </c>
      <c r="J2552" s="1">
        <v>45611</v>
      </c>
      <c r="K2552" t="s">
        <v>31</v>
      </c>
      <c r="L2552" t="s">
        <v>7</v>
      </c>
      <c r="M2552" t="s">
        <v>35</v>
      </c>
      <c r="N2552" s="1">
        <f t="shared" si="234"/>
        <v>45611</v>
      </c>
      <c r="O2552" s="4">
        <f t="shared" si="235"/>
        <v>3.1598513011152414E-2</v>
      </c>
      <c r="P2552">
        <f t="shared" si="236"/>
        <v>1.2036470588235295</v>
      </c>
      <c r="Q2552" s="2">
        <f t="shared" si="237"/>
        <v>10.231</v>
      </c>
      <c r="R2552" s="2">
        <f t="shared" si="238"/>
        <v>51.155000000000001</v>
      </c>
      <c r="S2552" s="2">
        <f t="shared" si="239"/>
        <v>7.1987098035382662</v>
      </c>
    </row>
    <row r="2553" spans="1:19" hidden="1">
      <c r="A2553" t="s">
        <v>2606</v>
      </c>
      <c r="B2553" t="s">
        <v>30</v>
      </c>
      <c r="C2553">
        <v>176</v>
      </c>
      <c r="D2553">
        <v>5036</v>
      </c>
      <c r="E2553" s="2">
        <v>221.48</v>
      </c>
      <c r="F2553">
        <v>13</v>
      </c>
      <c r="G2553">
        <v>3</v>
      </c>
      <c r="H2553">
        <v>3.1E-2</v>
      </c>
      <c r="I2553" s="3">
        <v>1072</v>
      </c>
      <c r="J2553" s="1" t="s">
        <v>73</v>
      </c>
      <c r="K2553" t="s">
        <v>31</v>
      </c>
      <c r="L2553" t="s">
        <v>8</v>
      </c>
      <c r="M2553" t="s">
        <v>39</v>
      </c>
      <c r="N2553" s="1">
        <f t="shared" si="234"/>
        <v>45618</v>
      </c>
      <c r="O2553" s="4">
        <f t="shared" si="235"/>
        <v>3.4948371723590152E-2</v>
      </c>
      <c r="P2553">
        <f t="shared" si="236"/>
        <v>1.2584090909090908</v>
      </c>
      <c r="Q2553" s="2">
        <f t="shared" si="237"/>
        <v>17.036923076923078</v>
      </c>
      <c r="R2553" s="2">
        <f t="shared" si="238"/>
        <v>73.826666666666668</v>
      </c>
      <c r="S2553" s="2">
        <f t="shared" si="239"/>
        <v>4.8401661549575588</v>
      </c>
    </row>
    <row r="2554" spans="1:19" hidden="1">
      <c r="A2554" t="s">
        <v>2607</v>
      </c>
      <c r="B2554" t="s">
        <v>30</v>
      </c>
      <c r="C2554">
        <v>178</v>
      </c>
      <c r="D2554">
        <v>4176</v>
      </c>
      <c r="E2554" s="2">
        <v>198.49</v>
      </c>
      <c r="F2554">
        <v>30</v>
      </c>
      <c r="G2554">
        <v>4</v>
      </c>
      <c r="H2554">
        <v>2.1999999999999999E-2</v>
      </c>
      <c r="I2554" s="3">
        <v>1717</v>
      </c>
      <c r="J2554" s="1">
        <v>45637</v>
      </c>
      <c r="K2554" t="s">
        <v>31</v>
      </c>
      <c r="L2554" t="s">
        <v>7</v>
      </c>
      <c r="M2554" t="s">
        <v>32</v>
      </c>
      <c r="N2554" s="1">
        <f t="shared" si="234"/>
        <v>45637</v>
      </c>
      <c r="O2554" s="4">
        <f t="shared" si="235"/>
        <v>4.2624521072796934E-2</v>
      </c>
      <c r="P2554">
        <f t="shared" si="236"/>
        <v>1.1151123595505619</v>
      </c>
      <c r="Q2554" s="2">
        <f t="shared" si="237"/>
        <v>6.6163333333333334</v>
      </c>
      <c r="R2554" s="2">
        <f t="shared" si="238"/>
        <v>49.622500000000002</v>
      </c>
      <c r="S2554" s="2">
        <f t="shared" si="239"/>
        <v>8.6503098392866136</v>
      </c>
    </row>
    <row r="2555" spans="1:19" hidden="1">
      <c r="A2555" t="s">
        <v>2608</v>
      </c>
      <c r="B2555" t="s">
        <v>30</v>
      </c>
      <c r="C2555">
        <v>99</v>
      </c>
      <c r="D2555">
        <v>5663</v>
      </c>
      <c r="E2555" s="2">
        <v>187.48</v>
      </c>
      <c r="F2555">
        <v>22</v>
      </c>
      <c r="G2555">
        <v>5</v>
      </c>
      <c r="H2555">
        <v>3.4000000000000002E-2</v>
      </c>
      <c r="I2555" s="3">
        <v>1394</v>
      </c>
      <c r="J2555" s="1">
        <v>45625</v>
      </c>
      <c r="K2555" t="s">
        <v>31</v>
      </c>
      <c r="L2555" t="s">
        <v>7</v>
      </c>
      <c r="M2555" t="s">
        <v>41</v>
      </c>
      <c r="N2555" s="1">
        <f t="shared" si="234"/>
        <v>45625</v>
      </c>
      <c r="O2555" s="4">
        <f t="shared" si="235"/>
        <v>1.7481900052975455E-2</v>
      </c>
      <c r="P2555">
        <f t="shared" si="236"/>
        <v>1.8937373737373737</v>
      </c>
      <c r="Q2555" s="2">
        <f t="shared" si="237"/>
        <v>8.5218181818181815</v>
      </c>
      <c r="R2555" s="2">
        <f t="shared" si="238"/>
        <v>37.495999999999995</v>
      </c>
      <c r="S2555" s="2">
        <f t="shared" si="239"/>
        <v>7.4354597823767872</v>
      </c>
    </row>
    <row r="2556" spans="1:19">
      <c r="A2556" t="s">
        <v>2609</v>
      </c>
      <c r="B2556" t="s">
        <v>30</v>
      </c>
      <c r="C2556">
        <v>139</v>
      </c>
      <c r="D2556">
        <v>5852</v>
      </c>
      <c r="E2556" s="2">
        <v>181.96</v>
      </c>
      <c r="F2556">
        <v>19</v>
      </c>
      <c r="G2556">
        <v>4</v>
      </c>
      <c r="H2556">
        <v>4.5999999999999999E-2</v>
      </c>
      <c r="I2556" s="3">
        <v>1816</v>
      </c>
      <c r="J2556" s="1">
        <v>45618</v>
      </c>
      <c r="K2556" t="s">
        <v>31</v>
      </c>
      <c r="L2556" t="s">
        <v>9</v>
      </c>
      <c r="M2556" t="s">
        <v>37</v>
      </c>
      <c r="N2556" s="1">
        <f t="shared" si="234"/>
        <v>45618</v>
      </c>
      <c r="O2556" s="4">
        <f t="shared" si="235"/>
        <v>2.3752563226247438E-2</v>
      </c>
      <c r="P2556">
        <f t="shared" si="236"/>
        <v>1.3090647482014388</v>
      </c>
      <c r="Q2556" s="2">
        <f t="shared" si="237"/>
        <v>9.5768421052631592</v>
      </c>
      <c r="R2556" s="2">
        <f t="shared" si="238"/>
        <v>45.49</v>
      </c>
      <c r="S2556" s="2">
        <f t="shared" si="239"/>
        <v>9.9802154319630692</v>
      </c>
    </row>
    <row r="2557" spans="1:19" hidden="1">
      <c r="A2557" t="s">
        <v>2610</v>
      </c>
      <c r="B2557" t="s">
        <v>30</v>
      </c>
      <c r="C2557">
        <v>164</v>
      </c>
      <c r="D2557">
        <v>4725</v>
      </c>
      <c r="E2557" s="2">
        <v>224.43</v>
      </c>
      <c r="F2557">
        <v>18</v>
      </c>
      <c r="G2557">
        <v>10</v>
      </c>
      <c r="H2557">
        <v>6.0999999999999999E-2</v>
      </c>
      <c r="I2557" s="3">
        <v>1140</v>
      </c>
      <c r="J2557" s="1">
        <v>45626</v>
      </c>
      <c r="K2557" t="s">
        <v>31</v>
      </c>
      <c r="L2557" t="s">
        <v>8</v>
      </c>
      <c r="M2557" t="s">
        <v>39</v>
      </c>
      <c r="N2557" s="1">
        <f t="shared" si="234"/>
        <v>45626</v>
      </c>
      <c r="O2557" s="4">
        <f t="shared" si="235"/>
        <v>3.470899470899471E-2</v>
      </c>
      <c r="P2557">
        <f t="shared" si="236"/>
        <v>1.3684756097560975</v>
      </c>
      <c r="Q2557" s="2">
        <f t="shared" si="237"/>
        <v>12.468333333333334</v>
      </c>
      <c r="R2557" s="2">
        <f t="shared" si="238"/>
        <v>22.443000000000001</v>
      </c>
      <c r="S2557" s="2">
        <f t="shared" si="239"/>
        <v>5.079534821547921</v>
      </c>
    </row>
    <row r="2558" spans="1:19" hidden="1">
      <c r="A2558" t="s">
        <v>2611</v>
      </c>
      <c r="B2558" t="s">
        <v>30</v>
      </c>
      <c r="C2558">
        <v>94</v>
      </c>
      <c r="D2558">
        <v>5762</v>
      </c>
      <c r="E2558" s="2">
        <v>202.12</v>
      </c>
      <c r="F2558">
        <v>23</v>
      </c>
      <c r="G2558">
        <v>5</v>
      </c>
      <c r="H2558">
        <v>5.2999999999999999E-2</v>
      </c>
      <c r="I2558" s="3">
        <v>1694</v>
      </c>
      <c r="J2558" s="1">
        <v>45619</v>
      </c>
      <c r="K2558" t="s">
        <v>31</v>
      </c>
      <c r="L2558" t="s">
        <v>9</v>
      </c>
      <c r="M2558" t="s">
        <v>41</v>
      </c>
      <c r="N2558" s="1">
        <f t="shared" si="234"/>
        <v>45619</v>
      </c>
      <c r="O2558" s="4">
        <f t="shared" si="235"/>
        <v>1.6313779937521693E-2</v>
      </c>
      <c r="P2558">
        <f t="shared" si="236"/>
        <v>2.150212765957447</v>
      </c>
      <c r="Q2558" s="2">
        <f t="shared" si="237"/>
        <v>8.7878260869565228</v>
      </c>
      <c r="R2558" s="2">
        <f t="shared" si="238"/>
        <v>40.423999999999999</v>
      </c>
      <c r="S2558" s="2">
        <f t="shared" si="239"/>
        <v>8.3811597071046897</v>
      </c>
    </row>
    <row r="2559" spans="1:19" hidden="1">
      <c r="A2559" t="s">
        <v>2612</v>
      </c>
      <c r="B2559" t="s">
        <v>30</v>
      </c>
      <c r="C2559">
        <v>82</v>
      </c>
      <c r="D2559">
        <v>4773</v>
      </c>
      <c r="E2559" s="2">
        <v>226.66</v>
      </c>
      <c r="F2559">
        <v>10</v>
      </c>
      <c r="G2559">
        <v>6</v>
      </c>
      <c r="H2559">
        <v>3.3000000000000002E-2</v>
      </c>
      <c r="I2559" s="3">
        <v>1189</v>
      </c>
      <c r="J2559" s="1">
        <v>45616</v>
      </c>
      <c r="K2559" t="s">
        <v>31</v>
      </c>
      <c r="L2559" t="s">
        <v>7</v>
      </c>
      <c r="M2559" t="s">
        <v>39</v>
      </c>
      <c r="N2559" s="1">
        <f t="shared" si="234"/>
        <v>45616</v>
      </c>
      <c r="O2559" s="4">
        <f t="shared" si="235"/>
        <v>1.7179970668342762E-2</v>
      </c>
      <c r="P2559">
        <f t="shared" si="236"/>
        <v>2.7641463414634146</v>
      </c>
      <c r="Q2559" s="2">
        <f t="shared" si="237"/>
        <v>22.666</v>
      </c>
      <c r="R2559" s="2">
        <f t="shared" si="238"/>
        <v>37.776666666666664</v>
      </c>
      <c r="S2559" s="2">
        <f t="shared" si="239"/>
        <v>5.2457425218388778</v>
      </c>
    </row>
    <row r="2560" spans="1:19" hidden="1">
      <c r="A2560" t="s">
        <v>2613</v>
      </c>
      <c r="B2560" t="s">
        <v>30</v>
      </c>
      <c r="C2560">
        <v>194</v>
      </c>
      <c r="D2560">
        <v>4198</v>
      </c>
      <c r="E2560" s="2">
        <v>217.66</v>
      </c>
      <c r="F2560">
        <v>16</v>
      </c>
      <c r="G2560">
        <v>10</v>
      </c>
      <c r="H2560">
        <v>5.1999999999999998E-2</v>
      </c>
      <c r="I2560" s="3">
        <v>1619</v>
      </c>
      <c r="J2560" s="1">
        <v>45625</v>
      </c>
      <c r="K2560" t="s">
        <v>31</v>
      </c>
      <c r="L2560" t="s">
        <v>9</v>
      </c>
      <c r="M2560" t="s">
        <v>41</v>
      </c>
      <c r="N2560" s="1">
        <f t="shared" si="234"/>
        <v>45625</v>
      </c>
      <c r="O2560" s="4">
        <f t="shared" si="235"/>
        <v>4.621248213434969E-2</v>
      </c>
      <c r="P2560">
        <f t="shared" si="236"/>
        <v>1.1219587628865979</v>
      </c>
      <c r="Q2560" s="2">
        <f t="shared" si="237"/>
        <v>13.60375</v>
      </c>
      <c r="R2560" s="2">
        <f t="shared" si="238"/>
        <v>21.765999999999998</v>
      </c>
      <c r="S2560" s="2">
        <f t="shared" si="239"/>
        <v>7.4382063769181297</v>
      </c>
    </row>
    <row r="2561" spans="1:19" hidden="1">
      <c r="A2561" t="s">
        <v>2614</v>
      </c>
      <c r="B2561" t="s">
        <v>30</v>
      </c>
      <c r="C2561">
        <v>176</v>
      </c>
      <c r="D2561">
        <v>5314</v>
      </c>
      <c r="E2561" s="2">
        <v>188.23</v>
      </c>
      <c r="F2561">
        <v>17</v>
      </c>
      <c r="G2561">
        <v>8</v>
      </c>
      <c r="H2561">
        <v>4.4999999999999998E-2</v>
      </c>
      <c r="I2561" s="3">
        <v>1725</v>
      </c>
      <c r="J2561" s="1">
        <v>45600</v>
      </c>
      <c r="K2561" t="s">
        <v>31</v>
      </c>
      <c r="L2561" t="s">
        <v>8</v>
      </c>
      <c r="M2561" t="s">
        <v>46</v>
      </c>
      <c r="N2561" s="1">
        <f t="shared" si="234"/>
        <v>45600</v>
      </c>
      <c r="O2561" s="4">
        <f t="shared" si="235"/>
        <v>3.3120060218291308E-2</v>
      </c>
      <c r="P2561">
        <f t="shared" si="236"/>
        <v>1.0694886363636362</v>
      </c>
      <c r="Q2561" s="2">
        <f t="shared" si="237"/>
        <v>11.072352941176471</v>
      </c>
      <c r="R2561" s="2">
        <f t="shared" si="238"/>
        <v>23.528749999999999</v>
      </c>
      <c r="S2561" s="2">
        <f t="shared" si="239"/>
        <v>9.164320246506934</v>
      </c>
    </row>
    <row r="2562" spans="1:19">
      <c r="A2562" t="s">
        <v>2615</v>
      </c>
      <c r="B2562" t="s">
        <v>30</v>
      </c>
      <c r="C2562">
        <v>170</v>
      </c>
      <c r="D2562">
        <v>3401</v>
      </c>
      <c r="E2562" s="2">
        <v>235.7</v>
      </c>
      <c r="F2562">
        <v>10</v>
      </c>
      <c r="G2562">
        <v>7</v>
      </c>
      <c r="H2562">
        <v>4.5999999999999999E-2</v>
      </c>
      <c r="I2562" s="3">
        <v>1047</v>
      </c>
      <c r="J2562" s="1">
        <v>45611</v>
      </c>
      <c r="K2562" t="s">
        <v>31</v>
      </c>
      <c r="L2562" t="s">
        <v>8</v>
      </c>
      <c r="M2562" t="s">
        <v>41</v>
      </c>
      <c r="N2562" s="1">
        <f t="shared" ref="N2562:N2601" si="240">IF(A2562="","",IF(ISNUMBER(J2562),J2562,IF(MID(J2562,5,1)="-",DATE(LEFT(J2562,4),MID(J2562,6,2),RIGHT(J2562,2)),IF(MID(J2562,5,1)="/",DATE(LEFT(J2562,4),MID(J2562,6,2),RIGHT(J2562,2)),DATE(RIGHT(J2562,4),MID(J2562,4,2),LEFT(J2562,2))))))</f>
        <v>45611</v>
      </c>
      <c r="O2562" s="4">
        <f t="shared" ref="O2562:O2601" si="241">IFERROR(C2562/D2562,0)</f>
        <v>4.9985298441634816E-2</v>
      </c>
      <c r="P2562">
        <f t="shared" ref="P2562:P2601" si="242">IFERROR(E2562/C2562,0)</f>
        <v>1.3864705882352941</v>
      </c>
      <c r="Q2562" s="2">
        <f t="shared" ref="Q2562:Q2601" si="243">IFERROR(E2562/F2562,0)</f>
        <v>23.57</v>
      </c>
      <c r="R2562" s="2">
        <f t="shared" ref="R2562:R2601" si="244">IFERROR(E2562/G2562,0)</f>
        <v>33.671428571428571</v>
      </c>
      <c r="S2562" s="2">
        <f t="shared" ref="S2562:S2601" si="245">IFERROR(I2562/E2562,0)</f>
        <v>4.4420873992363177</v>
      </c>
    </row>
    <row r="2563" spans="1:19" hidden="1">
      <c r="A2563" t="s">
        <v>2616</v>
      </c>
      <c r="B2563" t="s">
        <v>30</v>
      </c>
      <c r="C2563">
        <v>144</v>
      </c>
      <c r="D2563">
        <v>3509</v>
      </c>
      <c r="E2563" s="2">
        <v>193.65</v>
      </c>
      <c r="F2563">
        <v>28</v>
      </c>
      <c r="G2563">
        <v>3</v>
      </c>
      <c r="H2563">
        <v>2.1000000000000001E-2</v>
      </c>
      <c r="I2563" s="3">
        <v>1361</v>
      </c>
      <c r="J2563" s="1" t="s">
        <v>43</v>
      </c>
      <c r="K2563" t="s">
        <v>31</v>
      </c>
      <c r="L2563" t="s">
        <v>9</v>
      </c>
      <c r="M2563" t="s">
        <v>46</v>
      </c>
      <c r="N2563" s="1">
        <f t="shared" si="240"/>
        <v>45612</v>
      </c>
      <c r="O2563" s="4">
        <f t="shared" si="241"/>
        <v>4.1037332573382733E-2</v>
      </c>
      <c r="P2563">
        <f t="shared" si="242"/>
        <v>1.3447916666666666</v>
      </c>
      <c r="Q2563" s="2">
        <f t="shared" si="243"/>
        <v>6.9160714285714286</v>
      </c>
      <c r="R2563" s="2">
        <f t="shared" si="244"/>
        <v>64.55</v>
      </c>
      <c r="S2563" s="2">
        <f t="shared" si="245"/>
        <v>7.028143557965401</v>
      </c>
    </row>
    <row r="2564" spans="1:19" hidden="1">
      <c r="A2564" t="s">
        <v>2617</v>
      </c>
      <c r="B2564" t="s">
        <v>30</v>
      </c>
      <c r="C2564">
        <v>127</v>
      </c>
      <c r="D2564">
        <v>4850</v>
      </c>
      <c r="E2564" s="2">
        <v>235.92</v>
      </c>
      <c r="F2564">
        <v>25</v>
      </c>
      <c r="G2564">
        <v>10</v>
      </c>
      <c r="H2564">
        <v>7.9000000000000001E-2</v>
      </c>
      <c r="I2564" s="3">
        <v>1057</v>
      </c>
      <c r="J2564" s="1">
        <v>45608</v>
      </c>
      <c r="K2564" t="s">
        <v>31</v>
      </c>
      <c r="L2564" t="s">
        <v>7</v>
      </c>
      <c r="M2564" t="s">
        <v>35</v>
      </c>
      <c r="N2564" s="1">
        <f t="shared" si="240"/>
        <v>45608</v>
      </c>
      <c r="O2564" s="4">
        <f t="shared" si="241"/>
        <v>2.6185567010309278E-2</v>
      </c>
      <c r="P2564">
        <f t="shared" si="242"/>
        <v>1.8576377952755905</v>
      </c>
      <c r="Q2564" s="2">
        <f t="shared" si="243"/>
        <v>9.4367999999999999</v>
      </c>
      <c r="R2564" s="2">
        <f t="shared" si="244"/>
        <v>23.591999999999999</v>
      </c>
      <c r="S2564" s="2">
        <f t="shared" si="245"/>
        <v>4.4803323160393358</v>
      </c>
    </row>
    <row r="2565" spans="1:19" hidden="1">
      <c r="A2565" t="s">
        <v>2618</v>
      </c>
      <c r="B2565" t="s">
        <v>30</v>
      </c>
      <c r="C2565">
        <v>108</v>
      </c>
      <c r="D2565">
        <v>5245</v>
      </c>
      <c r="E2565" s="2">
        <v>227.35</v>
      </c>
      <c r="F2565">
        <v>12</v>
      </c>
      <c r="G2565">
        <v>5</v>
      </c>
      <c r="H2565">
        <v>4.5999999999999999E-2</v>
      </c>
      <c r="I2565" s="3">
        <v>1384</v>
      </c>
      <c r="J2565" s="1">
        <v>45623</v>
      </c>
      <c r="K2565" t="s">
        <v>31</v>
      </c>
      <c r="L2565" t="s">
        <v>9</v>
      </c>
      <c r="M2565" t="s">
        <v>39</v>
      </c>
      <c r="N2565" s="1">
        <f t="shared" si="240"/>
        <v>45623</v>
      </c>
      <c r="O2565" s="4">
        <f t="shared" si="241"/>
        <v>2.0591039084842708E-2</v>
      </c>
      <c r="P2565">
        <f t="shared" si="242"/>
        <v>2.1050925925925927</v>
      </c>
      <c r="Q2565" s="2">
        <f t="shared" si="243"/>
        <v>18.945833333333333</v>
      </c>
      <c r="R2565" s="2">
        <f t="shared" si="244"/>
        <v>45.47</v>
      </c>
      <c r="S2565" s="2">
        <f t="shared" si="245"/>
        <v>6.0875302397184958</v>
      </c>
    </row>
    <row r="2566" spans="1:19" hidden="1">
      <c r="A2566" t="s">
        <v>2619</v>
      </c>
      <c r="B2566" t="s">
        <v>30</v>
      </c>
      <c r="C2566">
        <v>96</v>
      </c>
      <c r="D2566">
        <v>5474</v>
      </c>
      <c r="E2566" s="2">
        <v>201.65</v>
      </c>
      <c r="F2566">
        <v>16</v>
      </c>
      <c r="G2566">
        <v>8</v>
      </c>
      <c r="H2566">
        <v>0.03</v>
      </c>
      <c r="I2566" s="3">
        <v>1376</v>
      </c>
      <c r="J2566" s="1" t="s">
        <v>86</v>
      </c>
      <c r="K2566" t="s">
        <v>31</v>
      </c>
      <c r="L2566" t="s">
        <v>8</v>
      </c>
      <c r="M2566" t="s">
        <v>32</v>
      </c>
      <c r="N2566" s="1">
        <f t="shared" si="240"/>
        <v>45625</v>
      </c>
      <c r="O2566" s="4">
        <f t="shared" si="241"/>
        <v>1.7537449762513702E-2</v>
      </c>
      <c r="P2566">
        <f t="shared" si="242"/>
        <v>2.1005208333333334</v>
      </c>
      <c r="Q2566" s="2">
        <f t="shared" si="243"/>
        <v>12.603125</v>
      </c>
      <c r="R2566" s="2">
        <f t="shared" si="244"/>
        <v>25.206250000000001</v>
      </c>
      <c r="S2566" s="2">
        <f t="shared" si="245"/>
        <v>6.823704438383337</v>
      </c>
    </row>
    <row r="2567" spans="1:19" hidden="1">
      <c r="A2567" t="s">
        <v>2620</v>
      </c>
      <c r="B2567" t="s">
        <v>30</v>
      </c>
      <c r="C2567">
        <v>103</v>
      </c>
      <c r="D2567">
        <v>4913</v>
      </c>
      <c r="E2567" s="2">
        <v>180.45</v>
      </c>
      <c r="F2567">
        <v>12</v>
      </c>
      <c r="G2567">
        <v>3</v>
      </c>
      <c r="H2567">
        <v>2.9000000000000001E-2</v>
      </c>
      <c r="I2567" s="3">
        <v>1178</v>
      </c>
      <c r="J2567" s="1" t="s">
        <v>357</v>
      </c>
      <c r="K2567" t="s">
        <v>31</v>
      </c>
      <c r="L2567" t="s">
        <v>8</v>
      </c>
      <c r="M2567" t="s">
        <v>32</v>
      </c>
      <c r="N2567" s="1">
        <f t="shared" si="240"/>
        <v>45624</v>
      </c>
      <c r="O2567" s="4">
        <f t="shared" si="241"/>
        <v>2.0964787299002648E-2</v>
      </c>
      <c r="P2567">
        <f t="shared" si="242"/>
        <v>1.7519417475728154</v>
      </c>
      <c r="Q2567" s="2">
        <f t="shared" si="243"/>
        <v>15.0375</v>
      </c>
      <c r="R2567" s="2">
        <f t="shared" si="244"/>
        <v>60.15</v>
      </c>
      <c r="S2567" s="2">
        <f t="shared" si="245"/>
        <v>6.5281241341091718</v>
      </c>
    </row>
    <row r="2568" spans="1:19">
      <c r="A2568" t="s">
        <v>2621</v>
      </c>
      <c r="B2568" t="s">
        <v>30</v>
      </c>
      <c r="C2568">
        <v>160</v>
      </c>
      <c r="D2568">
        <v>5975</v>
      </c>
      <c r="E2568" s="2">
        <v>212.18</v>
      </c>
      <c r="F2568">
        <v>14</v>
      </c>
      <c r="G2568">
        <v>7</v>
      </c>
      <c r="H2568">
        <v>4.5999999999999999E-2</v>
      </c>
      <c r="I2568" s="3">
        <v>1507</v>
      </c>
      <c r="J2568" s="1">
        <v>45600</v>
      </c>
      <c r="K2568" t="s">
        <v>31</v>
      </c>
      <c r="L2568" t="s">
        <v>9</v>
      </c>
      <c r="M2568" t="s">
        <v>35</v>
      </c>
      <c r="N2568" s="1">
        <f t="shared" si="240"/>
        <v>45600</v>
      </c>
      <c r="O2568" s="4">
        <f t="shared" si="241"/>
        <v>2.6778242677824266E-2</v>
      </c>
      <c r="P2568">
        <f t="shared" si="242"/>
        <v>1.326125</v>
      </c>
      <c r="Q2568" s="2">
        <f t="shared" si="243"/>
        <v>15.155714285714286</v>
      </c>
      <c r="R2568" s="2">
        <f t="shared" si="244"/>
        <v>30.311428571428571</v>
      </c>
      <c r="S2568" s="2">
        <f t="shared" si="245"/>
        <v>7.1024601753228387</v>
      </c>
    </row>
    <row r="2569" spans="1:19" hidden="1">
      <c r="A2569" t="s">
        <v>2622</v>
      </c>
      <c r="B2569" t="s">
        <v>30</v>
      </c>
      <c r="C2569">
        <v>141</v>
      </c>
      <c r="D2569">
        <v>5451</v>
      </c>
      <c r="E2569" s="2">
        <v>246.96</v>
      </c>
      <c r="F2569">
        <v>13</v>
      </c>
      <c r="G2569">
        <v>4</v>
      </c>
      <c r="H2569">
        <v>2.8000000000000001E-2</v>
      </c>
      <c r="I2569" s="3">
        <v>1725</v>
      </c>
      <c r="J2569" s="1">
        <v>45608</v>
      </c>
      <c r="K2569" t="s">
        <v>31</v>
      </c>
      <c r="L2569" t="s">
        <v>9</v>
      </c>
      <c r="M2569" t="s">
        <v>32</v>
      </c>
      <c r="N2569" s="1">
        <f t="shared" si="240"/>
        <v>45608</v>
      </c>
      <c r="O2569" s="4">
        <f t="shared" si="241"/>
        <v>2.5866813428728673E-2</v>
      </c>
      <c r="P2569">
        <f t="shared" si="242"/>
        <v>1.7514893617021277</v>
      </c>
      <c r="Q2569" s="2">
        <f t="shared" si="243"/>
        <v>18.996923076923078</v>
      </c>
      <c r="R2569" s="2">
        <f t="shared" si="244"/>
        <v>61.74</v>
      </c>
      <c r="S2569" s="2">
        <f t="shared" si="245"/>
        <v>6.9849368318756069</v>
      </c>
    </row>
    <row r="2570" spans="1:19" hidden="1">
      <c r="A2570" t="s">
        <v>2623</v>
      </c>
      <c r="B2570" t="s">
        <v>30</v>
      </c>
      <c r="C2570">
        <v>121</v>
      </c>
      <c r="D2570">
        <v>4538</v>
      </c>
      <c r="E2570" s="2">
        <v>216.98</v>
      </c>
      <c r="F2570">
        <v>27</v>
      </c>
      <c r="G2570">
        <v>4</v>
      </c>
      <c r="H2570">
        <v>3.3000000000000002E-2</v>
      </c>
      <c r="I2570" s="3">
        <v>1874</v>
      </c>
      <c r="J2570" s="1" t="s">
        <v>348</v>
      </c>
      <c r="K2570" t="s">
        <v>31</v>
      </c>
      <c r="L2570" t="s">
        <v>7</v>
      </c>
      <c r="M2570" t="s">
        <v>35</v>
      </c>
      <c r="N2570" s="1">
        <f t="shared" si="240"/>
        <v>45615</v>
      </c>
      <c r="O2570" s="4">
        <f t="shared" si="241"/>
        <v>2.6663728514764215E-2</v>
      </c>
      <c r="P2570">
        <f t="shared" si="242"/>
        <v>1.7932231404958676</v>
      </c>
      <c r="Q2570" s="2">
        <f t="shared" si="243"/>
        <v>8.036296296296296</v>
      </c>
      <c r="R2570" s="2">
        <f t="shared" si="244"/>
        <v>54.244999999999997</v>
      </c>
      <c r="S2570" s="2">
        <f t="shared" si="245"/>
        <v>8.6367407134298091</v>
      </c>
    </row>
    <row r="2571" spans="1:19">
      <c r="A2571" t="s">
        <v>2624</v>
      </c>
      <c r="B2571" t="s">
        <v>30</v>
      </c>
      <c r="C2571">
        <v>176</v>
      </c>
      <c r="D2571">
        <v>4285</v>
      </c>
      <c r="E2571" s="2">
        <v>245.13</v>
      </c>
      <c r="F2571">
        <v>28</v>
      </c>
      <c r="G2571">
        <v>9</v>
      </c>
      <c r="H2571">
        <v>4.5999999999999999E-2</v>
      </c>
      <c r="I2571" s="3">
        <v>1321</v>
      </c>
      <c r="J2571" s="1">
        <v>45604</v>
      </c>
      <c r="K2571" t="s">
        <v>31</v>
      </c>
      <c r="L2571" t="s">
        <v>8</v>
      </c>
      <c r="M2571" t="s">
        <v>32</v>
      </c>
      <c r="N2571" s="1">
        <f t="shared" si="240"/>
        <v>45604</v>
      </c>
      <c r="O2571" s="4">
        <f t="shared" si="241"/>
        <v>4.1073512252042005E-2</v>
      </c>
      <c r="P2571">
        <f t="shared" si="242"/>
        <v>1.3927840909090909</v>
      </c>
      <c r="Q2571" s="2">
        <f t="shared" si="243"/>
        <v>8.7546428571428567</v>
      </c>
      <c r="R2571" s="2">
        <f t="shared" si="244"/>
        <v>27.236666666666665</v>
      </c>
      <c r="S2571" s="2">
        <f t="shared" si="245"/>
        <v>5.3889772773630318</v>
      </c>
    </row>
    <row r="2572" spans="1:19" hidden="1">
      <c r="A2572" t="s">
        <v>2625</v>
      </c>
      <c r="B2572" t="s">
        <v>30</v>
      </c>
      <c r="C2572">
        <v>125</v>
      </c>
      <c r="D2572">
        <v>5041</v>
      </c>
      <c r="E2572" s="2">
        <v>228.64</v>
      </c>
      <c r="F2572">
        <v>21</v>
      </c>
      <c r="G2572">
        <v>6</v>
      </c>
      <c r="H2572">
        <v>4.8000000000000001E-2</v>
      </c>
      <c r="I2572" s="3">
        <v>1403</v>
      </c>
      <c r="J2572" s="1">
        <v>45625</v>
      </c>
      <c r="K2572" t="s">
        <v>31</v>
      </c>
      <c r="L2572" t="s">
        <v>7</v>
      </c>
      <c r="M2572" t="s">
        <v>41</v>
      </c>
      <c r="N2572" s="1">
        <f t="shared" si="240"/>
        <v>45625</v>
      </c>
      <c r="O2572" s="4">
        <f t="shared" si="241"/>
        <v>2.479666732791113E-2</v>
      </c>
      <c r="P2572">
        <f t="shared" si="242"/>
        <v>1.8291199999999999</v>
      </c>
      <c r="Q2572" s="2">
        <f t="shared" si="243"/>
        <v>10.887619047619047</v>
      </c>
      <c r="R2572" s="2">
        <f t="shared" si="244"/>
        <v>38.106666666666662</v>
      </c>
      <c r="S2572" s="2">
        <f t="shared" si="245"/>
        <v>6.1362841147655711</v>
      </c>
    </row>
    <row r="2573" spans="1:19">
      <c r="A2573" t="s">
        <v>2626</v>
      </c>
      <c r="B2573" t="s">
        <v>30</v>
      </c>
      <c r="C2573">
        <v>139</v>
      </c>
      <c r="D2573">
        <v>5386</v>
      </c>
      <c r="E2573" s="2">
        <v>220.23</v>
      </c>
      <c r="F2573">
        <v>23</v>
      </c>
      <c r="G2573">
        <v>5</v>
      </c>
      <c r="H2573">
        <v>4.5999999999999999E-2</v>
      </c>
      <c r="I2573" s="3">
        <v>1462</v>
      </c>
      <c r="J2573" s="1">
        <v>45515</v>
      </c>
      <c r="K2573" t="s">
        <v>31</v>
      </c>
      <c r="L2573" t="s">
        <v>7</v>
      </c>
      <c r="M2573" t="s">
        <v>37</v>
      </c>
      <c r="N2573" s="1">
        <f t="shared" si="240"/>
        <v>45515</v>
      </c>
      <c r="O2573" s="4">
        <f t="shared" si="241"/>
        <v>2.5807649461567026E-2</v>
      </c>
      <c r="P2573">
        <f t="shared" si="242"/>
        <v>1.5843884892086331</v>
      </c>
      <c r="Q2573" s="2">
        <f t="shared" si="243"/>
        <v>9.5752173913043475</v>
      </c>
      <c r="R2573" s="2">
        <f t="shared" si="244"/>
        <v>44.045999999999999</v>
      </c>
      <c r="S2573" s="2">
        <f t="shared" si="245"/>
        <v>6.6385142805249062</v>
      </c>
    </row>
    <row r="2574" spans="1:19" hidden="1">
      <c r="A2574" t="s">
        <v>2627</v>
      </c>
      <c r="B2574" t="s">
        <v>30</v>
      </c>
      <c r="C2574">
        <v>137</v>
      </c>
      <c r="D2574">
        <v>5168</v>
      </c>
      <c r="E2574" s="2">
        <v>230.04</v>
      </c>
      <c r="F2574">
        <v>20</v>
      </c>
      <c r="G2574">
        <v>7</v>
      </c>
      <c r="H2574">
        <v>5.0999999999999997E-2</v>
      </c>
      <c r="I2574" s="3">
        <v>1377</v>
      </c>
      <c r="J2574" s="1" t="s">
        <v>217</v>
      </c>
      <c r="K2574" t="s">
        <v>31</v>
      </c>
      <c r="L2574" t="s">
        <v>7</v>
      </c>
      <c r="M2574" t="s">
        <v>35</v>
      </c>
      <c r="N2574" s="1">
        <f t="shared" si="240"/>
        <v>45609</v>
      </c>
      <c r="O2574" s="4">
        <f t="shared" si="241"/>
        <v>2.6509287925696595E-2</v>
      </c>
      <c r="P2574">
        <f t="shared" si="242"/>
        <v>1.6791240875912408</v>
      </c>
      <c r="Q2574" s="2">
        <f t="shared" si="243"/>
        <v>11.501999999999999</v>
      </c>
      <c r="R2574" s="2">
        <f t="shared" si="244"/>
        <v>32.862857142857145</v>
      </c>
      <c r="S2574" s="2">
        <f t="shared" si="245"/>
        <v>5.9859154929577469</v>
      </c>
    </row>
    <row r="2575" spans="1:19" hidden="1">
      <c r="A2575" t="s">
        <v>2628</v>
      </c>
      <c r="B2575" t="s">
        <v>30</v>
      </c>
      <c r="C2575">
        <v>174</v>
      </c>
      <c r="D2575">
        <v>4308</v>
      </c>
      <c r="E2575" s="2">
        <v>190.54</v>
      </c>
      <c r="F2575">
        <v>24</v>
      </c>
      <c r="G2575">
        <v>10</v>
      </c>
      <c r="H2575">
        <v>5.7000000000000002E-2</v>
      </c>
      <c r="I2575" s="3">
        <v>1948</v>
      </c>
      <c r="J2575" s="1">
        <v>45617</v>
      </c>
      <c r="K2575" t="s">
        <v>31</v>
      </c>
      <c r="L2575" t="s">
        <v>9</v>
      </c>
      <c r="M2575" t="s">
        <v>37</v>
      </c>
      <c r="N2575" s="1">
        <f t="shared" si="240"/>
        <v>45617</v>
      </c>
      <c r="O2575" s="4">
        <f t="shared" si="241"/>
        <v>4.0389972144846797E-2</v>
      </c>
      <c r="P2575">
        <f t="shared" si="242"/>
        <v>1.0950574712643677</v>
      </c>
      <c r="Q2575" s="2">
        <f t="shared" si="243"/>
        <v>7.939166666666666</v>
      </c>
      <c r="R2575" s="2">
        <f t="shared" si="244"/>
        <v>19.053999999999998</v>
      </c>
      <c r="S2575" s="2">
        <f t="shared" si="245"/>
        <v>10.223575102340716</v>
      </c>
    </row>
    <row r="2576" spans="1:19" hidden="1">
      <c r="A2576" t="s">
        <v>2629</v>
      </c>
      <c r="B2576" t="s">
        <v>30</v>
      </c>
      <c r="C2576">
        <v>177</v>
      </c>
      <c r="D2576">
        <v>3884</v>
      </c>
      <c r="E2576" s="2">
        <v>219.75</v>
      </c>
      <c r="F2576">
        <v>29</v>
      </c>
      <c r="G2576">
        <v>5</v>
      </c>
      <c r="H2576">
        <v>2.8000000000000001E-2</v>
      </c>
      <c r="I2576" s="3">
        <v>1626</v>
      </c>
      <c r="J2576" s="1">
        <v>45423</v>
      </c>
      <c r="K2576" t="s">
        <v>31</v>
      </c>
      <c r="L2576" t="s">
        <v>7</v>
      </c>
      <c r="M2576" t="s">
        <v>46</v>
      </c>
      <c r="N2576" s="1">
        <f t="shared" si="240"/>
        <v>45423</v>
      </c>
      <c r="O2576" s="4">
        <f t="shared" si="241"/>
        <v>4.5571575695159627E-2</v>
      </c>
      <c r="P2576">
        <f t="shared" si="242"/>
        <v>1.2415254237288136</v>
      </c>
      <c r="Q2576" s="2">
        <f t="shared" si="243"/>
        <v>7.5775862068965516</v>
      </c>
      <c r="R2576" s="2">
        <f t="shared" si="244"/>
        <v>43.95</v>
      </c>
      <c r="S2576" s="2">
        <f t="shared" si="245"/>
        <v>7.3993174061433447</v>
      </c>
    </row>
    <row r="2577" spans="1:19" hidden="1">
      <c r="A2577" t="s">
        <v>2630</v>
      </c>
      <c r="B2577" t="s">
        <v>30</v>
      </c>
      <c r="C2577">
        <v>155</v>
      </c>
      <c r="D2577">
        <v>4312</v>
      </c>
      <c r="E2577" s="2">
        <v>231.52</v>
      </c>
      <c r="F2577">
        <v>30</v>
      </c>
      <c r="G2577">
        <v>3</v>
      </c>
      <c r="H2577">
        <v>1.9E-2</v>
      </c>
      <c r="I2577" s="3">
        <v>1003</v>
      </c>
      <c r="J2577" s="1">
        <v>45602</v>
      </c>
      <c r="K2577" t="s">
        <v>31</v>
      </c>
      <c r="L2577" t="s">
        <v>8</v>
      </c>
      <c r="M2577" t="s">
        <v>35</v>
      </c>
      <c r="N2577" s="1">
        <f t="shared" si="240"/>
        <v>45602</v>
      </c>
      <c r="O2577" s="4">
        <f t="shared" si="241"/>
        <v>3.5946196660482377E-2</v>
      </c>
      <c r="P2577">
        <f t="shared" si="242"/>
        <v>1.4936774193548388</v>
      </c>
      <c r="Q2577" s="2">
        <f t="shared" si="243"/>
        <v>7.7173333333333334</v>
      </c>
      <c r="R2577" s="2">
        <f t="shared" si="244"/>
        <v>77.173333333333332</v>
      </c>
      <c r="S2577" s="2">
        <f t="shared" si="245"/>
        <v>4.3322391154111957</v>
      </c>
    </row>
    <row r="2578" spans="1:19">
      <c r="A2578" t="s">
        <v>2631</v>
      </c>
      <c r="B2578" t="s">
        <v>30</v>
      </c>
      <c r="C2578">
        <v>129</v>
      </c>
      <c r="D2578">
        <v>3482</v>
      </c>
      <c r="E2578" s="2">
        <v>184.89</v>
      </c>
      <c r="F2578">
        <v>23</v>
      </c>
      <c r="G2578">
        <v>9</v>
      </c>
      <c r="H2578">
        <v>4.5999999999999999E-2</v>
      </c>
      <c r="I2578" s="3">
        <v>1667</v>
      </c>
      <c r="J2578" s="1">
        <v>45625</v>
      </c>
      <c r="K2578" t="s">
        <v>31</v>
      </c>
      <c r="L2578" t="s">
        <v>8</v>
      </c>
      <c r="M2578" t="s">
        <v>41</v>
      </c>
      <c r="N2578" s="1">
        <f t="shared" si="240"/>
        <v>45625</v>
      </c>
      <c r="O2578" s="4">
        <f t="shared" si="241"/>
        <v>3.7047673750717977E-2</v>
      </c>
      <c r="P2578">
        <f t="shared" si="242"/>
        <v>1.4332558139534883</v>
      </c>
      <c r="Q2578" s="2">
        <f t="shared" si="243"/>
        <v>8.0386956521739119</v>
      </c>
      <c r="R2578" s="2">
        <f t="shared" si="244"/>
        <v>20.543333333333333</v>
      </c>
      <c r="S2578" s="2">
        <f t="shared" si="245"/>
        <v>9.0161717778138364</v>
      </c>
    </row>
    <row r="2579" spans="1:19" hidden="1">
      <c r="A2579" t="s">
        <v>2632</v>
      </c>
      <c r="B2579" t="s">
        <v>30</v>
      </c>
      <c r="C2579">
        <v>91</v>
      </c>
      <c r="D2579">
        <v>4893</v>
      </c>
      <c r="E2579" s="2">
        <v>222.3</v>
      </c>
      <c r="F2579">
        <v>29</v>
      </c>
      <c r="G2579">
        <v>10</v>
      </c>
      <c r="H2579">
        <v>0.11</v>
      </c>
      <c r="I2579" s="3">
        <v>1430</v>
      </c>
      <c r="J2579" s="1">
        <v>45617</v>
      </c>
      <c r="K2579" t="s">
        <v>31</v>
      </c>
      <c r="L2579" t="s">
        <v>8</v>
      </c>
      <c r="M2579" t="s">
        <v>32</v>
      </c>
      <c r="N2579" s="1">
        <f t="shared" si="240"/>
        <v>45617</v>
      </c>
      <c r="O2579" s="4">
        <f t="shared" si="241"/>
        <v>1.8597997138769671E-2</v>
      </c>
      <c r="P2579">
        <f t="shared" si="242"/>
        <v>2.4428571428571431</v>
      </c>
      <c r="Q2579" s="2">
        <f t="shared" si="243"/>
        <v>7.6655172413793107</v>
      </c>
      <c r="R2579" s="2">
        <f t="shared" si="244"/>
        <v>22.23</v>
      </c>
      <c r="S2579" s="2">
        <f t="shared" si="245"/>
        <v>6.4327485380116958</v>
      </c>
    </row>
    <row r="2580" spans="1:19">
      <c r="A2580" t="s">
        <v>2633</v>
      </c>
      <c r="B2580" t="s">
        <v>30</v>
      </c>
      <c r="C2580">
        <v>139</v>
      </c>
      <c r="D2580">
        <v>3075</v>
      </c>
      <c r="E2580" s="2">
        <v>239.32</v>
      </c>
      <c r="F2580">
        <v>12</v>
      </c>
      <c r="G2580">
        <v>10</v>
      </c>
      <c r="H2580">
        <v>4.5999999999999999E-2</v>
      </c>
      <c r="I2580" s="3">
        <v>1966</v>
      </c>
      <c r="J2580" s="1">
        <v>45618</v>
      </c>
      <c r="K2580" t="s">
        <v>31</v>
      </c>
      <c r="L2580" t="s">
        <v>8</v>
      </c>
      <c r="M2580" t="s">
        <v>35</v>
      </c>
      <c r="N2580" s="1">
        <f t="shared" si="240"/>
        <v>45618</v>
      </c>
      <c r="O2580" s="4">
        <f t="shared" si="241"/>
        <v>4.5203252032520326E-2</v>
      </c>
      <c r="P2580">
        <f t="shared" si="242"/>
        <v>1.721726618705036</v>
      </c>
      <c r="Q2580" s="2">
        <f t="shared" si="243"/>
        <v>19.943333333333332</v>
      </c>
      <c r="R2580" s="2">
        <f t="shared" si="244"/>
        <v>23.931999999999999</v>
      </c>
      <c r="S2580" s="2">
        <f t="shared" si="245"/>
        <v>8.2149423366204246</v>
      </c>
    </row>
    <row r="2581" spans="1:19" hidden="1">
      <c r="A2581" t="s">
        <v>2634</v>
      </c>
      <c r="B2581" t="s">
        <v>30</v>
      </c>
      <c r="C2581">
        <v>126</v>
      </c>
      <c r="D2581">
        <v>4558</v>
      </c>
      <c r="E2581" s="2">
        <v>195.36</v>
      </c>
      <c r="F2581">
        <v>23</v>
      </c>
      <c r="G2581">
        <v>3</v>
      </c>
      <c r="H2581">
        <v>2.4E-2</v>
      </c>
      <c r="I2581" s="3">
        <v>1020</v>
      </c>
      <c r="J2581" s="1">
        <v>45622</v>
      </c>
      <c r="K2581" t="s">
        <v>31</v>
      </c>
      <c r="L2581" t="s">
        <v>7</v>
      </c>
      <c r="M2581" t="s">
        <v>41</v>
      </c>
      <c r="N2581" s="1">
        <f t="shared" si="240"/>
        <v>45622</v>
      </c>
      <c r="O2581" s="4">
        <f t="shared" si="241"/>
        <v>2.7643703378674857E-2</v>
      </c>
      <c r="P2581">
        <f t="shared" si="242"/>
        <v>1.5504761904761906</v>
      </c>
      <c r="Q2581" s="2">
        <f t="shared" si="243"/>
        <v>8.4939130434782619</v>
      </c>
      <c r="R2581" s="2">
        <f t="shared" si="244"/>
        <v>65.12</v>
      </c>
      <c r="S2581" s="2">
        <f t="shared" si="245"/>
        <v>5.2211302211302204</v>
      </c>
    </row>
    <row r="2582" spans="1:19">
      <c r="A2582" t="s">
        <v>2635</v>
      </c>
      <c r="B2582" t="s">
        <v>30</v>
      </c>
      <c r="C2582">
        <v>87</v>
      </c>
      <c r="D2582">
        <v>3248</v>
      </c>
      <c r="E2582" s="2">
        <v>220.5</v>
      </c>
      <c r="F2582">
        <v>13</v>
      </c>
      <c r="G2582">
        <v>6</v>
      </c>
      <c r="H2582">
        <v>4.5999999999999999E-2</v>
      </c>
      <c r="I2582" s="3">
        <v>1871</v>
      </c>
      <c r="J2582" s="1">
        <v>45624</v>
      </c>
      <c r="K2582" t="s">
        <v>31</v>
      </c>
      <c r="L2582" t="s">
        <v>8</v>
      </c>
      <c r="M2582" t="s">
        <v>37</v>
      </c>
      <c r="N2582" s="1">
        <f t="shared" si="240"/>
        <v>45624</v>
      </c>
      <c r="O2582" s="4">
        <f t="shared" si="241"/>
        <v>2.6785714285714284E-2</v>
      </c>
      <c r="P2582">
        <f t="shared" si="242"/>
        <v>2.5344827586206895</v>
      </c>
      <c r="Q2582" s="2">
        <f t="shared" si="243"/>
        <v>16.96153846153846</v>
      </c>
      <c r="R2582" s="2">
        <f t="shared" si="244"/>
        <v>36.75</v>
      </c>
      <c r="S2582" s="2">
        <f t="shared" si="245"/>
        <v>8.4852607709750565</v>
      </c>
    </row>
    <row r="2583" spans="1:19">
      <c r="A2583" t="s">
        <v>2636</v>
      </c>
      <c r="B2583" t="s">
        <v>30</v>
      </c>
      <c r="C2583">
        <v>139</v>
      </c>
      <c r="D2583">
        <v>5297</v>
      </c>
      <c r="E2583" s="2">
        <v>215.57</v>
      </c>
      <c r="F2583">
        <v>27</v>
      </c>
      <c r="G2583">
        <v>9</v>
      </c>
      <c r="H2583">
        <v>4.5999999999999999E-2</v>
      </c>
      <c r="I2583" s="3">
        <v>1268</v>
      </c>
      <c r="J2583" s="1" t="s">
        <v>111</v>
      </c>
      <c r="K2583" t="s">
        <v>31</v>
      </c>
      <c r="L2583" t="s">
        <v>7</v>
      </c>
      <c r="M2583" t="s">
        <v>35</v>
      </c>
      <c r="N2583" s="1">
        <f t="shared" si="240"/>
        <v>45619</v>
      </c>
      <c r="O2583" s="4">
        <f t="shared" si="241"/>
        <v>2.6241268642627904E-2</v>
      </c>
      <c r="P2583">
        <f t="shared" si="242"/>
        <v>1.5508633093525179</v>
      </c>
      <c r="Q2583" s="2">
        <f t="shared" si="243"/>
        <v>7.9840740740740737</v>
      </c>
      <c r="R2583" s="2">
        <f t="shared" si="244"/>
        <v>23.952222222222222</v>
      </c>
      <c r="S2583" s="2">
        <f t="shared" si="245"/>
        <v>5.8820800667996478</v>
      </c>
    </row>
    <row r="2584" spans="1:19">
      <c r="A2584" t="s">
        <v>2637</v>
      </c>
      <c r="B2584" t="s">
        <v>30</v>
      </c>
      <c r="C2584">
        <v>107</v>
      </c>
      <c r="D2584">
        <v>3589</v>
      </c>
      <c r="E2584" s="2">
        <v>183.25</v>
      </c>
      <c r="F2584">
        <v>19</v>
      </c>
      <c r="G2584">
        <v>7</v>
      </c>
      <c r="H2584">
        <v>4.5999999999999999E-2</v>
      </c>
      <c r="I2584" s="3">
        <v>1571</v>
      </c>
      <c r="J2584" s="1" t="s">
        <v>86</v>
      </c>
      <c r="K2584" t="s">
        <v>31</v>
      </c>
      <c r="L2584" t="s">
        <v>7</v>
      </c>
      <c r="M2584" t="s">
        <v>35</v>
      </c>
      <c r="N2584" s="1">
        <f t="shared" si="240"/>
        <v>45625</v>
      </c>
      <c r="O2584" s="4">
        <f t="shared" si="241"/>
        <v>2.9813318473112287E-2</v>
      </c>
      <c r="P2584">
        <f t="shared" si="242"/>
        <v>1.7126168224299065</v>
      </c>
      <c r="Q2584" s="2">
        <f t="shared" si="243"/>
        <v>9.6447368421052637</v>
      </c>
      <c r="R2584" s="2">
        <f t="shared" si="244"/>
        <v>26.178571428571427</v>
      </c>
      <c r="S2584" s="2">
        <f t="shared" si="245"/>
        <v>8.5729877216916783</v>
      </c>
    </row>
    <row r="2585" spans="1:19">
      <c r="A2585" t="s">
        <v>2638</v>
      </c>
      <c r="B2585" t="s">
        <v>30</v>
      </c>
      <c r="C2585">
        <v>124</v>
      </c>
      <c r="D2585">
        <v>3383</v>
      </c>
      <c r="E2585" s="2">
        <v>224.63</v>
      </c>
      <c r="F2585">
        <v>21</v>
      </c>
      <c r="G2585">
        <v>7</v>
      </c>
      <c r="H2585">
        <v>4.5999999999999999E-2</v>
      </c>
      <c r="I2585" s="3">
        <v>1263</v>
      </c>
      <c r="J2585" s="1">
        <v>45606</v>
      </c>
      <c r="K2585" t="s">
        <v>31</v>
      </c>
      <c r="L2585" t="s">
        <v>7</v>
      </c>
      <c r="M2585" t="s">
        <v>37</v>
      </c>
      <c r="N2585" s="1">
        <f t="shared" si="240"/>
        <v>45606</v>
      </c>
      <c r="O2585" s="4">
        <f t="shared" si="241"/>
        <v>3.6653857522908659E-2</v>
      </c>
      <c r="P2585">
        <f t="shared" si="242"/>
        <v>1.8115322580645161</v>
      </c>
      <c r="Q2585" s="2">
        <f t="shared" si="243"/>
        <v>10.696666666666667</v>
      </c>
      <c r="R2585" s="2">
        <f t="shared" si="244"/>
        <v>32.089999999999996</v>
      </c>
      <c r="S2585" s="2">
        <f t="shared" si="245"/>
        <v>5.622579352713351</v>
      </c>
    </row>
    <row r="2586" spans="1:19" hidden="1">
      <c r="A2586" t="s">
        <v>2639</v>
      </c>
      <c r="B2586" t="s">
        <v>30</v>
      </c>
      <c r="C2586">
        <v>124</v>
      </c>
      <c r="D2586">
        <v>5629</v>
      </c>
      <c r="E2586" s="2">
        <v>189.62</v>
      </c>
      <c r="F2586">
        <v>14</v>
      </c>
      <c r="G2586">
        <v>9</v>
      </c>
      <c r="H2586">
        <v>7.2999999999999995E-2</v>
      </c>
      <c r="I2586" s="3">
        <v>1626</v>
      </c>
      <c r="J2586" s="1">
        <v>45623</v>
      </c>
      <c r="K2586" t="s">
        <v>31</v>
      </c>
      <c r="L2586" t="s">
        <v>7</v>
      </c>
      <c r="M2586" t="s">
        <v>39</v>
      </c>
      <c r="N2586" s="1">
        <f t="shared" si="240"/>
        <v>45623</v>
      </c>
      <c r="O2586" s="4">
        <f t="shared" si="241"/>
        <v>2.2028779534553206E-2</v>
      </c>
      <c r="P2586">
        <f t="shared" si="242"/>
        <v>1.5291935483870969</v>
      </c>
      <c r="Q2586" s="2">
        <f t="shared" si="243"/>
        <v>13.544285714285715</v>
      </c>
      <c r="R2586" s="2">
        <f t="shared" si="244"/>
        <v>21.068888888888889</v>
      </c>
      <c r="S2586" s="2">
        <f t="shared" si="245"/>
        <v>8.5750448264950947</v>
      </c>
    </row>
    <row r="2587" spans="1:19">
      <c r="A2587" t="s">
        <v>2640</v>
      </c>
      <c r="B2587" t="s">
        <v>30</v>
      </c>
      <c r="C2587">
        <v>97</v>
      </c>
      <c r="D2587">
        <v>5914</v>
      </c>
      <c r="E2587" s="2">
        <v>226.47</v>
      </c>
      <c r="F2587">
        <v>15</v>
      </c>
      <c r="G2587">
        <v>7</v>
      </c>
      <c r="H2587">
        <v>4.5999999999999999E-2</v>
      </c>
      <c r="I2587" s="3">
        <v>1889</v>
      </c>
      <c r="J2587" s="1">
        <v>45604</v>
      </c>
      <c r="K2587" t="s">
        <v>31</v>
      </c>
      <c r="L2587" t="s">
        <v>9</v>
      </c>
      <c r="M2587" t="s">
        <v>41</v>
      </c>
      <c r="N2587" s="1">
        <f t="shared" si="240"/>
        <v>45604</v>
      </c>
      <c r="O2587" s="4">
        <f t="shared" si="241"/>
        <v>1.6401758539059858E-2</v>
      </c>
      <c r="P2587">
        <f t="shared" si="242"/>
        <v>2.3347422680412371</v>
      </c>
      <c r="Q2587" s="2">
        <f t="shared" si="243"/>
        <v>15.098000000000001</v>
      </c>
      <c r="R2587" s="2">
        <f t="shared" si="244"/>
        <v>32.35285714285714</v>
      </c>
      <c r="S2587" s="2">
        <f t="shared" si="245"/>
        <v>8.3410606261314957</v>
      </c>
    </row>
    <row r="2588" spans="1:19">
      <c r="A2588" t="s">
        <v>2641</v>
      </c>
      <c r="B2588" t="s">
        <v>30</v>
      </c>
      <c r="C2588">
        <v>186</v>
      </c>
      <c r="D2588">
        <v>3314</v>
      </c>
      <c r="E2588" s="2">
        <v>237.84</v>
      </c>
      <c r="F2588">
        <v>11</v>
      </c>
      <c r="G2588">
        <v>5</v>
      </c>
      <c r="H2588">
        <v>4.5999999999999999E-2</v>
      </c>
      <c r="I2588" s="3">
        <v>1864</v>
      </c>
      <c r="J2588" s="1">
        <v>45601</v>
      </c>
      <c r="K2588" t="s">
        <v>31</v>
      </c>
      <c r="L2588" t="s">
        <v>9</v>
      </c>
      <c r="M2588" t="s">
        <v>37</v>
      </c>
      <c r="N2588" s="1">
        <f t="shared" si="240"/>
        <v>45601</v>
      </c>
      <c r="O2588" s="4">
        <f t="shared" si="241"/>
        <v>5.6125528062764031E-2</v>
      </c>
      <c r="P2588">
        <f t="shared" si="242"/>
        <v>1.2787096774193549</v>
      </c>
      <c r="Q2588" s="2">
        <f t="shared" si="243"/>
        <v>21.621818181818181</v>
      </c>
      <c r="R2588" s="2">
        <f t="shared" si="244"/>
        <v>47.567999999999998</v>
      </c>
      <c r="S2588" s="2">
        <f t="shared" si="245"/>
        <v>7.837201479986545</v>
      </c>
    </row>
    <row r="2589" spans="1:19" hidden="1">
      <c r="A2589" t="s">
        <v>2642</v>
      </c>
      <c r="B2589" t="s">
        <v>30</v>
      </c>
      <c r="C2589">
        <v>165</v>
      </c>
      <c r="D2589">
        <v>5262</v>
      </c>
      <c r="E2589" s="2">
        <v>211.33</v>
      </c>
      <c r="F2589">
        <v>24</v>
      </c>
      <c r="G2589">
        <v>3</v>
      </c>
      <c r="H2589">
        <v>1.7999999999999999E-2</v>
      </c>
      <c r="I2589" s="3">
        <v>1075</v>
      </c>
      <c r="J2589" s="1" t="s">
        <v>34</v>
      </c>
      <c r="K2589" t="s">
        <v>31</v>
      </c>
      <c r="L2589" t="s">
        <v>7</v>
      </c>
      <c r="M2589" t="s">
        <v>37</v>
      </c>
      <c r="N2589" s="1">
        <f t="shared" si="240"/>
        <v>45616</v>
      </c>
      <c r="O2589" s="4">
        <f t="shared" si="241"/>
        <v>3.1356898517673891E-2</v>
      </c>
      <c r="P2589">
        <f t="shared" si="242"/>
        <v>1.2807878787878788</v>
      </c>
      <c r="Q2589" s="2">
        <f t="shared" si="243"/>
        <v>8.8054166666666678</v>
      </c>
      <c r="R2589" s="2">
        <f t="shared" si="244"/>
        <v>70.443333333333342</v>
      </c>
      <c r="S2589" s="2">
        <f t="shared" si="245"/>
        <v>5.0868310225713333</v>
      </c>
    </row>
    <row r="2590" spans="1:19" hidden="1">
      <c r="A2590" t="s">
        <v>2643</v>
      </c>
      <c r="B2590" t="s">
        <v>30</v>
      </c>
      <c r="C2590">
        <v>110</v>
      </c>
      <c r="D2590">
        <v>3088</v>
      </c>
      <c r="E2590" s="2">
        <v>205.09</v>
      </c>
      <c r="F2590">
        <v>13</v>
      </c>
      <c r="G2590">
        <v>7</v>
      </c>
      <c r="H2590">
        <v>6.4000000000000001E-2</v>
      </c>
      <c r="I2590" s="3">
        <v>1061</v>
      </c>
      <c r="J2590" s="1">
        <v>45423</v>
      </c>
      <c r="K2590" t="s">
        <v>31</v>
      </c>
      <c r="L2590" t="s">
        <v>9</v>
      </c>
      <c r="M2590" t="s">
        <v>35</v>
      </c>
      <c r="N2590" s="1">
        <f t="shared" si="240"/>
        <v>45423</v>
      </c>
      <c r="O2590" s="4">
        <f t="shared" si="241"/>
        <v>3.562176165803109E-2</v>
      </c>
      <c r="P2590">
        <f t="shared" si="242"/>
        <v>1.8644545454545456</v>
      </c>
      <c r="Q2590" s="2">
        <f t="shared" si="243"/>
        <v>15.776153846153846</v>
      </c>
      <c r="R2590" s="2">
        <f t="shared" si="244"/>
        <v>29.298571428571428</v>
      </c>
      <c r="S2590" s="2">
        <f t="shared" si="245"/>
        <v>5.1733385343020135</v>
      </c>
    </row>
    <row r="2591" spans="1:19" hidden="1">
      <c r="A2591" t="s">
        <v>2644</v>
      </c>
      <c r="B2591" t="s">
        <v>30</v>
      </c>
      <c r="C2591">
        <v>191</v>
      </c>
      <c r="D2591">
        <v>4753</v>
      </c>
      <c r="E2591" s="2">
        <v>200.39</v>
      </c>
      <c r="F2591">
        <v>24</v>
      </c>
      <c r="G2591">
        <v>9</v>
      </c>
      <c r="H2591">
        <v>4.7E-2</v>
      </c>
      <c r="I2591" s="3">
        <v>1702</v>
      </c>
      <c r="J2591" s="1">
        <v>45601</v>
      </c>
      <c r="K2591" t="s">
        <v>31</v>
      </c>
      <c r="L2591" t="s">
        <v>8</v>
      </c>
      <c r="M2591" t="s">
        <v>46</v>
      </c>
      <c r="N2591" s="1">
        <f t="shared" si="240"/>
        <v>45601</v>
      </c>
      <c r="O2591" s="4">
        <f t="shared" si="241"/>
        <v>4.0185146223437829E-2</v>
      </c>
      <c r="P2591">
        <f t="shared" si="242"/>
        <v>1.0491623036649214</v>
      </c>
      <c r="Q2591" s="2">
        <f t="shared" si="243"/>
        <v>8.3495833333333334</v>
      </c>
      <c r="R2591" s="2">
        <f t="shared" si="244"/>
        <v>22.265555555555554</v>
      </c>
      <c r="S2591" s="2">
        <f t="shared" si="245"/>
        <v>8.4934377962972203</v>
      </c>
    </row>
    <row r="2592" spans="1:19" hidden="1">
      <c r="A2592" t="s">
        <v>2645</v>
      </c>
      <c r="B2592" t="s">
        <v>30</v>
      </c>
      <c r="C2592">
        <v>136</v>
      </c>
      <c r="D2592">
        <v>3036</v>
      </c>
      <c r="E2592" s="2">
        <v>201.48</v>
      </c>
      <c r="F2592">
        <v>20</v>
      </c>
      <c r="G2592">
        <v>7</v>
      </c>
      <c r="H2592">
        <v>4.5999999999999999E-2</v>
      </c>
      <c r="I2592" s="3">
        <v>1811</v>
      </c>
      <c r="J2592" s="1">
        <v>45609</v>
      </c>
      <c r="K2592" t="s">
        <v>31</v>
      </c>
      <c r="L2592" t="s">
        <v>9</v>
      </c>
      <c r="M2592" t="s">
        <v>39</v>
      </c>
      <c r="N2592" s="1">
        <f t="shared" si="240"/>
        <v>45609</v>
      </c>
      <c r="O2592" s="4">
        <f t="shared" si="241"/>
        <v>4.4795783926218712E-2</v>
      </c>
      <c r="P2592">
        <f t="shared" si="242"/>
        <v>1.4814705882352941</v>
      </c>
      <c r="Q2592" s="2">
        <f t="shared" si="243"/>
        <v>10.074</v>
      </c>
      <c r="R2592" s="2">
        <f t="shared" si="244"/>
        <v>28.782857142857143</v>
      </c>
      <c r="S2592" s="2">
        <f t="shared" si="245"/>
        <v>8.9884852094500705</v>
      </c>
    </row>
    <row r="2593" spans="1:19" hidden="1">
      <c r="A2593" t="s">
        <v>2646</v>
      </c>
      <c r="B2593" t="s">
        <v>30</v>
      </c>
      <c r="C2593">
        <v>146</v>
      </c>
      <c r="D2593">
        <v>5743</v>
      </c>
      <c r="E2593" s="2">
        <v>190.39</v>
      </c>
      <c r="F2593">
        <v>18</v>
      </c>
      <c r="G2593">
        <v>3</v>
      </c>
      <c r="H2593">
        <v>2.1000000000000001E-2</v>
      </c>
      <c r="I2593" s="3">
        <v>1108</v>
      </c>
      <c r="J2593" s="1" t="s">
        <v>217</v>
      </c>
      <c r="K2593" t="s">
        <v>31</v>
      </c>
      <c r="L2593" t="s">
        <v>8</v>
      </c>
      <c r="M2593" t="s">
        <v>39</v>
      </c>
      <c r="N2593" s="1">
        <f t="shared" si="240"/>
        <v>45609</v>
      </c>
      <c r="O2593" s="4">
        <f t="shared" si="241"/>
        <v>2.5422253177781646E-2</v>
      </c>
      <c r="P2593">
        <f t="shared" si="242"/>
        <v>1.304041095890411</v>
      </c>
      <c r="Q2593" s="2">
        <f t="shared" si="243"/>
        <v>10.577222222222222</v>
      </c>
      <c r="R2593" s="2">
        <f t="shared" si="244"/>
        <v>63.463333333333331</v>
      </c>
      <c r="S2593" s="2">
        <f t="shared" si="245"/>
        <v>5.8196333841063081</v>
      </c>
    </row>
    <row r="2594" spans="1:19">
      <c r="A2594" t="s">
        <v>2647</v>
      </c>
      <c r="B2594" t="s">
        <v>30</v>
      </c>
      <c r="C2594">
        <v>152</v>
      </c>
      <c r="D2594">
        <v>5061</v>
      </c>
      <c r="E2594" s="2">
        <v>234.42</v>
      </c>
      <c r="F2594">
        <v>12</v>
      </c>
      <c r="G2594">
        <v>5</v>
      </c>
      <c r="H2594">
        <v>4.5999999999999999E-2</v>
      </c>
      <c r="I2594" s="3">
        <v>1566</v>
      </c>
      <c r="J2594" s="1">
        <v>45576</v>
      </c>
      <c r="K2594" t="s">
        <v>31</v>
      </c>
      <c r="L2594" t="s">
        <v>9</v>
      </c>
      <c r="M2594" t="s">
        <v>41</v>
      </c>
      <c r="N2594" s="1">
        <f t="shared" si="240"/>
        <v>45576</v>
      </c>
      <c r="O2594" s="4">
        <f t="shared" si="241"/>
        <v>3.0033590199565304E-2</v>
      </c>
      <c r="P2594">
        <f t="shared" si="242"/>
        <v>1.542236842105263</v>
      </c>
      <c r="Q2594" s="2">
        <f t="shared" si="243"/>
        <v>19.535</v>
      </c>
      <c r="R2594" s="2">
        <f t="shared" si="244"/>
        <v>46.884</v>
      </c>
      <c r="S2594" s="2">
        <f t="shared" si="245"/>
        <v>6.6803173790632204</v>
      </c>
    </row>
    <row r="2595" spans="1:19">
      <c r="A2595" t="s">
        <v>2648</v>
      </c>
      <c r="B2595" t="s">
        <v>30</v>
      </c>
      <c r="C2595">
        <v>189</v>
      </c>
      <c r="D2595">
        <v>5944</v>
      </c>
      <c r="E2595" s="2">
        <v>202.89</v>
      </c>
      <c r="F2595">
        <v>28</v>
      </c>
      <c r="G2595">
        <v>5</v>
      </c>
      <c r="H2595">
        <v>4.5999999999999999E-2</v>
      </c>
      <c r="I2595" s="3">
        <v>1360</v>
      </c>
      <c r="J2595" s="1">
        <v>45515</v>
      </c>
      <c r="K2595" t="s">
        <v>31</v>
      </c>
      <c r="L2595" t="s">
        <v>8</v>
      </c>
      <c r="M2595" t="s">
        <v>35</v>
      </c>
      <c r="N2595" s="1">
        <f t="shared" si="240"/>
        <v>45515</v>
      </c>
      <c r="O2595" s="4">
        <f t="shared" si="241"/>
        <v>3.1796769851951547E-2</v>
      </c>
      <c r="P2595">
        <f t="shared" si="242"/>
        <v>1.0734920634920635</v>
      </c>
      <c r="Q2595" s="2">
        <f t="shared" si="243"/>
        <v>7.2460714285714278</v>
      </c>
      <c r="R2595" s="2">
        <f t="shared" si="244"/>
        <v>40.577999999999996</v>
      </c>
      <c r="S2595" s="2">
        <f t="shared" si="245"/>
        <v>6.7031396323130767</v>
      </c>
    </row>
    <row r="2596" spans="1:19" hidden="1">
      <c r="A2596" t="s">
        <v>2649</v>
      </c>
      <c r="B2596" t="s">
        <v>30</v>
      </c>
      <c r="C2596">
        <v>99</v>
      </c>
      <c r="D2596">
        <v>4446</v>
      </c>
      <c r="E2596" s="2">
        <v>233.53</v>
      </c>
      <c r="F2596">
        <v>11</v>
      </c>
      <c r="G2596">
        <v>6</v>
      </c>
      <c r="H2596">
        <v>6.0999999999999999E-2</v>
      </c>
      <c r="I2596" s="3">
        <v>1189</v>
      </c>
      <c r="J2596" s="1">
        <v>45601</v>
      </c>
      <c r="K2596" t="s">
        <v>31</v>
      </c>
      <c r="L2596" t="s">
        <v>9</v>
      </c>
      <c r="M2596" t="s">
        <v>39</v>
      </c>
      <c r="N2596" s="1">
        <f t="shared" si="240"/>
        <v>45601</v>
      </c>
      <c r="O2596" s="4">
        <f t="shared" si="241"/>
        <v>2.2267206477732792E-2</v>
      </c>
      <c r="P2596">
        <f t="shared" si="242"/>
        <v>2.358888888888889</v>
      </c>
      <c r="Q2596" s="2">
        <f t="shared" si="243"/>
        <v>21.23</v>
      </c>
      <c r="R2596" s="2">
        <f t="shared" si="244"/>
        <v>38.921666666666667</v>
      </c>
      <c r="S2596" s="2">
        <f t="shared" si="245"/>
        <v>5.0914229435190341</v>
      </c>
    </row>
    <row r="2597" spans="1:19" hidden="1">
      <c r="A2597" t="s">
        <v>2650</v>
      </c>
      <c r="B2597" t="s">
        <v>30</v>
      </c>
      <c r="C2597">
        <v>88</v>
      </c>
      <c r="D2597">
        <v>5344</v>
      </c>
      <c r="E2597" s="2">
        <v>242.07</v>
      </c>
      <c r="F2597">
        <v>17</v>
      </c>
      <c r="G2597">
        <v>9</v>
      </c>
      <c r="H2597">
        <v>5.3999999999999999E-2</v>
      </c>
      <c r="I2597" s="3">
        <v>1418</v>
      </c>
      <c r="J2597" s="1" t="s">
        <v>86</v>
      </c>
      <c r="K2597" t="s">
        <v>31</v>
      </c>
      <c r="L2597" t="s">
        <v>8</v>
      </c>
      <c r="M2597" t="s">
        <v>41</v>
      </c>
      <c r="N2597" s="1">
        <f t="shared" si="240"/>
        <v>45625</v>
      </c>
      <c r="O2597" s="4">
        <f t="shared" si="241"/>
        <v>1.6467065868263474E-2</v>
      </c>
      <c r="P2597">
        <f t="shared" si="242"/>
        <v>2.7507954545454543</v>
      </c>
      <c r="Q2597" s="2">
        <f t="shared" si="243"/>
        <v>14.239411764705881</v>
      </c>
      <c r="R2597" s="2">
        <f t="shared" si="244"/>
        <v>26.896666666666665</v>
      </c>
      <c r="S2597" s="2">
        <f t="shared" si="245"/>
        <v>5.8578097244598668</v>
      </c>
    </row>
    <row r="2598" spans="1:19" hidden="1">
      <c r="A2598" t="s">
        <v>2651</v>
      </c>
      <c r="B2598" t="s">
        <v>30</v>
      </c>
      <c r="C2598">
        <v>154</v>
      </c>
      <c r="D2598">
        <v>3211</v>
      </c>
      <c r="E2598" s="2">
        <v>248.28</v>
      </c>
      <c r="F2598">
        <v>14</v>
      </c>
      <c r="G2598">
        <v>6</v>
      </c>
      <c r="H2598">
        <v>3.9E-2</v>
      </c>
      <c r="I2598" s="3">
        <v>1950</v>
      </c>
      <c r="J2598" s="1">
        <v>45624</v>
      </c>
      <c r="K2598" t="s">
        <v>31</v>
      </c>
      <c r="L2598" t="s">
        <v>9</v>
      </c>
      <c r="M2598" t="s">
        <v>37</v>
      </c>
      <c r="N2598" s="1">
        <f t="shared" si="240"/>
        <v>45624</v>
      </c>
      <c r="O2598" s="4">
        <f t="shared" si="241"/>
        <v>4.7960137028962943E-2</v>
      </c>
      <c r="P2598">
        <f t="shared" si="242"/>
        <v>1.6122077922077922</v>
      </c>
      <c r="Q2598" s="2">
        <f t="shared" si="243"/>
        <v>17.734285714285715</v>
      </c>
      <c r="R2598" s="2">
        <f t="shared" si="244"/>
        <v>41.38</v>
      </c>
      <c r="S2598" s="2">
        <f t="shared" si="245"/>
        <v>7.8540357660705657</v>
      </c>
    </row>
    <row r="2599" spans="1:19" hidden="1">
      <c r="A2599" t="s">
        <v>2652</v>
      </c>
      <c r="B2599" t="s">
        <v>30</v>
      </c>
      <c r="C2599">
        <v>113</v>
      </c>
      <c r="D2599">
        <v>3808</v>
      </c>
      <c r="E2599" s="2">
        <v>233.25</v>
      </c>
      <c r="F2599">
        <v>18</v>
      </c>
      <c r="G2599">
        <v>4</v>
      </c>
      <c r="H2599">
        <v>3.5000000000000003E-2</v>
      </c>
      <c r="I2599" s="3">
        <v>1085</v>
      </c>
      <c r="J2599" s="1">
        <v>45598</v>
      </c>
      <c r="K2599" t="s">
        <v>31</v>
      </c>
      <c r="L2599" t="s">
        <v>7</v>
      </c>
      <c r="M2599" t="s">
        <v>39</v>
      </c>
      <c r="N2599" s="1">
        <f t="shared" si="240"/>
        <v>45598</v>
      </c>
      <c r="O2599" s="4">
        <f t="shared" si="241"/>
        <v>2.9674369747899158E-2</v>
      </c>
      <c r="P2599">
        <f t="shared" si="242"/>
        <v>2.0641592920353982</v>
      </c>
      <c r="Q2599" s="2">
        <f t="shared" si="243"/>
        <v>12.958333333333334</v>
      </c>
      <c r="R2599" s="2">
        <f t="shared" si="244"/>
        <v>58.3125</v>
      </c>
      <c r="S2599" s="2">
        <f t="shared" si="245"/>
        <v>4.651661307609861</v>
      </c>
    </row>
    <row r="2600" spans="1:19" hidden="1">
      <c r="A2600" t="s">
        <v>2653</v>
      </c>
      <c r="B2600" t="s">
        <v>30</v>
      </c>
      <c r="C2600">
        <v>196</v>
      </c>
      <c r="D2600">
        <v>5853</v>
      </c>
      <c r="E2600" s="2">
        <v>220.13</v>
      </c>
      <c r="F2600">
        <v>16</v>
      </c>
      <c r="G2600">
        <v>7</v>
      </c>
      <c r="H2600">
        <v>3.5999999999999997E-2</v>
      </c>
      <c r="I2600" s="3">
        <v>1558</v>
      </c>
      <c r="J2600" s="1">
        <v>45604</v>
      </c>
      <c r="K2600" t="s">
        <v>31</v>
      </c>
      <c r="L2600" t="s">
        <v>9</v>
      </c>
      <c r="M2600" t="s">
        <v>39</v>
      </c>
      <c r="N2600" s="1">
        <f t="shared" si="240"/>
        <v>45604</v>
      </c>
      <c r="O2600" s="4">
        <f t="shared" si="241"/>
        <v>3.3487100632154453E-2</v>
      </c>
      <c r="P2600">
        <f t="shared" si="242"/>
        <v>1.1231122448979591</v>
      </c>
      <c r="Q2600" s="2">
        <f t="shared" si="243"/>
        <v>13.758125</v>
      </c>
      <c r="R2600" s="2">
        <f t="shared" si="244"/>
        <v>31.447142857142858</v>
      </c>
      <c r="S2600" s="2">
        <f t="shared" si="245"/>
        <v>7.0776359423976745</v>
      </c>
    </row>
    <row r="2601" spans="1:19">
      <c r="A2601" t="s">
        <v>2654</v>
      </c>
      <c r="B2601" t="s">
        <v>30</v>
      </c>
      <c r="C2601">
        <v>139</v>
      </c>
      <c r="D2601">
        <v>5453</v>
      </c>
      <c r="E2601" s="2">
        <v>215.57</v>
      </c>
      <c r="F2601">
        <v>12</v>
      </c>
      <c r="G2601">
        <v>5</v>
      </c>
      <c r="H2601">
        <v>4.5999999999999999E-2</v>
      </c>
      <c r="I2601" s="3">
        <v>1174</v>
      </c>
      <c r="J2601" s="1">
        <v>45618</v>
      </c>
      <c r="K2601" t="s">
        <v>31</v>
      </c>
      <c r="L2601" t="s">
        <v>7</v>
      </c>
      <c r="M2601" t="s">
        <v>46</v>
      </c>
      <c r="N2601" s="1">
        <f t="shared" si="240"/>
        <v>45618</v>
      </c>
      <c r="O2601" s="4">
        <f t="shared" si="241"/>
        <v>2.5490555657436274E-2</v>
      </c>
      <c r="P2601">
        <f t="shared" si="242"/>
        <v>1.5508633093525179</v>
      </c>
      <c r="Q2601" s="2">
        <f t="shared" si="243"/>
        <v>17.964166666666667</v>
      </c>
      <c r="R2601" s="2">
        <f t="shared" si="244"/>
        <v>43.113999999999997</v>
      </c>
      <c r="S2601" s="2">
        <f t="shared" si="245"/>
        <v>5.4460268126362665</v>
      </c>
    </row>
    <row r="2602" spans="1:19">
      <c r="N2602" s="1" t="str">
        <f t="shared" ref="N2602:N2603" si="246">IF(A2602="","",IF(ISNUMBER(J2602),J2602,IF(MID(J2602,5,1)="-",DATE(LEFT(J2602,4),MID(J2602,6,2),RIGHT(J2602,2)),IF(MID(J2602,5,1)="/",DATE(LEFT(J2602,4),MID(J2602,6,2),RIGHT(J2602,2)),DATE(RIGHT(J2602,4),MID(J2602,4,2),LEFT(J2602,2))))))</f>
        <v/>
      </c>
      <c r="O2602" s="4">
        <f t="shared" ref="O2602:O2603" si="247">IFERROR(C2602/D2602,0)</f>
        <v>0</v>
      </c>
      <c r="P2602" s="5">
        <f t="shared" ref="P2602:P2603" si="248">IFERROR(E2602/C2602,0)</f>
        <v>0</v>
      </c>
      <c r="Q2602" s="2">
        <f t="shared" ref="Q2602:Q2603" si="249">IFERROR(E2602/F2602,0)</f>
        <v>0</v>
      </c>
      <c r="R2602" s="2">
        <f t="shared" ref="R2602:R2603" si="250">IFERROR(E2602/G2602,0)</f>
        <v>0</v>
      </c>
      <c r="S2602" s="2">
        <f t="shared" ref="S2602:S2603" si="251">IFERROR(I2602/E2602,0)</f>
        <v>0</v>
      </c>
    </row>
    <row r="2603" spans="1:19">
      <c r="N2603" s="1" t="str">
        <f t="shared" si="246"/>
        <v/>
      </c>
      <c r="O2603" s="4">
        <f t="shared" si="247"/>
        <v>0</v>
      </c>
      <c r="P2603" s="5">
        <f t="shared" si="248"/>
        <v>0</v>
      </c>
      <c r="Q2603" s="2">
        <f t="shared" si="249"/>
        <v>0</v>
      </c>
      <c r="R2603" s="2">
        <f t="shared" si="250"/>
        <v>0</v>
      </c>
      <c r="S2603" s="2">
        <f t="shared" si="251"/>
        <v>0</v>
      </c>
    </row>
    <row r="2604" spans="1:19">
      <c r="N2604" s="1" t="str">
        <f t="shared" ref="N2604:N2605" si="252">IF(A2604="","",IF(ISNUMBER(J2604),J2604,IF(MID(J2604,5,1)="-",DATE(LEFT(J2604,4),MID(J2604,6,2),RIGHT(J2604,2)),IF(MID(J2604,5,1)="/",DATE(LEFT(J2604,4),MID(J2604,6,2),RIGHT(J2604,2)),DATE(RIGHT(J2604,4),MID(J2604,4,2),LEFT(J2604,2))))))</f>
        <v/>
      </c>
      <c r="O2604" s="4">
        <f t="shared" ref="O2604:O2605" si="253">IFERROR(C2604/D2604,0)</f>
        <v>0</v>
      </c>
      <c r="P2604" s="5">
        <f t="shared" ref="P2604:P2605" si="254">IFERROR(E2604/C2604,0)</f>
        <v>0</v>
      </c>
      <c r="Q2604" s="2">
        <f t="shared" ref="Q2604:Q2605" si="255">IFERROR(E2604/F2604,0)</f>
        <v>0</v>
      </c>
      <c r="R2604" s="2">
        <f t="shared" ref="R2604:R2605" si="256">IFERROR(E2604/G2604,0)</f>
        <v>0</v>
      </c>
      <c r="S2604" s="2">
        <f t="shared" ref="S2604:S2605" si="257">IFERROR(I2604/E2604,0)</f>
        <v>0</v>
      </c>
    </row>
    <row r="2605" spans="1:19">
      <c r="N2605" s="1" t="str">
        <f t="shared" si="252"/>
        <v/>
      </c>
      <c r="O2605" s="4">
        <f t="shared" si="253"/>
        <v>0</v>
      </c>
      <c r="P2605" s="5">
        <f t="shared" si="254"/>
        <v>0</v>
      </c>
      <c r="Q2605" s="2">
        <f t="shared" si="255"/>
        <v>0</v>
      </c>
      <c r="R2605" s="2">
        <f t="shared" si="256"/>
        <v>0</v>
      </c>
      <c r="S2605" s="2">
        <f t="shared" si="257"/>
        <v>0</v>
      </c>
    </row>
  </sheetData>
  <conditionalFormatting sqref="A1:A1048576">
    <cfRule type="duplicateValues" dxfId="9" priority="2"/>
  </conditionalFormatting>
  <conditionalFormatting sqref="I1:I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696A3-BEE2-47E3-B750-4F4DE93E1171}">
  <dimension ref="A1:E9"/>
  <sheetViews>
    <sheetView workbookViewId="0">
      <selection activeCell="E9" sqref="E9"/>
    </sheetView>
  </sheetViews>
  <sheetFormatPr defaultRowHeight="15"/>
  <cols>
    <col min="1" max="1" width="15.5703125" bestFit="1" customWidth="1"/>
    <col min="2" max="2" width="9.28515625" bestFit="1" customWidth="1"/>
    <col min="3" max="3" width="10.28515625" bestFit="1" customWidth="1"/>
    <col min="5" max="5" width="20.85546875" bestFit="1" customWidth="1"/>
  </cols>
  <sheetData>
    <row r="1" spans="1:5">
      <c r="A1" t="s">
        <v>2655</v>
      </c>
      <c r="B1" t="s">
        <v>2656</v>
      </c>
      <c r="C1" t="s">
        <v>2657</v>
      </c>
      <c r="D1" t="s">
        <v>2658</v>
      </c>
      <c r="E1" t="s">
        <v>2659</v>
      </c>
    </row>
    <row r="2" spans="1:5">
      <c r="A2" t="s">
        <v>13</v>
      </c>
      <c r="B2">
        <f>AVERAGE(Cleaned_Data!C2:C2601)</f>
        <v>138.95884615384617</v>
      </c>
      <c r="C2">
        <f>MEDIAN(Cleaned_Data!C2:C2601)</f>
        <v>139</v>
      </c>
      <c r="D2">
        <f>MODE(Cleaned_Data!C2:C2601)</f>
        <v>139</v>
      </c>
      <c r="E2">
        <f>STDEV(Cleaned_Data!C2:C2601)</f>
        <v>33.865227515579726</v>
      </c>
    </row>
    <row r="3" spans="1:5">
      <c r="A3" t="s">
        <v>14</v>
      </c>
      <c r="B3" s="2">
        <f>AVERAGE(Cleaned_Data!E2:E2601)</f>
        <v>215.10850769230768</v>
      </c>
      <c r="C3">
        <f>MEDIAN(Cleaned_Data!D2:D2601)</f>
        <v>4518.5</v>
      </c>
      <c r="D3">
        <f>MODE(Cleaned_Data!D2:D2601)</f>
        <v>4518.5</v>
      </c>
      <c r="E3">
        <f>STDEV(Cleaned_Data!D2:D2601)</f>
        <v>860.84340311350979</v>
      </c>
    </row>
    <row r="4" spans="1:5">
      <c r="A4" t="s">
        <v>15</v>
      </c>
      <c r="B4" s="2">
        <f>AVERAGE(Cleaned_Data!E2:E2601)</f>
        <v>215.10850769230768</v>
      </c>
      <c r="C4" s="2">
        <f>MEDIAN(Cleaned_Data!E2:E2601)</f>
        <v>215.57</v>
      </c>
      <c r="D4">
        <f>MODE(Cleaned_Data!E2:E2601)</f>
        <v>215.57</v>
      </c>
      <c r="E4">
        <f>+STDEV(Cleaned_Data!E2:E2601)</f>
        <v>19.907580413266594</v>
      </c>
    </row>
    <row r="5" spans="1:5">
      <c r="A5" t="s">
        <v>16</v>
      </c>
      <c r="B5">
        <f>AVERAGE(Cleaned_Data!F2:F2601)</f>
        <v>20.003846153846155</v>
      </c>
      <c r="C5">
        <f>MEDIAN(Cleaned_Data!F2:F2601)</f>
        <v>20</v>
      </c>
      <c r="D5">
        <f>MODE(Cleaned_Data!F2:F2601)</f>
        <v>20</v>
      </c>
      <c r="E5">
        <f>STDEV(Cleaned_Data!F2:F2601)</f>
        <v>5.9763533497192789</v>
      </c>
    </row>
    <row r="6" spans="1:5">
      <c r="A6" t="s">
        <v>17</v>
      </c>
      <c r="B6">
        <f>AVERAGE(Cleaned_Data!G2:G2601)</f>
        <v>6.532692307692308</v>
      </c>
      <c r="C6">
        <f>MEDIAN(Cleaned_Data!G2:G2601)</f>
        <v>7</v>
      </c>
      <c r="D6">
        <f>MODE(Cleaned_Data!G2:G2601)</f>
        <v>7</v>
      </c>
      <c r="E6">
        <f>STDEV(Cleaned_Data!G2:G2601)</f>
        <v>2.241414825700931</v>
      </c>
    </row>
    <row r="7" spans="1:5">
      <c r="A7" t="s">
        <v>19</v>
      </c>
      <c r="B7" s="2">
        <f>AVERAGE(Cleaned_Data!I2:I2601)</f>
        <v>1498.9876923076922</v>
      </c>
      <c r="C7" s="2">
        <f>MEDIAN(Cleaned_Data!I2:I2601)</f>
        <v>1505</v>
      </c>
      <c r="D7">
        <f>MODE(Cleaned_Data!I2:I2601)</f>
        <v>1505</v>
      </c>
      <c r="E7">
        <f>STDEV(Cleaned_Data!I2:I2601)</f>
        <v>279.32720907420679</v>
      </c>
    </row>
    <row r="8" spans="1:5">
      <c r="A8" t="s">
        <v>24</v>
      </c>
      <c r="B8" s="4">
        <f>AVERAGE(Cleaned_Data!O2:O2601)</f>
        <v>3.1927223484313413E-2</v>
      </c>
      <c r="C8" s="4">
        <f>MEDIAN(Cleaned_Data!O2:O2601)</f>
        <v>3.038418565224027E-2</v>
      </c>
      <c r="D8">
        <f>MODE(Cleaned_Data!O2:O2601)</f>
        <v>2.7027027027027029E-2</v>
      </c>
      <c r="E8">
        <f>STDEV(Cleaned_Data!O2:O2601)</f>
        <v>1.0277002642178824E-2</v>
      </c>
    </row>
    <row r="9" spans="1:5">
      <c r="A9" t="s">
        <v>18</v>
      </c>
      <c r="B9">
        <f>AVERAGE(Cleaned_Data!H2:H2601)</f>
        <v>4.8261923076924083E-2</v>
      </c>
      <c r="C9">
        <f>MEDIAN(Cleaned_Data!H2:H2601)</f>
        <v>4.5999999999999999E-2</v>
      </c>
      <c r="D9">
        <f>MODE(Cleaned_Data!H2:H2601)</f>
        <v>4.5999999999999999E-2</v>
      </c>
      <c r="E9">
        <f>STDEV(Cleaned_Data!H2:H2601)</f>
        <v>1.7461116372907266E-2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37F69-B36F-4A9C-955A-A0D19EE8BB27}">
  <dimension ref="A1:H14"/>
  <sheetViews>
    <sheetView tabSelected="1" workbookViewId="0">
      <selection activeCell="B3" sqref="B3"/>
    </sheetView>
  </sheetViews>
  <sheetFormatPr defaultRowHeight="15"/>
  <cols>
    <col min="1" max="1" width="29.140625" customWidth="1"/>
    <col min="2" max="2" width="11.5703125" customWidth="1"/>
    <col min="4" max="4" width="12.28515625" customWidth="1"/>
    <col min="5" max="5" width="15" customWidth="1"/>
    <col min="7" max="7" width="12.42578125" customWidth="1"/>
    <col min="8" max="8" width="15.42578125" customWidth="1"/>
  </cols>
  <sheetData>
    <row r="1" spans="1:8">
      <c r="A1" t="s">
        <v>0</v>
      </c>
      <c r="B1" t="s">
        <v>2660</v>
      </c>
      <c r="D1" t="s">
        <v>2655</v>
      </c>
      <c r="E1" t="s">
        <v>2661</v>
      </c>
      <c r="G1" t="s">
        <v>2662</v>
      </c>
      <c r="H1" t="s">
        <v>2663</v>
      </c>
    </row>
    <row r="2" spans="1:8">
      <c r="A2" t="s">
        <v>7</v>
      </c>
      <c r="B2">
        <f>COUNTIF(Cleaned_Data!L2:L2601,A2)</f>
        <v>888</v>
      </c>
      <c r="D2" t="s">
        <v>13</v>
      </c>
      <c r="E2">
        <f>SUM(Cleaned_Data!C2:C2601)</f>
        <v>361293</v>
      </c>
      <c r="G2" t="s">
        <v>2664</v>
      </c>
      <c r="H2" t="s">
        <v>2665</v>
      </c>
    </row>
    <row r="3" spans="1:8">
      <c r="A3" t="s">
        <v>8</v>
      </c>
      <c r="B3">
        <f>COUNTIF(Cleaned_Data!L3:L2602,A3)</f>
        <v>878</v>
      </c>
      <c r="D3" t="s">
        <v>15</v>
      </c>
      <c r="E3" s="2">
        <f>SUM(Cleaned_Data!E2:E2601)</f>
        <v>559282.12</v>
      </c>
      <c r="G3" t="s">
        <v>2666</v>
      </c>
      <c r="H3" t="str">
        <f>TEXT(Cleaned_Data!N2,"dd-mmm-yyyy")</f>
        <v>16-Nov-2024</v>
      </c>
    </row>
    <row r="4" spans="1:8">
      <c r="A4" t="s">
        <v>9</v>
      </c>
      <c r="B4">
        <f>COUNTIF(Cleaned_Data!L4:L2603,A4)</f>
        <v>834</v>
      </c>
      <c r="D4" t="s">
        <v>2667</v>
      </c>
      <c r="E4" s="2">
        <f>SUM(Cleaned_Data!I2:I2601)</f>
        <v>3897368</v>
      </c>
    </row>
    <row r="7" spans="1:8">
      <c r="A7" t="s">
        <v>2668</v>
      </c>
      <c r="B7" t="s">
        <v>2669</v>
      </c>
    </row>
    <row r="8" spans="1:8">
      <c r="A8" t="s">
        <v>2670</v>
      </c>
      <c r="B8" s="7">
        <v>361293</v>
      </c>
    </row>
    <row r="9" spans="1:8">
      <c r="A9" t="s">
        <v>2671</v>
      </c>
      <c r="B9" s="7">
        <v>559282.12</v>
      </c>
    </row>
    <row r="10" spans="1:8">
      <c r="A10" t="s">
        <v>2672</v>
      </c>
      <c r="B10" s="7">
        <v>3897368</v>
      </c>
    </row>
    <row r="11" spans="1:8">
      <c r="A11" t="s">
        <v>2673</v>
      </c>
      <c r="B11" s="7" t="s">
        <v>7</v>
      </c>
    </row>
    <row r="12" spans="1:8">
      <c r="A12" t="s">
        <v>2674</v>
      </c>
      <c r="B12" t="s">
        <v>7</v>
      </c>
    </row>
    <row r="13" spans="1:8">
      <c r="A13" t="s">
        <v>2675</v>
      </c>
      <c r="B13" t="s">
        <v>8</v>
      </c>
    </row>
    <row r="14" spans="1:8">
      <c r="A14" t="s">
        <v>2676</v>
      </c>
      <c r="B14" t="s">
        <v>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2026-09-30T13:35:34Z</dcterms:created>
  <dcterms:modified xsi:type="dcterms:W3CDTF">2026-09-30T17:25:05Z</dcterms:modified>
  <cp:category/>
  <cp:contentStatus/>
</cp:coreProperties>
</file>